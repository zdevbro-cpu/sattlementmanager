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260617"/>
    <sheet r:id="rId2" sheetId="2" name="260617-b"/>
    <sheet r:id="rId3" sheetId="3" name="중복확인"/>
    <sheet r:id="rId4" sheetId="4" name="PDF미매칭"/>
  </sheets>
  <definedNames>
    <definedName name="_xlnm._FilterDatabase" localSheetId="0">'260617'!$A$1:$V$1013</definedName>
    <definedName name="_xlnm._FilterDatabase" localSheetId="1">'260617-b'!$A$1:$X$1011</definedName>
    <definedName name="_xlnm._FilterDatabase" localSheetId="3">PDF미매칭!$A$1:$M$73</definedName>
    <definedName name="_xlnm._FilterDatabase" localSheetId="2">중복확인!$A$1:$Z$892</definedName>
  </definedNames>
  <calcPr fullCalcOnLoad="1"/>
</workbook>
</file>

<file path=xl/sharedStrings.xml><?xml version="1.0" encoding="utf-8"?>
<sst xmlns="http://schemas.openxmlformats.org/spreadsheetml/2006/main" count="23260" uniqueCount="3373">
  <si>
    <t>원본행</t>
  </si>
  <si>
    <t>계약구분</t>
  </si>
  <si>
    <t>소속</t>
  </si>
  <si>
    <t>추천인</t>
  </si>
  <si>
    <t>성명</t>
  </si>
  <si>
    <t>보증금(원)</t>
  </si>
  <si>
    <t>수익금(원)</t>
  </si>
  <si>
    <t>최초지급일</t>
  </si>
  <si>
    <t>계약일</t>
  </si>
  <si>
    <t>계약만료일</t>
  </si>
  <si>
    <t>계약서번호</t>
  </si>
  <si>
    <t>비고</t>
  </si>
  <si>
    <t>매칭결과</t>
  </si>
  <si>
    <t>주인형LAS-EK</t>
  </si>
  <si>
    <t>강장용</t>
  </si>
  <si>
    <t>날짜불일치(동일성명 PDF 있음)</t>
  </si>
  <si>
    <t>LAS매장점주</t>
  </si>
  <si>
    <t>변정임(양도)</t>
  </si>
  <si>
    <t>이종구</t>
  </si>
  <si>
    <t>김광호</t>
  </si>
  <si>
    <t>260204-92</t>
  </si>
  <si>
    <t>PDF 없음(동일성명 없음)</t>
  </si>
  <si>
    <t>한제환</t>
  </si>
  <si>
    <t>김기영</t>
  </si>
  <si>
    <t>20260305-20</t>
  </si>
  <si>
    <t>김민재</t>
  </si>
  <si>
    <t>이지영(양도), 양수금액?</t>
  </si>
  <si>
    <t>모니터링계약서</t>
  </si>
  <si>
    <t>김민진</t>
  </si>
  <si>
    <t>김미영</t>
  </si>
  <si>
    <t>김예원</t>
  </si>
  <si>
    <t>260109-01</t>
  </si>
  <si>
    <t>김왕</t>
  </si>
  <si>
    <t>서류보완 중</t>
  </si>
  <si>
    <t>김정숙</t>
  </si>
  <si>
    <t>김현옥</t>
  </si>
  <si>
    <t>20260401-91</t>
  </si>
  <si>
    <t>김형섭</t>
  </si>
  <si>
    <t>260224-89</t>
  </si>
  <si>
    <t>남태순</t>
  </si>
  <si>
    <t>노영경</t>
  </si>
  <si>
    <t>26.6.23 6천만원 급여</t>
  </si>
  <si>
    <t>노우영</t>
  </si>
  <si>
    <t>노주현</t>
  </si>
  <si>
    <t>20260311-47</t>
  </si>
  <si>
    <t>박미숙</t>
  </si>
  <si>
    <t>길효진 3천(미근무), 길효나 3천(미근무), 26.6.2 부터 지급</t>
  </si>
  <si>
    <t>박서영</t>
  </si>
  <si>
    <t>청라</t>
  </si>
  <si>
    <t>박재희</t>
  </si>
  <si>
    <t>20260428-9</t>
  </si>
  <si>
    <t>박준형</t>
  </si>
  <si>
    <t>20260424-29</t>
  </si>
  <si>
    <t>박지은</t>
  </si>
  <si>
    <t>박희욱</t>
  </si>
  <si>
    <t>신갈</t>
  </si>
  <si>
    <t>이정민</t>
  </si>
  <si>
    <t>배명숙</t>
  </si>
  <si>
    <t>김태식(양도)</t>
  </si>
  <si>
    <t>변학분</t>
  </si>
  <si>
    <t>20260404-54</t>
  </si>
  <si>
    <t>이보령(양수)</t>
  </si>
  <si>
    <t>서미경</t>
  </si>
  <si>
    <t>증액</t>
  </si>
  <si>
    <t>서해숙</t>
  </si>
  <si>
    <t>손서연(B)</t>
  </si>
  <si>
    <t>오기로 인한 폐기포함</t>
  </si>
  <si>
    <t>송파</t>
  </si>
  <si>
    <t>유정은</t>
  </si>
  <si>
    <t>손영숙</t>
  </si>
  <si>
    <t>계약서 없음</t>
  </si>
  <si>
    <t>신동면</t>
  </si>
  <si>
    <t>신동연</t>
  </si>
  <si>
    <t>신동화</t>
  </si>
  <si>
    <t>260204-91</t>
  </si>
  <si>
    <t>신재희</t>
  </si>
  <si>
    <t>신승애</t>
  </si>
  <si>
    <t>이다형(양도), 보증금/수익금?</t>
  </si>
  <si>
    <t>신조희</t>
  </si>
  <si>
    <t>260204-44</t>
  </si>
  <si>
    <t>동백</t>
  </si>
  <si>
    <t>신화순</t>
  </si>
  <si>
    <t>260204-98</t>
  </si>
  <si>
    <t>현금/카드 확인</t>
  </si>
  <si>
    <t>안서연</t>
  </si>
  <si>
    <t>20250405-62</t>
  </si>
  <si>
    <t>이광희(양도)</t>
  </si>
  <si>
    <t>안용호</t>
  </si>
  <si>
    <t>영통</t>
  </si>
  <si>
    <t>엄인자</t>
  </si>
  <si>
    <t>20260424-22</t>
  </si>
  <si>
    <t>오일영</t>
  </si>
  <si>
    <t>윤미영</t>
  </si>
  <si>
    <t>윤수희</t>
  </si>
  <si>
    <t>윤종현</t>
  </si>
  <si>
    <t>20260311-25</t>
  </si>
  <si>
    <t>의왕</t>
  </si>
  <si>
    <t>양은호</t>
  </si>
  <si>
    <t>윤지현</t>
  </si>
  <si>
    <t>이루리</t>
  </si>
  <si>
    <t>이상화</t>
  </si>
  <si>
    <t>이서현</t>
  </si>
  <si>
    <t>이세기</t>
  </si>
  <si>
    <t>이순아</t>
  </si>
  <si>
    <t>이영진</t>
  </si>
  <si>
    <t>이유진</t>
  </si>
  <si>
    <t>이은주</t>
  </si>
  <si>
    <t>유시은</t>
  </si>
  <si>
    <t>이정순</t>
  </si>
  <si>
    <t>26010-14</t>
  </si>
  <si>
    <t>26.4.9 계약서에 합산</t>
  </si>
  <si>
    <t>이정화</t>
  </si>
  <si>
    <t>25.11.28 증액 25.9.13 계약서에 합산</t>
  </si>
  <si>
    <t>KF-COOP교육사업</t>
  </si>
  <si>
    <t>이영</t>
  </si>
  <si>
    <t>이현미</t>
  </si>
  <si>
    <t>마포</t>
  </si>
  <si>
    <t>김수현</t>
  </si>
  <si>
    <t>이현정</t>
  </si>
  <si>
    <t>이혜영</t>
  </si>
  <si>
    <t>20260405-57</t>
  </si>
  <si>
    <t>이흥규</t>
  </si>
  <si>
    <t>25.9.3 계약서에 합산</t>
  </si>
  <si>
    <t>주인형합산? 수익금?</t>
  </si>
  <si>
    <t>장숙영</t>
  </si>
  <si>
    <t>20260305-93</t>
  </si>
  <si>
    <t>전여정</t>
  </si>
  <si>
    <t>조윤정</t>
  </si>
  <si>
    <t>지해주</t>
  </si>
  <si>
    <t>흥걱</t>
  </si>
  <si>
    <t>진현주</t>
  </si>
  <si>
    <t>진태주</t>
  </si>
  <si>
    <t>차성묵</t>
  </si>
  <si>
    <t>최삼순</t>
  </si>
  <si>
    <t>20251211-269</t>
  </si>
  <si>
    <t>최윤실</t>
  </si>
  <si>
    <t>최인렴</t>
  </si>
  <si>
    <t>최정윤</t>
  </si>
  <si>
    <t>계좌변경(카톡)</t>
  </si>
  <si>
    <t>하윤희</t>
  </si>
  <si>
    <t>하주현</t>
  </si>
  <si>
    <t>한옥섭</t>
  </si>
  <si>
    <t>한윤섭(양도), 김호진(양도)</t>
  </si>
  <si>
    <t>동백C</t>
  </si>
  <si>
    <t>한재환</t>
  </si>
  <si>
    <t>급여확인/조인숙(양도)계약서 확인,26.1.7 1억2천, 26.3.7 영크양도, 26.4.24 2천 양수, 26.4.27 천만원 증액, 26.6.10 12천만원 급여</t>
  </si>
  <si>
    <t>은행명</t>
  </si>
  <si>
    <t>계좌번호</t>
  </si>
  <si>
    <t>예금주</t>
  </si>
  <si>
    <t>주민등록번호</t>
  </si>
  <si>
    <t>핸드폰번호</t>
  </si>
  <si>
    <t>현금/카드</t>
  </si>
  <si>
    <t>양수</t>
  </si>
  <si>
    <t>분당</t>
  </si>
  <si>
    <t>강경록</t>
  </si>
  <si>
    <t>농협</t>
  </si>
  <si>
    <t>302-1139-6910-21</t>
  </si>
  <si>
    <t>610130-1024319</t>
  </si>
  <si>
    <t>고임순(양도) 조해주양도</t>
  </si>
  <si>
    <t>고임순(양도)</t>
  </si>
  <si>
    <t>강미선</t>
  </si>
  <si>
    <t>농협은행</t>
  </si>
  <si>
    <t>178505-52-040294</t>
  </si>
  <si>
    <t>690323-2932317</t>
  </si>
  <si>
    <t>010-6798-0034</t>
  </si>
  <si>
    <t>20260404-25</t>
  </si>
  <si>
    <t>현금</t>
  </si>
  <si>
    <t>강민영</t>
  </si>
  <si>
    <t>국민은행</t>
  </si>
  <si>
    <t>201-21-1399-961</t>
  </si>
  <si>
    <t>810301-2684917</t>
  </si>
  <si>
    <t>010-7259-4949</t>
  </si>
  <si>
    <t>전정례</t>
  </si>
  <si>
    <t>강민정</t>
  </si>
  <si>
    <t>SC제일은행</t>
  </si>
  <si>
    <t>606-20-097971</t>
  </si>
  <si>
    <t>660618-2460210</t>
  </si>
  <si>
    <t>010-2334-8320</t>
  </si>
  <si>
    <t>20260311-16</t>
  </si>
  <si>
    <t>카드/현금</t>
  </si>
  <si>
    <t>4/20 1천만원 증액</t>
  </si>
  <si>
    <t>강보경</t>
  </si>
  <si>
    <t>우리</t>
  </si>
  <si>
    <t>1002-240-930760</t>
  </si>
  <si>
    <t>880226-2031318</t>
  </si>
  <si>
    <t>010-9400-2550</t>
  </si>
  <si>
    <t>260204-89</t>
  </si>
  <si>
    <t>강성철</t>
  </si>
  <si>
    <t>822402-04-248167</t>
  </si>
  <si>
    <t>700725-1006821</t>
  </si>
  <si>
    <t>010-7291-7991</t>
  </si>
  <si>
    <t>260224-77</t>
  </si>
  <si>
    <t>3천만원 증액계약없음</t>
  </si>
  <si>
    <t>강연희</t>
  </si>
  <si>
    <t>331-21-0288-500</t>
  </si>
  <si>
    <t>690320-2066927</t>
  </si>
  <si>
    <t>전홍준(양도)</t>
  </si>
  <si>
    <t>강유나</t>
  </si>
  <si>
    <t>302-0865-2540-21</t>
  </si>
  <si>
    <t>040207-4238713</t>
  </si>
  <si>
    <t>010-6851-5709</t>
  </si>
  <si>
    <t>20260311-94</t>
  </si>
  <si>
    <t>월곡</t>
  </si>
  <si>
    <t>오영은</t>
  </si>
  <si>
    <t>강은숙</t>
  </si>
  <si>
    <t>기업은행</t>
  </si>
  <si>
    <t>125-141946-01011</t>
  </si>
  <si>
    <t>680105-2667218</t>
  </si>
  <si>
    <t>010-6269-5067</t>
  </si>
  <si>
    <t>680105-2661218</t>
  </si>
  <si>
    <t>010-6469-5067</t>
  </si>
  <si>
    <t>강은정</t>
  </si>
  <si>
    <t>카카오뱅크</t>
  </si>
  <si>
    <t>3333-27-4106670</t>
  </si>
  <si>
    <t>741018-2120913</t>
  </si>
  <si>
    <t>010-2338-6295</t>
  </si>
  <si>
    <t>전환</t>
  </si>
  <si>
    <t>신한은행</t>
  </si>
  <si>
    <t>110-144-936755</t>
  </si>
  <si>
    <t>650907-2655010</t>
  </si>
  <si>
    <t>010-5242-4867</t>
  </si>
  <si>
    <t>660619-1655031</t>
  </si>
  <si>
    <t>제일은행</t>
  </si>
  <si>
    <t>217-20-01252</t>
  </si>
  <si>
    <t>강주영</t>
  </si>
  <si>
    <t>KB국민</t>
  </si>
  <si>
    <t>9261020-1084174</t>
  </si>
  <si>
    <t>740324-2552119</t>
  </si>
  <si>
    <t>010-4729-9877</t>
  </si>
  <si>
    <t>강진희</t>
  </si>
  <si>
    <t>446-04-221218</t>
  </si>
  <si>
    <t>721206-20660912</t>
  </si>
  <si>
    <t>010-4168-8450</t>
  </si>
  <si>
    <t>강태식</t>
  </si>
  <si>
    <t>우체국</t>
  </si>
  <si>
    <t>104778-02-153977</t>
  </si>
  <si>
    <t>680603-1720916</t>
  </si>
  <si>
    <t>에이멘B</t>
  </si>
  <si>
    <t>강희숙</t>
  </si>
  <si>
    <t>우리은행</t>
  </si>
  <si>
    <t>1002-738-720421</t>
  </si>
  <si>
    <t>550124-2144011</t>
  </si>
  <si>
    <t>010-7134-5784</t>
  </si>
  <si>
    <t>260204-28</t>
  </si>
  <si>
    <t>경기련</t>
  </si>
  <si>
    <t>3333-29-5420464</t>
  </si>
  <si>
    <t>700601-2109311</t>
  </si>
  <si>
    <t>010-7644-5049</t>
  </si>
  <si>
    <t>경민호</t>
  </si>
  <si>
    <t>3333-34-7252756</t>
  </si>
  <si>
    <t>720102-1109325</t>
  </si>
  <si>
    <t>20260305-74</t>
  </si>
  <si>
    <t>폐기</t>
  </si>
  <si>
    <t>경옥수</t>
  </si>
  <si>
    <t>1000-12-52-098497</t>
  </si>
  <si>
    <t>김경애</t>
  </si>
  <si>
    <t>591227-2144312</t>
  </si>
  <si>
    <t>010-3759-5831</t>
  </si>
  <si>
    <t>356-1520-3719-93</t>
  </si>
  <si>
    <t>25.4.3 3천만, 25.12.12 3천만, 25.9.8 6천만 합 1.2억, 매월 8일자9,600,000만원수당</t>
  </si>
  <si>
    <t>계동한</t>
  </si>
  <si>
    <t>카카오</t>
  </si>
  <si>
    <t>3333-1251-53161</t>
  </si>
  <si>
    <t>860423-1042920</t>
  </si>
  <si>
    <t>010-4468-4006</t>
  </si>
  <si>
    <t>260116-149</t>
  </si>
  <si>
    <t>계민정</t>
  </si>
  <si>
    <t>040-0461580-3019</t>
  </si>
  <si>
    <t>891214-2045211</t>
  </si>
  <si>
    <t>010-3329-4006</t>
  </si>
  <si>
    <t>20260405-79</t>
  </si>
  <si>
    <t>고민영</t>
  </si>
  <si>
    <t>110-302-148360</t>
  </si>
  <si>
    <t>680113-2593638</t>
  </si>
  <si>
    <t>010-7475-2338</t>
  </si>
  <si>
    <t>양도</t>
  </si>
  <si>
    <t>김은숙</t>
  </si>
  <si>
    <t>고영남</t>
  </si>
  <si>
    <t>1002-028-873986</t>
  </si>
  <si>
    <t>620421-</t>
  </si>
  <si>
    <t>임옥희(양수)</t>
  </si>
  <si>
    <t>고임순</t>
  </si>
  <si>
    <t>국민</t>
  </si>
  <si>
    <t>492301-01-192856</t>
  </si>
  <si>
    <t>610902-2025337</t>
  </si>
  <si>
    <t>010-4007-9533</t>
  </si>
  <si>
    <t>260204-08</t>
  </si>
  <si>
    <t>20260305-28</t>
  </si>
  <si>
    <t>고정복</t>
  </si>
  <si>
    <t>우체국은행</t>
  </si>
  <si>
    <t>013912-02-346670</t>
  </si>
  <si>
    <t>590724-2559411</t>
  </si>
  <si>
    <t>010-2221-4734</t>
  </si>
  <si>
    <t>카드</t>
  </si>
  <si>
    <t>고정숙</t>
  </si>
  <si>
    <t>352-1690-0455-23</t>
  </si>
  <si>
    <t>410110-2659729</t>
  </si>
  <si>
    <t>010-3245-6163</t>
  </si>
  <si>
    <t>곽동호</t>
  </si>
  <si>
    <t>1002-528-956468</t>
  </si>
  <si>
    <t>901028-1157619</t>
  </si>
  <si>
    <t>010-2041-9774</t>
  </si>
  <si>
    <t>하나은행</t>
  </si>
  <si>
    <t>418-P10337-94409</t>
  </si>
  <si>
    <t>이미양(양수)</t>
  </si>
  <si>
    <t>곽은정</t>
  </si>
  <si>
    <t>신한</t>
  </si>
  <si>
    <t>110-003-844820</t>
  </si>
  <si>
    <t>620228-2056511</t>
  </si>
  <si>
    <t>010-7721-8876</t>
  </si>
  <si>
    <t>곽지은</t>
  </si>
  <si>
    <t>110-172-528162</t>
  </si>
  <si>
    <t>870128-2246919</t>
  </si>
  <si>
    <t>010-9182-7291</t>
  </si>
  <si>
    <t>곽지희</t>
  </si>
  <si>
    <t>1812-0686-0125</t>
  </si>
  <si>
    <t>841113-2246931</t>
  </si>
  <si>
    <t>010-3469-6577</t>
  </si>
  <si>
    <t>방명애</t>
  </si>
  <si>
    <t>구성회</t>
  </si>
  <si>
    <t>011213-02-112177</t>
  </si>
  <si>
    <t>590210-1036511</t>
  </si>
  <si>
    <t>010-5488-3177</t>
  </si>
  <si>
    <t>합본(오기입폐기), 신규작성</t>
  </si>
  <si>
    <t>구수선</t>
  </si>
  <si>
    <t>110-398-261902</t>
  </si>
  <si>
    <t>770422-2110712</t>
  </si>
  <si>
    <t>박미순</t>
  </si>
  <si>
    <t>구재영</t>
  </si>
  <si>
    <t>352-1407-036993</t>
  </si>
  <si>
    <t>000511-3405611</t>
  </si>
  <si>
    <t>010-3847-1216</t>
  </si>
  <si>
    <t xml:space="preserve">현금 </t>
  </si>
  <si>
    <t>추천인 : 심선미</t>
  </si>
  <si>
    <t>권경희</t>
  </si>
  <si>
    <t>420802-96-121342</t>
  </si>
  <si>
    <t>680615-2380015</t>
  </si>
  <si>
    <t>윤동환(양도)</t>
  </si>
  <si>
    <t>권상태</t>
  </si>
  <si>
    <t>356-2388-8948-13</t>
  </si>
  <si>
    <t>640407-1919014</t>
  </si>
  <si>
    <t>010-2388-8948</t>
  </si>
  <si>
    <t>권선진</t>
  </si>
  <si>
    <t>1005-703-395440</t>
  </si>
  <si>
    <t>710620-2454816</t>
  </si>
  <si>
    <t>010-6502-5695</t>
  </si>
  <si>
    <t>20260404-29</t>
  </si>
  <si>
    <t xml:space="preserve">양도(영크)
</t>
  </si>
  <si>
    <t>권아연</t>
  </si>
  <si>
    <t>3333-09-0104900</t>
  </si>
  <si>
    <t>000229-4020411</t>
  </si>
  <si>
    <t>010-9490-8931</t>
  </si>
  <si>
    <t>최초지급일 확인(4월) | [DB] 최초지급일확인</t>
  </si>
  <si>
    <t>권영미</t>
  </si>
  <si>
    <t>720-5010-1058-721</t>
  </si>
  <si>
    <t>720120-2321316</t>
  </si>
  <si>
    <t>010-4398-5750</t>
  </si>
  <si>
    <t>김보은</t>
  </si>
  <si>
    <t>권은경</t>
  </si>
  <si>
    <t>384702-04-003448</t>
  </si>
  <si>
    <t>700511-2469411</t>
  </si>
  <si>
    <t>010-8978-5412</t>
  </si>
  <si>
    <t>260116-145</t>
  </si>
  <si>
    <t>권현숙</t>
  </si>
  <si>
    <t>110-334-530027</t>
  </si>
  <si>
    <t>640304-2025627</t>
  </si>
  <si>
    <t>010-5544-3219</t>
  </si>
  <si>
    <t>260204-45</t>
  </si>
  <si>
    <t>금은섭</t>
  </si>
  <si>
    <t>110-001-580006</t>
  </si>
  <si>
    <t>590506-1228311</t>
  </si>
  <si>
    <t>010-3898-3418</t>
  </si>
  <si>
    <t>260204-93</t>
  </si>
  <si>
    <t>기미향</t>
  </si>
  <si>
    <t>161-21-0074-774</t>
  </si>
  <si>
    <t>620223-2261016</t>
  </si>
  <si>
    <t>010-9999-3760</t>
  </si>
  <si>
    <t>260109-09</t>
  </si>
  <si>
    <t>기현숙</t>
  </si>
  <si>
    <t>케이뱅크</t>
  </si>
  <si>
    <t>100-100-799310</t>
  </si>
  <si>
    <t>5707710-2057749</t>
  </si>
  <si>
    <t>010-4045-8400</t>
  </si>
  <si>
    <t>20250405-12</t>
  </si>
  <si>
    <t>길미정</t>
  </si>
  <si>
    <t>352-0996-2056-23</t>
  </si>
  <si>
    <t>860729-2051414</t>
  </si>
  <si>
    <t>010-9132-9068</t>
  </si>
  <si>
    <t>20260311-09</t>
  </si>
  <si>
    <t>길효나</t>
  </si>
  <si>
    <t>110-501-353080</t>
  </si>
  <si>
    <t>980715-2047317</t>
  </si>
  <si>
    <t>25.4.5 현금 3천, 박미숙계약서로 대체</t>
  </si>
  <si>
    <t>길효진</t>
  </si>
  <si>
    <t>454101-01-166996</t>
  </si>
  <si>
    <t>950619-2047314</t>
  </si>
  <si>
    <t>김가영</t>
  </si>
  <si>
    <t>828-910101-70707</t>
  </si>
  <si>
    <t>730626-2538219</t>
  </si>
  <si>
    <t>010-8848-8718</t>
  </si>
  <si>
    <t>김경미</t>
  </si>
  <si>
    <t>3333-04-5390320</t>
  </si>
  <si>
    <t>700930-2095919</t>
  </si>
  <si>
    <t>010-3864-9122</t>
  </si>
  <si>
    <t>100012-52-098497</t>
  </si>
  <si>
    <t>010-7742-4807</t>
  </si>
  <si>
    <t>김경지</t>
  </si>
  <si>
    <t>090-12-094043</t>
  </si>
  <si>
    <t>620908-2024511</t>
  </si>
  <si>
    <t>010-6435-2782</t>
  </si>
  <si>
    <t>목동</t>
  </si>
  <si>
    <t>김은성</t>
  </si>
  <si>
    <t>김경철</t>
  </si>
  <si>
    <t>024802-04-039486</t>
  </si>
  <si>
    <t>700117-0650723</t>
  </si>
  <si>
    <t>김경훈</t>
  </si>
  <si>
    <t>010-8410-9339</t>
  </si>
  <si>
    <t>721206-1006419</t>
  </si>
  <si>
    <t>계약내용확인</t>
  </si>
  <si>
    <t>송도</t>
  </si>
  <si>
    <t>장영림</t>
  </si>
  <si>
    <t>김경희</t>
  </si>
  <si>
    <t>130011-52-167055</t>
  </si>
  <si>
    <t>670125-2156315</t>
  </si>
  <si>
    <t>010-2325-5643</t>
  </si>
  <si>
    <t>260204-100</t>
  </si>
  <si>
    <t>[DB] 송도</t>
  </si>
  <si>
    <t>이천</t>
  </si>
  <si>
    <t>171434-52-097754</t>
  </si>
  <si>
    <t>640305-2037868</t>
  </si>
  <si>
    <t>010-8284-7258</t>
  </si>
  <si>
    <t>20260305-27</t>
  </si>
  <si>
    <t>(이천)</t>
  </si>
  <si>
    <t>103-01-471063</t>
  </si>
  <si>
    <t>551010-1821015</t>
  </si>
  <si>
    <t>010-9944-8569</t>
  </si>
  <si>
    <t>1002-544-828493</t>
  </si>
  <si>
    <t>671123-1041512</t>
  </si>
  <si>
    <t>010-3770-7245</t>
  </si>
  <si>
    <t>3333-20-8179303</t>
  </si>
  <si>
    <t>670716-2030416</t>
  </si>
  <si>
    <t>010-2328-6318</t>
  </si>
  <si>
    <t>20260424-12</t>
  </si>
  <si>
    <t>김기현</t>
  </si>
  <si>
    <t>100-023-574-620</t>
  </si>
  <si>
    <t>640507-1637523</t>
  </si>
  <si>
    <t>010-8782-7962</t>
  </si>
  <si>
    <t>20260305-24</t>
  </si>
  <si>
    <t>장미희(양수)</t>
  </si>
  <si>
    <t>2026.00.00</t>
  </si>
  <si>
    <t>김나영</t>
  </si>
  <si>
    <t>1002-842-584214</t>
  </si>
  <si>
    <t>861110-2467217</t>
  </si>
  <si>
    <t>010-9316-2972</t>
  </si>
  <si>
    <t>강동</t>
  </si>
  <si>
    <t>심건희</t>
  </si>
  <si>
    <t>김나예</t>
  </si>
  <si>
    <t>352-7522-8985-63</t>
  </si>
  <si>
    <t>050327-4173816</t>
  </si>
  <si>
    <t>김별초(양도)</t>
  </si>
  <si>
    <t>김남선</t>
  </si>
  <si>
    <t>302-1278-9460-11</t>
  </si>
  <si>
    <t>550106-2055515</t>
  </si>
  <si>
    <t>010-4767-6021</t>
  </si>
  <si>
    <t>김남율</t>
  </si>
  <si>
    <t>759-02-253080</t>
  </si>
  <si>
    <t>650128-1691010</t>
  </si>
  <si>
    <t>010-6651-0231</t>
  </si>
  <si>
    <t>20260311-51</t>
  </si>
  <si>
    <t>-</t>
  </si>
  <si>
    <t>김대연</t>
  </si>
  <si>
    <t>543001-01-178604</t>
  </si>
  <si>
    <t>811007-1702811</t>
  </si>
  <si>
    <t>010-5469-0579</t>
  </si>
  <si>
    <t>20260404-55</t>
  </si>
  <si>
    <t>나성우(양도)</t>
  </si>
  <si>
    <t>이정환</t>
  </si>
  <si>
    <t>김도양</t>
  </si>
  <si>
    <t>235084-51-045854</t>
  </si>
  <si>
    <t>650120-2109019</t>
  </si>
  <si>
    <t>010-8273-5355</t>
  </si>
  <si>
    <t>유정숙</t>
  </si>
  <si>
    <t>김동수</t>
  </si>
  <si>
    <t>302-1430-4714-41</t>
  </si>
  <si>
    <t>530405-1025516</t>
  </si>
  <si>
    <t>010-7337-7114</t>
  </si>
  <si>
    <t>20260311-57</t>
  </si>
  <si>
    <t>김동주</t>
  </si>
  <si>
    <t>463502-01-121428</t>
  </si>
  <si>
    <t>620120-1011348</t>
  </si>
  <si>
    <t>010-5253-8885</t>
  </si>
  <si>
    <t>김동희</t>
  </si>
  <si>
    <t>029-24-0193-332</t>
  </si>
  <si>
    <t>590714-2066918</t>
  </si>
  <si>
    <t>010-4557-8665</t>
  </si>
  <si>
    <t>260204-41</t>
  </si>
  <si>
    <t>카드결재 200만원</t>
  </si>
  <si>
    <t>김두한</t>
  </si>
  <si>
    <t>1002-738-472149</t>
  </si>
  <si>
    <t>김성만(양도)</t>
  </si>
  <si>
    <t>김령</t>
  </si>
  <si>
    <t>3333-27-7006330</t>
  </si>
  <si>
    <t>760623-2249113</t>
  </si>
  <si>
    <t>010-6356-9152</t>
  </si>
  <si>
    <t>(증액) 25.12.16 계약 합본</t>
  </si>
  <si>
    <t>김명섭</t>
  </si>
  <si>
    <t>652702-04-686797</t>
  </si>
  <si>
    <t>790614-1830311</t>
  </si>
  <si>
    <t>010-2562-0614</t>
  </si>
  <si>
    <t>김명자</t>
  </si>
  <si>
    <t>214-902-040101-27</t>
  </si>
  <si>
    <t>570707-2167617</t>
  </si>
  <si>
    <t>010-3371-7037</t>
  </si>
  <si>
    <t>김명제</t>
  </si>
  <si>
    <t>327-08-054874</t>
  </si>
  <si>
    <t>570310-1168011</t>
  </si>
  <si>
    <t>010-5152-0191</t>
  </si>
  <si>
    <t>김명화</t>
  </si>
  <si>
    <t>576-810160-63307</t>
  </si>
  <si>
    <t>580915-2029724</t>
  </si>
  <si>
    <t>010-9234-4097</t>
  </si>
  <si>
    <t>이정연</t>
  </si>
  <si>
    <t>김명희</t>
  </si>
  <si>
    <t>411-910548-34407</t>
  </si>
  <si>
    <t>김무겸</t>
  </si>
  <si>
    <t>100-176-620042</t>
  </si>
  <si>
    <t>박소연</t>
  </si>
  <si>
    <t>890201-1482422</t>
  </si>
  <si>
    <t>010-5171-1545</t>
  </si>
  <si>
    <t>김영덕(양수)</t>
  </si>
  <si>
    <t>김미숙</t>
  </si>
  <si>
    <t>352-1298-0565-93</t>
  </si>
  <si>
    <t>630922-2489112</t>
  </si>
  <si>
    <t>010-4499-9721</t>
  </si>
  <si>
    <t>이민아</t>
  </si>
  <si>
    <t>848601-04-1255-93</t>
  </si>
  <si>
    <t>650124-2657511</t>
  </si>
  <si>
    <t>010-2777-0136</t>
  </si>
  <si>
    <t>유외옥</t>
  </si>
  <si>
    <t>100-119-977651</t>
  </si>
  <si>
    <t>620815-2829510</t>
  </si>
  <si>
    <t>010-8419-4488</t>
  </si>
  <si>
    <t>김미아</t>
  </si>
  <si>
    <t>302-1080-3623-31</t>
  </si>
  <si>
    <t>731206-2019131</t>
  </si>
  <si>
    <t>010-2083-9456</t>
  </si>
  <si>
    <t>에이멘B,증빙없음</t>
  </si>
  <si>
    <t>450-079863-02502</t>
  </si>
  <si>
    <t>610322-2010916</t>
  </si>
  <si>
    <t>010-2710-3311</t>
  </si>
  <si>
    <t>450-079863-02102</t>
  </si>
  <si>
    <t>20260305-57</t>
  </si>
  <si>
    <t>430-910681-03707</t>
  </si>
  <si>
    <t>730326-2667420</t>
  </si>
  <si>
    <t>010-3736-2444</t>
  </si>
  <si>
    <t>수협은행</t>
  </si>
  <si>
    <t>001-02-599-750-9</t>
  </si>
  <si>
    <t>620115-2474412</t>
  </si>
  <si>
    <t>010-2599-7509</t>
  </si>
  <si>
    <t>20260324-30</t>
  </si>
  <si>
    <t>김미옥</t>
  </si>
  <si>
    <t>302-7509-1009-01</t>
  </si>
  <si>
    <t>630507-2221818</t>
  </si>
  <si>
    <t>010-7509-1009</t>
  </si>
  <si>
    <t>20260404-80</t>
  </si>
  <si>
    <t>김미원</t>
  </si>
  <si>
    <t>640819-2644013</t>
  </si>
  <si>
    <t>010-9697-4379</t>
  </si>
  <si>
    <t>중액</t>
  </si>
  <si>
    <t>김미정</t>
  </si>
  <si>
    <t>하나</t>
  </si>
  <si>
    <t>164-910530-38007</t>
  </si>
  <si>
    <t>740207-2011324</t>
  </si>
  <si>
    <t>010-5282-8349</t>
  </si>
  <si>
    <t>김영희</t>
  </si>
  <si>
    <t>김미진</t>
  </si>
  <si>
    <t>356-0924-2882-13</t>
  </si>
  <si>
    <t>630917-2667418</t>
  </si>
  <si>
    <t>010-6311-6622</t>
  </si>
  <si>
    <t>김미향</t>
  </si>
  <si>
    <t>토스뱅크</t>
  </si>
  <si>
    <t>1001-4422-5918</t>
  </si>
  <si>
    <t>248-133533-02-001</t>
  </si>
  <si>
    <t>761110-2041414</t>
  </si>
  <si>
    <t>010-8330-3410</t>
  </si>
  <si>
    <t>김민정</t>
  </si>
  <si>
    <t>42330204-156597</t>
  </si>
  <si>
    <t>740501-2057827</t>
  </si>
  <si>
    <t>010-3470-2454</t>
  </si>
  <si>
    <t>3333-20-0221034</t>
  </si>
  <si>
    <t>831125-2803223</t>
  </si>
  <si>
    <t>010-4519-6070</t>
  </si>
  <si>
    <t>김범중</t>
  </si>
  <si>
    <t>100-147-811576</t>
  </si>
  <si>
    <t>720314-1041411</t>
  </si>
  <si>
    <t>010-4036-3838</t>
  </si>
  <si>
    <t>김병자</t>
  </si>
  <si>
    <t>322-12-021015</t>
  </si>
  <si>
    <t>530102-2025618</t>
  </si>
  <si>
    <t>010-7190-7822</t>
  </si>
  <si>
    <t>260204-40</t>
  </si>
  <si>
    <t>110-519-343524</t>
  </si>
  <si>
    <t>830422-2341813</t>
  </si>
  <si>
    <t>010-8309-0999</t>
  </si>
  <si>
    <t>김보혜</t>
  </si>
  <si>
    <t>3333-04-7291140</t>
  </si>
  <si>
    <t>841030-2341812</t>
  </si>
  <si>
    <t>010-4444-9754</t>
  </si>
  <si>
    <t>김사승</t>
  </si>
  <si>
    <t>시티은행</t>
  </si>
  <si>
    <t>445-08484-265-01</t>
  </si>
  <si>
    <t>590321-1249913</t>
  </si>
  <si>
    <t>010-4397-8408</t>
  </si>
  <si>
    <t>김상리</t>
  </si>
  <si>
    <t>78724-0026-251</t>
  </si>
  <si>
    <t>640812-2110629</t>
  </si>
  <si>
    <t>010-3168-0759</t>
  </si>
  <si>
    <t>260204-85</t>
  </si>
  <si>
    <t>김상원</t>
  </si>
  <si>
    <t>356-06-324554</t>
  </si>
  <si>
    <t>570217-2030323</t>
  </si>
  <si>
    <t>010-8753-5766</t>
  </si>
  <si>
    <t>김상향</t>
  </si>
  <si>
    <t>511301-01-114100</t>
  </si>
  <si>
    <t>620220-2058318</t>
  </si>
  <si>
    <t>010-5157-2602</t>
  </si>
  <si>
    <t>20260311-81</t>
  </si>
  <si>
    <t>일산</t>
  </si>
  <si>
    <t>김상희</t>
  </si>
  <si>
    <t>010-8294-6699</t>
  </si>
  <si>
    <t>661227-2566510</t>
  </si>
  <si>
    <t>김선미</t>
  </si>
  <si>
    <t>110-520-004271</t>
  </si>
  <si>
    <t>690825-2560411</t>
  </si>
  <si>
    <t>010-9054-8637</t>
  </si>
  <si>
    <t>20260424-51</t>
  </si>
  <si>
    <t>손서연</t>
  </si>
  <si>
    <t>김선영</t>
  </si>
  <si>
    <t>422402-01-147852</t>
  </si>
  <si>
    <t>750103-205747</t>
  </si>
  <si>
    <t>010-4619-5669</t>
  </si>
  <si>
    <t>260204-83</t>
  </si>
  <si>
    <t>영등포</t>
  </si>
  <si>
    <t>김선우</t>
  </si>
  <si>
    <t>29291064-335207</t>
  </si>
  <si>
    <t>070501-3042125</t>
  </si>
  <si>
    <t>25.10.1 김채빈 천만, 김선우 약수</t>
  </si>
  <si>
    <t>박명화</t>
  </si>
  <si>
    <t>김선호</t>
  </si>
  <si>
    <t>302-5624-9879</t>
  </si>
  <si>
    <t>730410-1626710</t>
  </si>
  <si>
    <t>김선희</t>
  </si>
  <si>
    <t>808-801-04-239034</t>
  </si>
  <si>
    <t>510610-6920054</t>
  </si>
  <si>
    <t>010-9035-0752</t>
  </si>
  <si>
    <t>20260405-54</t>
  </si>
  <si>
    <t>은행명 확인</t>
  </si>
  <si>
    <t>김성만</t>
  </si>
  <si>
    <t>110-516-511430</t>
  </si>
  <si>
    <t>570607-1017114</t>
  </si>
  <si>
    <t>010-7270-7613</t>
  </si>
  <si>
    <t>김성원</t>
  </si>
  <si>
    <t>1002-833-448110</t>
  </si>
  <si>
    <t>850110-1408720</t>
  </si>
  <si>
    <t>010-7932-7237</t>
  </si>
  <si>
    <t>김성태</t>
  </si>
  <si>
    <t>1002-636-158538</t>
  </si>
  <si>
    <t>570915-1674532</t>
  </si>
  <si>
    <t>010-6663-4918</t>
  </si>
  <si>
    <t>김성희</t>
  </si>
  <si>
    <t>3333-18891-5166</t>
  </si>
  <si>
    <t>901011-2083113</t>
  </si>
  <si>
    <t>김세원</t>
  </si>
  <si>
    <t>3333-3210-74066</t>
  </si>
  <si>
    <t>030226-4158945</t>
  </si>
  <si>
    <t>010-5327-7065</t>
  </si>
  <si>
    <t>김송금</t>
  </si>
  <si>
    <t>759302-01-298188</t>
  </si>
  <si>
    <t>841114-2566232</t>
  </si>
  <si>
    <t>010-5656-8991</t>
  </si>
  <si>
    <t>20260404-47</t>
  </si>
  <si>
    <t>김수림</t>
  </si>
  <si>
    <t>185-203149-02-001</t>
  </si>
  <si>
    <t>710305-2058010</t>
  </si>
  <si>
    <t>010-3838-5115</t>
  </si>
  <si>
    <t>김수용</t>
  </si>
  <si>
    <t>1002-645-160502</t>
  </si>
  <si>
    <t>720115-1644737</t>
  </si>
  <si>
    <t>010-3055-5100</t>
  </si>
  <si>
    <t>20260405-09</t>
  </si>
  <si>
    <t>송상남</t>
  </si>
  <si>
    <t>김수진</t>
  </si>
  <si>
    <t>100110-56-187061</t>
  </si>
  <si>
    <t>110-482-390825</t>
  </si>
  <si>
    <t>700917-2067712</t>
  </si>
  <si>
    <t>010-4570-3237</t>
  </si>
  <si>
    <t>25.9.26 3천, 25.9.29 3천만원 입금</t>
  </si>
  <si>
    <t>313-890572-16007</t>
  </si>
  <si>
    <t>25.10.12 3천, 25.10.16 이천, 25.10.17 천만원 입금'</t>
  </si>
  <si>
    <t>신협</t>
  </si>
  <si>
    <t>1132-091-809389</t>
  </si>
  <si>
    <t>680403-2390229</t>
  </si>
  <si>
    <t>010-2237-0174</t>
  </si>
  <si>
    <t>25.12.31 천만원</t>
  </si>
  <si>
    <t>110-429-238912</t>
  </si>
  <si>
    <t>821022-2074528</t>
  </si>
  <si>
    <t>010-9491-4154</t>
  </si>
  <si>
    <t>김병자(양도)</t>
  </si>
  <si>
    <t>신규</t>
  </si>
  <si>
    <t>4월~6월 800,000수당, 7월 1,200,000수당</t>
  </si>
  <si>
    <t>김순녀</t>
  </si>
  <si>
    <t>142-116755-01-014</t>
  </si>
  <si>
    <t>440527-2011619</t>
  </si>
  <si>
    <t>010-5222-6307</t>
  </si>
  <si>
    <t>20260311-34</t>
  </si>
  <si>
    <t>이기전(양수)</t>
  </si>
  <si>
    <t>김순례</t>
  </si>
  <si>
    <t>110-495-789850</t>
  </si>
  <si>
    <t>471223-2067722</t>
  </si>
  <si>
    <t>010-8911-0157</t>
  </si>
  <si>
    <t>오서현</t>
  </si>
  <si>
    <t>김순영</t>
  </si>
  <si>
    <t>666201-01-462316</t>
  </si>
  <si>
    <t>740510-2657626</t>
  </si>
  <si>
    <t>010-2329-1377</t>
  </si>
  <si>
    <t>20260404-09</t>
  </si>
  <si>
    <t>최지현</t>
  </si>
  <si>
    <t>김시준</t>
  </si>
  <si>
    <t>356-09256522-03</t>
  </si>
  <si>
    <t>071120-3237015</t>
  </si>
  <si>
    <t>010-5859-2406</t>
  </si>
  <si>
    <t>김신영</t>
  </si>
  <si>
    <t>233093-56-036865</t>
  </si>
  <si>
    <t>김안순</t>
  </si>
  <si>
    <t>132-066-041455</t>
  </si>
  <si>
    <t>690115-2411210</t>
  </si>
  <si>
    <t>010-2221-3859</t>
  </si>
  <si>
    <t>본사</t>
  </si>
  <si>
    <t>김알렉스</t>
  </si>
  <si>
    <t>155-910493-05507</t>
  </si>
  <si>
    <t>KIM ALEXHYUNCHUL</t>
  </si>
  <si>
    <t>미국거주</t>
  </si>
  <si>
    <t>김애숙</t>
  </si>
  <si>
    <t>110-162-363501</t>
  </si>
  <si>
    <t>660719-2566513</t>
  </si>
  <si>
    <t>010-2339-9650</t>
  </si>
  <si>
    <t>김양숙</t>
  </si>
  <si>
    <t>591104-2665811</t>
  </si>
  <si>
    <t>010-8465-7237</t>
  </si>
  <si>
    <t>26.3.10 계약서에 합본</t>
  </si>
  <si>
    <t>26.3.9 천만원, 26.3.10 천만원</t>
  </si>
  <si>
    <t>김억연</t>
  </si>
  <si>
    <t>110-2934-54374</t>
  </si>
  <si>
    <t>710627-1889614</t>
  </si>
  <si>
    <t>010-5290-0065</t>
  </si>
  <si>
    <t>김영덕</t>
  </si>
  <si>
    <t>518-1-197563</t>
  </si>
  <si>
    <t>640520-1495310</t>
  </si>
  <si>
    <t>김무겸(양도)</t>
  </si>
  <si>
    <t>김영돈</t>
  </si>
  <si>
    <t>110-486-382256</t>
  </si>
  <si>
    <t>781126-1046718</t>
  </si>
  <si>
    <t>010-9454-5285</t>
  </si>
  <si>
    <t>김영복</t>
  </si>
  <si>
    <t>601-20323047</t>
  </si>
  <si>
    <t>590420-1150318</t>
  </si>
  <si>
    <t>010-3334-9810</t>
  </si>
  <si>
    <t>20260405-30</t>
  </si>
  <si>
    <t>김영부</t>
  </si>
  <si>
    <t>100-031-642240</t>
  </si>
  <si>
    <t>기독교대한성결교회로고스교회</t>
  </si>
  <si>
    <t>416-82-81053</t>
  </si>
  <si>
    <t>에이멘비</t>
  </si>
  <si>
    <t>김영준</t>
  </si>
  <si>
    <t>302-2145-6907-51</t>
  </si>
  <si>
    <t>750822-1667419</t>
  </si>
  <si>
    <t>김영택</t>
  </si>
  <si>
    <t>321-022260-02-019</t>
  </si>
  <si>
    <t>560103-1095811</t>
  </si>
  <si>
    <t>010-5057-1373</t>
  </si>
  <si>
    <t>20260401-94</t>
  </si>
  <si>
    <t>김영화</t>
  </si>
  <si>
    <t>351-0671-5114-23</t>
  </si>
  <si>
    <t>570816-2721228</t>
  </si>
  <si>
    <t>010-2310-1549</t>
  </si>
  <si>
    <t>김영훈</t>
  </si>
  <si>
    <t>110-514-691726</t>
  </si>
  <si>
    <t>061219-3041626</t>
  </si>
  <si>
    <t>010-6891-0314</t>
  </si>
  <si>
    <t>211023-56-081416</t>
  </si>
  <si>
    <t>700819-2667416</t>
  </si>
  <si>
    <t>010-7278-5816</t>
  </si>
  <si>
    <t>26.6.20 부터 3천만원 수당, 박성수(양도), 김상권(양도)</t>
  </si>
  <si>
    <t>110-433-117452</t>
  </si>
  <si>
    <t>570817-2635211</t>
  </si>
  <si>
    <t>010-8289-0381</t>
  </si>
  <si>
    <t>양수, 증액</t>
  </si>
  <si>
    <t>110-185 526 135</t>
  </si>
  <si>
    <t>860601-1076314</t>
  </si>
  <si>
    <t>010-2280-9276</t>
  </si>
  <si>
    <t xml:space="preserve">양도
</t>
  </si>
  <si>
    <t>김왕재</t>
  </si>
  <si>
    <t>110-101-589179</t>
  </si>
  <si>
    <t>060228-3171814</t>
  </si>
  <si>
    <t>010-5234-8202</t>
  </si>
  <si>
    <t>20260311-95</t>
  </si>
  <si>
    <t>정연미(양수)</t>
  </si>
  <si>
    <t>인명숙</t>
  </si>
  <si>
    <t>김요림</t>
  </si>
  <si>
    <t>666202-01-701292</t>
  </si>
  <si>
    <t>900810-2156826</t>
  </si>
  <si>
    <t>010-6454-0810</t>
  </si>
  <si>
    <t>20260404-79</t>
  </si>
  <si>
    <t>김요한</t>
  </si>
  <si>
    <t>710210-1168819</t>
  </si>
  <si>
    <t>010-4095-0171</t>
  </si>
  <si>
    <t>동탄</t>
  </si>
  <si>
    <t>김용규</t>
  </si>
  <si>
    <t>1002-942-593052</t>
  </si>
  <si>
    <t>720604-1548317</t>
  </si>
  <si>
    <t>010-3152-3764</t>
  </si>
  <si>
    <t>20260401-57</t>
  </si>
  <si>
    <t>증액계약서 없음</t>
  </si>
  <si>
    <t>531164-52-108831</t>
  </si>
  <si>
    <t>김용순</t>
  </si>
  <si>
    <t>352-2104-6885-53</t>
  </si>
  <si>
    <t>650123-6920018</t>
  </si>
  <si>
    <t>김미원(양도)</t>
  </si>
  <si>
    <t>김용심</t>
  </si>
  <si>
    <t>302-1253-4191-61</t>
  </si>
  <si>
    <t>680313-2644632</t>
  </si>
  <si>
    <t>3천증액 후 영크(양도)</t>
  </si>
  <si>
    <t>김용철</t>
  </si>
  <si>
    <t>663-02-230450</t>
  </si>
  <si>
    <t>620516-1580721</t>
  </si>
  <si>
    <t>010-3666-5365</t>
  </si>
  <si>
    <t>20260311-21</t>
  </si>
  <si>
    <t>김운호</t>
  </si>
  <si>
    <t>591102-1548041</t>
  </si>
  <si>
    <t>010-6471-2886</t>
  </si>
  <si>
    <t>20260404-35</t>
  </si>
  <si>
    <t>이보령(양도)</t>
  </si>
  <si>
    <t>김원정</t>
  </si>
  <si>
    <t>8469-1018-128107</t>
  </si>
  <si>
    <t>921122-2083111</t>
  </si>
  <si>
    <t>010-6775-5625</t>
  </si>
  <si>
    <t>고양터미널</t>
  </si>
  <si>
    <t>이정희</t>
  </si>
  <si>
    <t>김윤진</t>
  </si>
  <si>
    <t>865701-01-238143</t>
  </si>
  <si>
    <t>820625-2821714</t>
  </si>
  <si>
    <t>김윤희</t>
  </si>
  <si>
    <t>305-08-277091</t>
  </si>
  <si>
    <t>750717-2162414</t>
  </si>
  <si>
    <t>김은경</t>
  </si>
  <si>
    <t>365-082379-02-101</t>
  </si>
  <si>
    <t>850916-2151713</t>
  </si>
  <si>
    <t>010-7674-1953</t>
  </si>
  <si>
    <t>20260404-26</t>
  </si>
  <si>
    <t>110-387-566665</t>
  </si>
  <si>
    <t>710626-2041511</t>
  </si>
  <si>
    <t>010-2301-0030</t>
  </si>
  <si>
    <t>민복돌</t>
  </si>
  <si>
    <t>100-253-112763</t>
  </si>
  <si>
    <t>660817-6780178</t>
  </si>
  <si>
    <t>010-4187-5531</t>
  </si>
  <si>
    <t>20260204-33</t>
  </si>
  <si>
    <t>125-141-94601-011</t>
  </si>
  <si>
    <t>이하연(양도) 26.5.5 천만원증액,6.17 50만급여, 7.10 100만급여</t>
  </si>
  <si>
    <t>김은실</t>
  </si>
  <si>
    <t>312-0208-1967-61</t>
  </si>
  <si>
    <t>620212-2251212</t>
  </si>
  <si>
    <t>010-5593-0778</t>
  </si>
  <si>
    <t>25.9.13 3천</t>
  </si>
  <si>
    <t>620212-2257212</t>
  </si>
  <si>
    <t>010-5593-0118</t>
  </si>
  <si>
    <t xml:space="preserve">25.9.20 천,25.9.27 천,25.11.29 천(증액) </t>
  </si>
  <si>
    <t>안산</t>
  </si>
  <si>
    <t>695001-01-238542</t>
  </si>
  <si>
    <t>김은정</t>
  </si>
  <si>
    <t>302-1822-5517-11</t>
  </si>
  <si>
    <t>791203-2122912</t>
  </si>
  <si>
    <t>010-7686-0955</t>
  </si>
  <si>
    <t>20260311-08</t>
  </si>
  <si>
    <t>26.5.5 5천만원 증액(서류보완), 26.7.11 6천만원 급여</t>
  </si>
  <si>
    <t>김은주</t>
  </si>
  <si>
    <t>010-8754-0005</t>
  </si>
  <si>
    <t>김은철</t>
  </si>
  <si>
    <t>501021-52-136575</t>
  </si>
  <si>
    <t>심순임(양도)</t>
  </si>
  <si>
    <t>김을태</t>
  </si>
  <si>
    <t>560909-2001710</t>
  </si>
  <si>
    <t>010-8804-7179</t>
  </si>
  <si>
    <t>20260404-39</t>
  </si>
  <si>
    <t>나호윤(양도)</t>
  </si>
  <si>
    <t>김응오</t>
  </si>
  <si>
    <t>570428-1237137</t>
  </si>
  <si>
    <t>010-7142-0690</t>
  </si>
  <si>
    <t>20260404-30</t>
  </si>
  <si>
    <t>김응호</t>
  </si>
  <si>
    <t>수지</t>
  </si>
  <si>
    <t>김이안</t>
  </si>
  <si>
    <t>3333-0592-34036</t>
  </si>
  <si>
    <t>960227-2011233</t>
  </si>
  <si>
    <t>010-3926-4228</t>
  </si>
  <si>
    <t>서류보완</t>
  </si>
  <si>
    <t>김인상</t>
  </si>
  <si>
    <t>1002-037-513462</t>
  </si>
  <si>
    <t>610612-1789739</t>
  </si>
  <si>
    <t>010-7722-3004</t>
  </si>
  <si>
    <t>김점숙</t>
  </si>
  <si>
    <t>312-0087-0553-11</t>
  </si>
  <si>
    <t>640229-2025816</t>
  </si>
  <si>
    <t>010-4201-9354</t>
  </si>
  <si>
    <t>김점순</t>
  </si>
  <si>
    <t>673-135100-02-101</t>
  </si>
  <si>
    <t>610218-2025816</t>
  </si>
  <si>
    <t>010-2329-8470</t>
  </si>
  <si>
    <t>20260405-70</t>
  </si>
  <si>
    <t>서인숙에 1천만원 양도</t>
  </si>
  <si>
    <t>김정미</t>
  </si>
  <si>
    <t>302-1486-6343-11</t>
  </si>
  <si>
    <t>600828-2052413</t>
  </si>
  <si>
    <t>010-3941-5205</t>
  </si>
  <si>
    <t>202603121-97</t>
  </si>
  <si>
    <t>김정분</t>
  </si>
  <si>
    <t>1005-003-341470</t>
  </si>
  <si>
    <t>600526-2319018</t>
  </si>
  <si>
    <t>010-5351-9704</t>
  </si>
  <si>
    <t>김정선</t>
  </si>
  <si>
    <t>4807102-01-016278</t>
  </si>
  <si>
    <t>750218-2010211</t>
  </si>
  <si>
    <t>010-5265-5946</t>
  </si>
  <si>
    <t>K뱅크</t>
  </si>
  <si>
    <t>100-208-006-420</t>
  </si>
  <si>
    <t>510916-2052811</t>
  </si>
  <si>
    <t>010-8497-6128</t>
  </si>
  <si>
    <t>352-2062-4395-83</t>
  </si>
  <si>
    <t>010-8477-6122</t>
  </si>
  <si>
    <t>100-209-006-420</t>
  </si>
  <si>
    <t>기업</t>
  </si>
  <si>
    <t>206-100871-01-010</t>
  </si>
  <si>
    <t>김정순</t>
  </si>
  <si>
    <t>228-120846-12-001</t>
  </si>
  <si>
    <t>630529-2056411</t>
  </si>
  <si>
    <t>김정애</t>
  </si>
  <si>
    <t>210-12-252612</t>
  </si>
  <si>
    <t>690410-2330910</t>
  </si>
  <si>
    <t>010-8793-9098</t>
  </si>
  <si>
    <t>현금(입금자:진헌주)</t>
  </si>
  <si>
    <t>김정우</t>
  </si>
  <si>
    <t>110-378-965937</t>
  </si>
  <si>
    <t>김정은</t>
  </si>
  <si>
    <t>352-1259-8550-93</t>
  </si>
  <si>
    <t>730303-2703327</t>
  </si>
  <si>
    <t>010-9545-0892</t>
  </si>
  <si>
    <t>356-0141701-013</t>
  </si>
  <si>
    <t>690905-2566517</t>
  </si>
  <si>
    <t>최한영</t>
  </si>
  <si>
    <t>김정임</t>
  </si>
  <si>
    <t>356-0090-8343-33</t>
  </si>
  <si>
    <t>670510-2231121</t>
  </si>
  <si>
    <t>010-9261-8355</t>
  </si>
  <si>
    <t>김종남</t>
  </si>
  <si>
    <t>100-124-902539</t>
  </si>
  <si>
    <t>591015-1047936</t>
  </si>
  <si>
    <t>010-2765-9654</t>
  </si>
  <si>
    <t>김종녀</t>
  </si>
  <si>
    <t>302-1176-8409-01</t>
  </si>
  <si>
    <t>581021-2168115</t>
  </si>
  <si>
    <t>010-2421-1655</t>
  </si>
  <si>
    <t>카드(7/24 1000만), 현금(7/28 44만)</t>
  </si>
  <si>
    <t>LAS주인형(국내)</t>
  </si>
  <si>
    <t>584102-01-727026</t>
  </si>
  <si>
    <t>김종수</t>
  </si>
  <si>
    <t>1000-3531-3143</t>
  </si>
  <si>
    <t>980427-1070217</t>
  </si>
  <si>
    <t>010-4053-0973</t>
  </si>
  <si>
    <t>김종헌</t>
  </si>
  <si>
    <t>100-019-798198</t>
  </si>
  <si>
    <t>김주성</t>
  </si>
  <si>
    <t>080318-3496920</t>
  </si>
  <si>
    <t>20260401-56</t>
  </si>
  <si>
    <t>김주은</t>
  </si>
  <si>
    <t>930507-</t>
  </si>
  <si>
    <t>010-4145-3004</t>
  </si>
  <si>
    <t>20260305-90</t>
  </si>
  <si>
    <t>김주이</t>
  </si>
  <si>
    <t>새마을</t>
  </si>
  <si>
    <t>9003-2946-5579-1</t>
  </si>
  <si>
    <t>620221-2684217</t>
  </si>
  <si>
    <t>010-9072-4005</t>
  </si>
  <si>
    <t>김준형</t>
  </si>
  <si>
    <t>499402-01-277094</t>
  </si>
  <si>
    <t>831119-1081413</t>
  </si>
  <si>
    <t>010-4933-4918</t>
  </si>
  <si>
    <t>김지선</t>
  </si>
  <si>
    <t>356-1446-1396-13</t>
  </si>
  <si>
    <t>900808-2011110</t>
  </si>
  <si>
    <t>010-3436-4407</t>
  </si>
  <si>
    <t>20260311-87</t>
  </si>
  <si>
    <t>주민번호확인</t>
  </si>
  <si>
    <t>3333-05-2908920</t>
  </si>
  <si>
    <t>김지섭</t>
  </si>
  <si>
    <t>840229-1730715</t>
  </si>
  <si>
    <t>010-4335-0369</t>
  </si>
  <si>
    <t>20260404-40</t>
  </si>
  <si>
    <t>840229-1703715</t>
  </si>
  <si>
    <t>김지성</t>
  </si>
  <si>
    <t>061123-3496911</t>
  </si>
  <si>
    <t>20260305-58</t>
  </si>
  <si>
    <t>김지영</t>
  </si>
  <si>
    <t>1002-136-046732</t>
  </si>
  <si>
    <t>640812-2037310</t>
  </si>
  <si>
    <t>010-9003-9085</t>
  </si>
  <si>
    <t>20260424-100</t>
  </si>
  <si>
    <t>788-160046-02-102</t>
  </si>
  <si>
    <t>690310-2328321</t>
  </si>
  <si>
    <t>3333-23-4091369</t>
  </si>
  <si>
    <t>820423-2224215</t>
  </si>
  <si>
    <t>김진석</t>
  </si>
  <si>
    <t>3333-12-9957053</t>
  </si>
  <si>
    <t>김진선</t>
  </si>
  <si>
    <t>497801-01-198035</t>
  </si>
  <si>
    <t>820726-2649912</t>
  </si>
  <si>
    <t>010-3254-0742</t>
  </si>
  <si>
    <t>352-0257-7656-13</t>
  </si>
  <si>
    <t>520826-1025417</t>
  </si>
  <si>
    <t>010-7565-7950</t>
  </si>
  <si>
    <t>260204-01</t>
  </si>
  <si>
    <t>김진옥</t>
  </si>
  <si>
    <t>071-036670-03-015</t>
  </si>
  <si>
    <t>김진홍</t>
  </si>
  <si>
    <t>1002-249-266322</t>
  </si>
  <si>
    <t>590710-1621611</t>
  </si>
  <si>
    <t>010-0000-2635</t>
  </si>
  <si>
    <t>20260305-91</t>
  </si>
  <si>
    <t>전화번호 확인</t>
  </si>
  <si>
    <t>김찬자</t>
  </si>
  <si>
    <t>082-21-0840-184</t>
  </si>
  <si>
    <t>520218-2155416</t>
  </si>
  <si>
    <t>010-5289-3133</t>
  </si>
  <si>
    <t>김춘강</t>
  </si>
  <si>
    <t>110-086-835-760</t>
  </si>
  <si>
    <t>안순희</t>
  </si>
  <si>
    <t>김춘봉</t>
  </si>
  <si>
    <t>302-1787-7879-31</t>
  </si>
  <si>
    <t>470629-2020614</t>
  </si>
  <si>
    <t>010-6280-1703</t>
  </si>
  <si>
    <t>260224-72</t>
  </si>
  <si>
    <t>김춘자</t>
  </si>
  <si>
    <t>302-0112-8615-91</t>
  </si>
  <si>
    <t>590917-2388711</t>
  </si>
  <si>
    <t>010-5899-7581</t>
  </si>
  <si>
    <t>26.4.3 양수계약서에 합본</t>
  </si>
  <si>
    <t>125-12-155653</t>
  </si>
  <si>
    <t>540603-2162416</t>
  </si>
  <si>
    <t>대리인 마포 김수현과장 연락처</t>
  </si>
  <si>
    <t>김태영</t>
  </si>
  <si>
    <t>627-12-231360</t>
  </si>
  <si>
    <t>640210-2490411</t>
  </si>
  <si>
    <t>010-4627-8912</t>
  </si>
  <si>
    <t>260129-91</t>
  </si>
  <si>
    <t>김태은</t>
  </si>
  <si>
    <t>870709-2470814</t>
  </si>
  <si>
    <t>010-6510-2880</t>
  </si>
  <si>
    <t>20260404-56</t>
  </si>
  <si>
    <t>김태희</t>
  </si>
  <si>
    <t>921221-2408837</t>
  </si>
  <si>
    <t>010-5112-1416</t>
  </si>
  <si>
    <t>20260404-36</t>
  </si>
  <si>
    <t>김해진</t>
  </si>
  <si>
    <t>351-0737-0350-93</t>
  </si>
  <si>
    <t>640918-1661428</t>
  </si>
  <si>
    <t>010-2062-7324</t>
  </si>
  <si>
    <t>김행정</t>
  </si>
  <si>
    <t>805-21-0314304</t>
  </si>
  <si>
    <t>710526-2068123</t>
  </si>
  <si>
    <t>010-76079229</t>
  </si>
  <si>
    <t>20260401-41</t>
  </si>
  <si>
    <t>김향금</t>
  </si>
  <si>
    <t>019-24-04-99335</t>
  </si>
  <si>
    <t>카드, 에이멘B</t>
  </si>
  <si>
    <t>김현</t>
  </si>
  <si>
    <t>3333-05-1201-846</t>
  </si>
  <si>
    <t>871018-1151710</t>
  </si>
  <si>
    <t>010-6348-8718</t>
  </si>
  <si>
    <t>20260404-22</t>
  </si>
  <si>
    <t>김현경</t>
  </si>
  <si>
    <t>1002-330-281184</t>
  </si>
  <si>
    <t>771225-6100371</t>
  </si>
  <si>
    <t>010-4914-3072</t>
  </si>
  <si>
    <t>김현숙</t>
  </si>
  <si>
    <t>191-346545-02-007</t>
  </si>
  <si>
    <t>490219-2066811</t>
  </si>
  <si>
    <t>010-4131-0269</t>
  </si>
  <si>
    <t>251224-01</t>
  </si>
  <si>
    <t>3333-01-9339593</t>
  </si>
  <si>
    <t>640120-2235622</t>
  </si>
  <si>
    <t>010-6321-5937</t>
  </si>
  <si>
    <t>302-0983-6643-81</t>
  </si>
  <si>
    <t>620605-2574716</t>
  </si>
  <si>
    <t>010-4008-6179</t>
  </si>
  <si>
    <t>010-20735340-407</t>
  </si>
  <si>
    <t>691205-2472229</t>
  </si>
  <si>
    <t>010-7172-5340</t>
  </si>
  <si>
    <t>김현자</t>
  </si>
  <si>
    <t>600422-2543514</t>
  </si>
  <si>
    <t>010-6365-0889</t>
  </si>
  <si>
    <t>20260404-38</t>
  </si>
  <si>
    <t>600402-2543574</t>
  </si>
  <si>
    <t>김현정</t>
  </si>
  <si>
    <t>677202-01-204120</t>
  </si>
  <si>
    <t>680730-2829113</t>
  </si>
  <si>
    <t>010-2870-7043</t>
  </si>
  <si>
    <t>김현철</t>
  </si>
  <si>
    <t>660830-1011222</t>
  </si>
  <si>
    <t>010-9248-9595</t>
  </si>
  <si>
    <t>1002-534-998012</t>
  </si>
  <si>
    <t>750921-1019616</t>
  </si>
  <si>
    <t>010-8074-0381</t>
  </si>
  <si>
    <t>최유정</t>
  </si>
  <si>
    <t>김형수</t>
  </si>
  <si>
    <t>9377-02-00318090</t>
  </si>
  <si>
    <t>980313-1076521</t>
  </si>
  <si>
    <t>최유정(양도)</t>
  </si>
  <si>
    <t>김혜경</t>
  </si>
  <si>
    <t>219-910162-77907</t>
  </si>
  <si>
    <t>570310-2011324</t>
  </si>
  <si>
    <t>010-4121-6578</t>
  </si>
  <si>
    <t>129-087636-12-101</t>
  </si>
  <si>
    <t>620102-2009110</t>
  </si>
  <si>
    <t>010-9356-1080</t>
  </si>
  <si>
    <t>쿱전환</t>
  </si>
  <si>
    <t>김혜남</t>
  </si>
  <si>
    <t>1002-136-473644</t>
  </si>
  <si>
    <t>601210-2011322</t>
  </si>
  <si>
    <t>010-4563-8179</t>
  </si>
  <si>
    <t>김혜람</t>
  </si>
  <si>
    <t>토스은행</t>
  </si>
  <si>
    <t>1001-7743-5377</t>
  </si>
  <si>
    <t>750826-2010921</t>
  </si>
  <si>
    <t>010-9178-0750</t>
  </si>
  <si>
    <t>20260324-04</t>
  </si>
  <si>
    <t>110-280-671849</t>
  </si>
  <si>
    <t>김혜지</t>
  </si>
  <si>
    <t>오기입</t>
  </si>
  <si>
    <t>김호진</t>
  </si>
  <si>
    <t>270-21-0151-137</t>
  </si>
  <si>
    <t>760313-2042220</t>
  </si>
  <si>
    <t>010-7360-7257</t>
  </si>
  <si>
    <t>김홍구</t>
  </si>
  <si>
    <t>110-245-633255</t>
  </si>
  <si>
    <t>710510-1030116</t>
  </si>
  <si>
    <t>010-5379-5541</t>
  </si>
  <si>
    <t>20260404-50</t>
  </si>
  <si>
    <t>김홍희</t>
  </si>
  <si>
    <t>100-215-273053</t>
  </si>
  <si>
    <t>670514-2637516</t>
  </si>
  <si>
    <t>010-2712-5076</t>
  </si>
  <si>
    <t>채사랑</t>
  </si>
  <si>
    <t>김화정</t>
  </si>
  <si>
    <t>781-24-0033-627</t>
  </si>
  <si>
    <t>721127-2042043</t>
  </si>
  <si>
    <t>010-2308-6092</t>
  </si>
  <si>
    <t>20260405-78</t>
  </si>
  <si>
    <t>김화희</t>
  </si>
  <si>
    <t>351-1374-7798-93</t>
  </si>
  <si>
    <t>621025-2079214</t>
  </si>
  <si>
    <t>010-9241-8826</t>
  </si>
  <si>
    <t>김효숙</t>
  </si>
  <si>
    <t>659401-01-456861</t>
  </si>
  <si>
    <t>630505-2154917</t>
  </si>
  <si>
    <t>010-9007-5415</t>
  </si>
  <si>
    <t>20260311-28</t>
  </si>
  <si>
    <t>김효순</t>
  </si>
  <si>
    <t>610324-2390210</t>
  </si>
  <si>
    <t>010-8636-5323</t>
  </si>
  <si>
    <t>현금(입금자:박명화)</t>
  </si>
  <si>
    <t>입금액 없음(?)</t>
  </si>
  <si>
    <t>351-0058-4501-83</t>
  </si>
  <si>
    <t>600215-2162319</t>
  </si>
  <si>
    <t>010-6206-8282</t>
  </si>
  <si>
    <t>김희수</t>
  </si>
  <si>
    <t>3333-1889-15166</t>
  </si>
  <si>
    <t>900321-1187319</t>
  </si>
  <si>
    <t>김희영</t>
  </si>
  <si>
    <t>356-0244-2552-53</t>
  </si>
  <si>
    <t>650704-2650610</t>
  </si>
  <si>
    <t>나건국</t>
  </si>
  <si>
    <t>228-21-0813-974</t>
  </si>
  <si>
    <t>660625-1067716</t>
  </si>
  <si>
    <t>010-8634-1255</t>
  </si>
  <si>
    <t>20260401-92</t>
  </si>
  <si>
    <t>100-023-574620</t>
  </si>
  <si>
    <t>나성우</t>
  </si>
  <si>
    <t>1002-758-675462</t>
  </si>
  <si>
    <t>20260204-35</t>
  </si>
  <si>
    <t>229-910469-05007</t>
  </si>
  <si>
    <t>610204-1024838</t>
  </si>
  <si>
    <t>김응호,김지섭,이정학,홍명희,김대연(5명 양도)</t>
  </si>
  <si>
    <t>나유경</t>
  </si>
  <si>
    <t>씨티은행</t>
  </si>
  <si>
    <t>421-51330-267</t>
  </si>
  <si>
    <t>741125-2140326</t>
  </si>
  <si>
    <t>신정환(양도)</t>
  </si>
  <si>
    <t>나호윤</t>
  </si>
  <si>
    <t>930208-1072518</t>
  </si>
  <si>
    <t>010-3547-3850</t>
  </si>
  <si>
    <t>260204-36</t>
  </si>
  <si>
    <t>110-315-830019</t>
  </si>
  <si>
    <t>김현자,김태희,김을태,서상진,김태은(5명 양도)</t>
  </si>
  <si>
    <t>남선희</t>
  </si>
  <si>
    <t>1002-347-084721</t>
  </si>
  <si>
    <t>남정배</t>
  </si>
  <si>
    <t>100030-52-063222</t>
  </si>
  <si>
    <t>710824-1815212</t>
  </si>
  <si>
    <t>010-3994-9774</t>
  </si>
  <si>
    <t>20260404-96</t>
  </si>
  <si>
    <t>26.4.17 계약서에 합본</t>
  </si>
  <si>
    <t>307-039439-12001</t>
  </si>
  <si>
    <t>530115-2006128</t>
  </si>
  <si>
    <t>010-2204-1462</t>
  </si>
  <si>
    <t>노아연</t>
  </si>
  <si>
    <t>100-107-407123</t>
  </si>
  <si>
    <t>820419-2558211</t>
  </si>
  <si>
    <t>010-9000-7846</t>
  </si>
  <si>
    <t>1002-634-570005</t>
  </si>
  <si>
    <t>690802-2168021</t>
  </si>
  <si>
    <t>010-5315-9756</t>
  </si>
  <si>
    <t>26.4.23 계약서와 합본</t>
  </si>
  <si>
    <t>3333-35-8089017</t>
  </si>
  <si>
    <t>620516-2560321</t>
  </si>
  <si>
    <t>010-7591-6555</t>
  </si>
  <si>
    <t>302-2129-4054-11</t>
  </si>
  <si>
    <t>800626-2254014</t>
  </si>
  <si>
    <t>010-4711-8965</t>
  </si>
  <si>
    <t>라수정</t>
  </si>
  <si>
    <t>864401-01-052344</t>
  </si>
  <si>
    <t>보완</t>
  </si>
  <si>
    <t>라옥순</t>
  </si>
  <si>
    <t>551701-04-034047</t>
  </si>
  <si>
    <t>630301-2395200</t>
  </si>
  <si>
    <t>최초계약, 폐기</t>
  </si>
  <si>
    <t>류희자</t>
  </si>
  <si>
    <t>825-24-0204-011</t>
  </si>
  <si>
    <t>550226-2241313</t>
  </si>
  <si>
    <t>010-8654-7450</t>
  </si>
  <si>
    <t>260224-76</t>
  </si>
  <si>
    <t>문서휘</t>
  </si>
  <si>
    <t>3021-6864-86631</t>
  </si>
  <si>
    <t>문정란</t>
  </si>
  <si>
    <t>754202-04-132523</t>
  </si>
  <si>
    <t>791217-2047132</t>
  </si>
  <si>
    <t>010-9198-1217</t>
  </si>
  <si>
    <t>문진주</t>
  </si>
  <si>
    <t>217051-51-081277</t>
  </si>
  <si>
    <t>590515-2226139</t>
  </si>
  <si>
    <t>010-3588-4707</t>
  </si>
  <si>
    <t>20260311-10</t>
  </si>
  <si>
    <t>박기운</t>
  </si>
  <si>
    <t>문진천</t>
  </si>
  <si>
    <t>352-1158-787713</t>
  </si>
  <si>
    <t>630520-2715614</t>
  </si>
  <si>
    <t>010-6433-7835</t>
  </si>
  <si>
    <t>260224-85</t>
  </si>
  <si>
    <t>문진철</t>
  </si>
  <si>
    <t>012-4010-2425552</t>
  </si>
  <si>
    <t>640714-2921711</t>
  </si>
  <si>
    <t>010-6886-5137</t>
  </si>
  <si>
    <t>박경숙</t>
  </si>
  <si>
    <t>285-023465-02-018</t>
  </si>
  <si>
    <t>600107-2235411</t>
  </si>
  <si>
    <t>010-7520-5589</t>
  </si>
  <si>
    <t>25.11.24 계약서 합본</t>
  </si>
  <si>
    <t>박경아</t>
  </si>
  <si>
    <t>743-910198-36807</t>
  </si>
  <si>
    <t>730609-2221221</t>
  </si>
  <si>
    <t>010-9623-5666</t>
  </si>
  <si>
    <t>20260305-69</t>
  </si>
  <si>
    <t>박관규</t>
  </si>
  <si>
    <t>827-21-0550-956</t>
  </si>
  <si>
    <t>710225-1122633</t>
  </si>
  <si>
    <t>010-3779-0256</t>
  </si>
  <si>
    <t>110-0088-57720</t>
  </si>
  <si>
    <t>600617-1002314</t>
  </si>
  <si>
    <t>010-9461-9350</t>
  </si>
  <si>
    <t>박동재</t>
  </si>
  <si>
    <t>352-2137-123-131</t>
  </si>
  <si>
    <t>741220-2333822</t>
  </si>
  <si>
    <t>010-2750-2378</t>
  </si>
  <si>
    <t>박동제</t>
  </si>
  <si>
    <t>1002-452-999419</t>
  </si>
  <si>
    <t>941201-1401412</t>
  </si>
  <si>
    <t>송삼남</t>
  </si>
  <si>
    <t>박란</t>
  </si>
  <si>
    <t>5825-020104-9618</t>
  </si>
  <si>
    <t>700424-2030810</t>
  </si>
  <si>
    <t>010-4277-0255</t>
  </si>
  <si>
    <t>20251211-209</t>
  </si>
  <si>
    <t>(증액) 26.2.8 천만원</t>
  </si>
  <si>
    <t>박명숙</t>
  </si>
  <si>
    <t>077-21-0938-460</t>
  </si>
  <si>
    <t>710415-2667438</t>
  </si>
  <si>
    <t>010-4531-5073</t>
  </si>
  <si>
    <t>박명희</t>
  </si>
  <si>
    <t>710415-2667422</t>
  </si>
  <si>
    <t>010-8712-5073</t>
  </si>
  <si>
    <t>091-24-0230-115</t>
  </si>
  <si>
    <t>730209-2017125</t>
  </si>
  <si>
    <t>최수호(양도)</t>
  </si>
  <si>
    <t>박문제</t>
  </si>
  <si>
    <t>356-1632-1741-73</t>
  </si>
  <si>
    <t>박미선</t>
  </si>
  <si>
    <t>595-073156-02-101</t>
  </si>
  <si>
    <t>010619-2249518</t>
  </si>
  <si>
    <t>010-5092-6282</t>
  </si>
  <si>
    <t>카드(롯데/신한/우리)</t>
  </si>
  <si>
    <t>827-20-0378-347</t>
  </si>
  <si>
    <t>620211-2162212</t>
  </si>
  <si>
    <t xml:space="preserve">25.10.30 BC카드 1,500백,11.5 신한카드 8백, 11.5 700,11.20 6천, 12.4 2천,12.11 천 </t>
  </si>
  <si>
    <t>427-20-088072</t>
  </si>
  <si>
    <t>770723-2817214</t>
  </si>
  <si>
    <t>010-8430-7122</t>
  </si>
  <si>
    <t>25.9.7 3천만 증액</t>
  </si>
  <si>
    <t>유의옥</t>
  </si>
  <si>
    <t>815110-56-058050</t>
  </si>
  <si>
    <t>681118-2923511</t>
  </si>
  <si>
    <t>박미자</t>
  </si>
  <si>
    <t>1005-403-890251</t>
  </si>
  <si>
    <t>620508-2002321</t>
  </si>
  <si>
    <t>010-8769-7550</t>
  </si>
  <si>
    <t>이상순</t>
  </si>
  <si>
    <t>박미혜</t>
  </si>
  <si>
    <t>132-094-489270</t>
  </si>
  <si>
    <t>박상극</t>
  </si>
  <si>
    <t>110-009-483826</t>
  </si>
  <si>
    <t>651014-1772911</t>
  </si>
  <si>
    <t>010-3389-2363</t>
  </si>
  <si>
    <t>051-21-0436-985</t>
  </si>
  <si>
    <t>630220-2006817</t>
  </si>
  <si>
    <t>010-5919-8205</t>
  </si>
  <si>
    <t>박선민</t>
  </si>
  <si>
    <t>211-910260-72007</t>
  </si>
  <si>
    <t>880115-2002413</t>
  </si>
  <si>
    <t>010-2522-0606</t>
  </si>
  <si>
    <t>20260424-72</t>
  </si>
  <si>
    <t>박성철</t>
  </si>
  <si>
    <t>1002-130-791256</t>
  </si>
  <si>
    <t>750424-1659411</t>
  </si>
  <si>
    <t>010-4152-0191</t>
  </si>
  <si>
    <t>20260305-11</t>
  </si>
  <si>
    <t>박세영</t>
  </si>
  <si>
    <t>208-127561-01-015</t>
  </si>
  <si>
    <t>611204-1029916</t>
  </si>
  <si>
    <t>010-6342-8461</t>
  </si>
  <si>
    <t>20260305-53</t>
  </si>
  <si>
    <t>312-910460-33907</t>
  </si>
  <si>
    <t>620725-2547515</t>
  </si>
  <si>
    <t>박순석</t>
  </si>
  <si>
    <t>SC제일</t>
  </si>
  <si>
    <t>597-20-092915</t>
  </si>
  <si>
    <t>591229-2167734</t>
  </si>
  <si>
    <t>010-7216-4405</t>
  </si>
  <si>
    <t>박순영</t>
  </si>
  <si>
    <t>302-3077-4335-91</t>
  </si>
  <si>
    <t>650516-2654716</t>
  </si>
  <si>
    <t>010-3077-4335</t>
  </si>
  <si>
    <t>20260305-70</t>
  </si>
  <si>
    <t>박순옥</t>
  </si>
  <si>
    <t>770505-2252111</t>
  </si>
  <si>
    <t>010-9029-8410</t>
  </si>
  <si>
    <t>박승우</t>
  </si>
  <si>
    <t>901010-56-059386</t>
  </si>
  <si>
    <t>580515-1951028</t>
  </si>
  <si>
    <t>010-5549-1316</t>
  </si>
  <si>
    <t>20260405-29</t>
  </si>
  <si>
    <t>박연주</t>
  </si>
  <si>
    <t>3333-04-4926267</t>
  </si>
  <si>
    <t>930607-2068925</t>
  </si>
  <si>
    <t>박영균</t>
  </si>
  <si>
    <t>265-24-0052666</t>
  </si>
  <si>
    <t>741117-1231743</t>
  </si>
  <si>
    <t>010-9642-1118</t>
  </si>
  <si>
    <t>260204-86</t>
  </si>
  <si>
    <t>박영길</t>
  </si>
  <si>
    <t>217-12-048721</t>
  </si>
  <si>
    <t>630322-1037317</t>
  </si>
  <si>
    <t>010-3705-4133</t>
  </si>
  <si>
    <t>박영원</t>
  </si>
  <si>
    <t>585-810094-30707</t>
  </si>
  <si>
    <t>610803-2047614</t>
  </si>
  <si>
    <t>010-52950471</t>
  </si>
  <si>
    <t>박은경</t>
  </si>
  <si>
    <t>110-433-357223</t>
  </si>
  <si>
    <t>760129-2807629</t>
  </si>
  <si>
    <t>010-9557-3210</t>
  </si>
  <si>
    <t>유문화</t>
  </si>
  <si>
    <t>박은미</t>
  </si>
  <si>
    <t>302-1197-8981-41</t>
  </si>
  <si>
    <t>박은영</t>
  </si>
  <si>
    <t>10005052-136959</t>
  </si>
  <si>
    <t>590811-2011127</t>
  </si>
  <si>
    <t>박인숙</t>
  </si>
  <si>
    <t>110-614-87787</t>
  </si>
  <si>
    <t>680404-2162213</t>
  </si>
  <si>
    <t>010-6223-7827</t>
  </si>
  <si>
    <t>010-7749-2484</t>
  </si>
  <si>
    <t>640425-2006236</t>
  </si>
  <si>
    <t>20260405-63</t>
  </si>
  <si>
    <t>26.5.13 계약서에 합본</t>
  </si>
  <si>
    <t>010-7749-2434</t>
  </si>
  <si>
    <t>천만원 증액</t>
  </si>
  <si>
    <t>박일수</t>
  </si>
  <si>
    <t>110-458-337763</t>
  </si>
  <si>
    <t>600610-1648321</t>
  </si>
  <si>
    <t>010-4461-2207</t>
  </si>
  <si>
    <t>박임숙</t>
  </si>
  <si>
    <t>293-21-0072-044</t>
  </si>
  <si>
    <t>540719-2114112</t>
  </si>
  <si>
    <t>010-4321-8852</t>
  </si>
  <si>
    <t>NH농협은행</t>
  </si>
  <si>
    <t>302-2054-800071</t>
  </si>
  <si>
    <t>681007-2925121</t>
  </si>
  <si>
    <t>010-2054-8000</t>
  </si>
  <si>
    <t>박정란</t>
  </si>
  <si>
    <t>180-08-278139</t>
  </si>
  <si>
    <t>520625-2025116</t>
  </si>
  <si>
    <t>010-3207-1325</t>
  </si>
  <si>
    <t>박정미</t>
  </si>
  <si>
    <t>1002-532-075145</t>
  </si>
  <si>
    <t>741111-2081310</t>
  </si>
  <si>
    <t>010-5161-5873</t>
  </si>
  <si>
    <t>합산3천</t>
  </si>
  <si>
    <t>LAS주인형A(국내A)</t>
  </si>
  <si>
    <t>서초</t>
  </si>
  <si>
    <t>박정진</t>
  </si>
  <si>
    <t>110-189429-705</t>
  </si>
  <si>
    <t>346-06-264252</t>
  </si>
  <si>
    <t>791227-2056213</t>
  </si>
  <si>
    <t>010-8922-0032</t>
  </si>
  <si>
    <t>박정희</t>
  </si>
  <si>
    <t>302-1195-2579-41</t>
  </si>
  <si>
    <t>560115-2155131</t>
  </si>
  <si>
    <t>010-7216-3678</t>
  </si>
  <si>
    <t>20260401-89</t>
  </si>
  <si>
    <t>박종구</t>
  </si>
  <si>
    <t>1002-502-440540</t>
  </si>
  <si>
    <t>박주경</t>
  </si>
  <si>
    <t>433402-01-257690</t>
  </si>
  <si>
    <t>011230-4670627</t>
  </si>
  <si>
    <t>010-5213-2301</t>
  </si>
  <si>
    <t>박주덕</t>
  </si>
  <si>
    <t>771030-1057810</t>
  </si>
  <si>
    <t>010-4187-7902</t>
  </si>
  <si>
    <t>20260305-19</t>
  </si>
  <si>
    <t>박주환</t>
  </si>
  <si>
    <t>356-0588-6513-73</t>
  </si>
  <si>
    <t>670812-1321110</t>
  </si>
  <si>
    <t>010-3005-6463</t>
  </si>
  <si>
    <t>박준혁</t>
  </si>
  <si>
    <t>206-104354-01-013</t>
  </si>
  <si>
    <t>김남길(양도)</t>
  </si>
  <si>
    <t>1002-743-275072</t>
  </si>
  <si>
    <t>880618-1253710</t>
  </si>
  <si>
    <t>010-4890-3551</t>
  </si>
  <si>
    <t>20260324-36</t>
  </si>
  <si>
    <t>박지경</t>
  </si>
  <si>
    <t>350401-04-014127</t>
  </si>
  <si>
    <t>710528-2036811</t>
  </si>
  <si>
    <t>010-8946-1489</t>
  </si>
  <si>
    <t>박지성</t>
  </si>
  <si>
    <t>337-410842-02-001</t>
  </si>
  <si>
    <t>890515-1029919</t>
  </si>
  <si>
    <t>010-3123-3500</t>
  </si>
  <si>
    <t>20260405-05</t>
  </si>
  <si>
    <t>전진숙(양도)</t>
  </si>
  <si>
    <t>26.2.13 3천만원(양수포함), 26.5.10 3천만원 증액</t>
  </si>
  <si>
    <t>박지안</t>
  </si>
  <si>
    <t>352-0561-3811-93</t>
  </si>
  <si>
    <t>941210-2829119</t>
  </si>
  <si>
    <t>010-7200-7043</t>
  </si>
  <si>
    <t>1002-1080-8117</t>
  </si>
  <si>
    <t>010726-4044212</t>
  </si>
  <si>
    <t>010-7490-0691</t>
  </si>
  <si>
    <t>010726-4074212</t>
  </si>
  <si>
    <t>박진숙</t>
  </si>
  <si>
    <t>산림조합</t>
  </si>
  <si>
    <t>113-12-0066093</t>
  </si>
  <si>
    <t>690311-2247712</t>
  </si>
  <si>
    <t>010-7412-5278</t>
  </si>
  <si>
    <t>20260311-52</t>
  </si>
  <si>
    <t>박진현</t>
  </si>
  <si>
    <t>대구은행</t>
  </si>
  <si>
    <t>223-13-113677</t>
  </si>
  <si>
    <t>601006-2671111</t>
  </si>
  <si>
    <t>010-6532-1231</t>
  </si>
  <si>
    <t>20260311-53</t>
  </si>
  <si>
    <t>박창예</t>
  </si>
  <si>
    <t>302-4180-6328-31</t>
  </si>
  <si>
    <t>640827-2666011</t>
  </si>
  <si>
    <t>010-4180-6328</t>
  </si>
  <si>
    <t>20260311</t>
  </si>
  <si>
    <t>박택금</t>
  </si>
  <si>
    <t>132-113-228917</t>
  </si>
  <si>
    <t>박해묵</t>
  </si>
  <si>
    <t>110-513-885191</t>
  </si>
  <si>
    <t>520616-1025021</t>
  </si>
  <si>
    <t>010-8859-0617</t>
  </si>
  <si>
    <t>박흥모</t>
  </si>
  <si>
    <t>203038-56-128136</t>
  </si>
  <si>
    <t>640829-1890213</t>
  </si>
  <si>
    <t>010-2680-7043</t>
  </si>
  <si>
    <t>박희숙</t>
  </si>
  <si>
    <t>499-810121-55007</t>
  </si>
  <si>
    <t>570603-2235417</t>
  </si>
  <si>
    <t>010-8699-2689</t>
  </si>
  <si>
    <t>942902-00-198227</t>
  </si>
  <si>
    <t>971210-1830815</t>
  </si>
  <si>
    <t>010-3954-7043</t>
  </si>
  <si>
    <t>351-1331-4641-93</t>
  </si>
  <si>
    <t>590329-2168314</t>
  </si>
  <si>
    <t>010-6518-1737</t>
  </si>
  <si>
    <t>배규도</t>
  </si>
  <si>
    <t>110-2116-28060</t>
  </si>
  <si>
    <t>641115-1357547</t>
  </si>
  <si>
    <t>010-5440-9947</t>
  </si>
  <si>
    <t>LAS-COOP교육사업</t>
  </si>
  <si>
    <t>배민준</t>
  </si>
  <si>
    <t>110-4680-23165</t>
  </si>
  <si>
    <t>060814-3085119</t>
  </si>
  <si>
    <t>배윤주</t>
  </si>
  <si>
    <t>743201-04-040229</t>
  </si>
  <si>
    <t>650114-2101011</t>
  </si>
  <si>
    <t>배태원</t>
  </si>
  <si>
    <t>301-0268-6055-61</t>
  </si>
  <si>
    <t>540115-1812355</t>
  </si>
  <si>
    <t>010-9090-3758</t>
  </si>
  <si>
    <t>20260404-18</t>
  </si>
  <si>
    <t>배희정</t>
  </si>
  <si>
    <t>110-196-351604</t>
  </si>
  <si>
    <t>760818-2019216</t>
  </si>
  <si>
    <t>010-4011-4424</t>
  </si>
  <si>
    <t>백미애</t>
  </si>
  <si>
    <t>1002-636-288123</t>
  </si>
  <si>
    <t>620228-2063313</t>
  </si>
  <si>
    <t>증액 26.5.6 천만원(카드현금)</t>
  </si>
  <si>
    <t>백서경</t>
  </si>
  <si>
    <t>0807-09-006407-9</t>
  </si>
  <si>
    <t>최유진</t>
  </si>
  <si>
    <t>620302-2458320</t>
  </si>
  <si>
    <t>010-3364-6259</t>
  </si>
  <si>
    <t>260204-39</t>
  </si>
  <si>
    <t>계좌변경</t>
  </si>
  <si>
    <t>406-910510-65307</t>
  </si>
  <si>
    <t>최현진</t>
  </si>
  <si>
    <t>20260311-58</t>
  </si>
  <si>
    <t>이효주(양도, 630528-2816724,010-3768-5870)</t>
  </si>
  <si>
    <t>양수(합산? 단독?)</t>
  </si>
  <si>
    <t>0010-3364-6295</t>
  </si>
  <si>
    <t>620302-2845320</t>
  </si>
  <si>
    <t>이효주(양도), 신규계약서작성</t>
  </si>
  <si>
    <t>백성원</t>
  </si>
  <si>
    <t>110-440-935815</t>
  </si>
  <si>
    <t>610221-2925721</t>
  </si>
  <si>
    <t>010-2387-4508</t>
  </si>
  <si>
    <t>20260305-94</t>
  </si>
  <si>
    <t>백영미</t>
  </si>
  <si>
    <t>368-12-156327</t>
  </si>
  <si>
    <t>620914-2100613</t>
  </si>
  <si>
    <t>010-6587-9080</t>
  </si>
  <si>
    <t>백은숙</t>
  </si>
  <si>
    <t>980-12-122386</t>
  </si>
  <si>
    <t>580330-2690218</t>
  </si>
  <si>
    <t>010-3252-5224</t>
  </si>
  <si>
    <t>백은주</t>
  </si>
  <si>
    <t>276-91002-00707</t>
  </si>
  <si>
    <t>650823-2567010</t>
  </si>
  <si>
    <t>010-2632-2807</t>
  </si>
  <si>
    <t>백주경</t>
  </si>
  <si>
    <t>미래에셋증권</t>
  </si>
  <si>
    <t>2088-14837161</t>
  </si>
  <si>
    <t>780922-2482116</t>
  </si>
  <si>
    <t>010-5956-7467</t>
  </si>
  <si>
    <t>20260404-78</t>
  </si>
  <si>
    <t>변삼순</t>
  </si>
  <si>
    <t>211058-51-052098</t>
  </si>
  <si>
    <t>670206-2538711</t>
  </si>
  <si>
    <t>010-3021-4983</t>
  </si>
  <si>
    <t>변정임</t>
  </si>
  <si>
    <t>110-169-844720</t>
  </si>
  <si>
    <t>660220-2810914</t>
  </si>
  <si>
    <t>010-7377-4737</t>
  </si>
  <si>
    <t>20260324-01</t>
  </si>
  <si>
    <t>621012-2244810</t>
  </si>
  <si>
    <t>010-8433-5153</t>
  </si>
  <si>
    <t>변현화</t>
  </si>
  <si>
    <t>1002-257-066-493</t>
  </si>
  <si>
    <t>670724-2243214</t>
  </si>
  <si>
    <t>변호연</t>
  </si>
  <si>
    <t>110-58067-6197</t>
  </si>
  <si>
    <t>392-8020-4158-031</t>
  </si>
  <si>
    <t>621110-2058240</t>
  </si>
  <si>
    <t>010-8535-8775</t>
  </si>
  <si>
    <t>25.12.3 계약서에 합산</t>
  </si>
  <si>
    <t>392-80204-158-031</t>
  </si>
  <si>
    <t>서미석</t>
  </si>
  <si>
    <t>1000-1817-4609</t>
  </si>
  <si>
    <t>660301-2002617</t>
  </si>
  <si>
    <t>010-7302-0632</t>
  </si>
  <si>
    <t>20260404-46</t>
  </si>
  <si>
    <t>서상진</t>
  </si>
  <si>
    <t>550425-1547921</t>
  </si>
  <si>
    <t>010-8065-5448</t>
  </si>
  <si>
    <t>서순화</t>
  </si>
  <si>
    <t>383602-04-009968</t>
  </si>
  <si>
    <t>530620-2178110</t>
  </si>
  <si>
    <t>010-7485-3590</t>
  </si>
  <si>
    <t>20260404-10</t>
  </si>
  <si>
    <t>서신애</t>
  </si>
  <si>
    <t>639-004632-00108</t>
  </si>
  <si>
    <t>서외숙</t>
  </si>
  <si>
    <t>5480-9149260</t>
  </si>
  <si>
    <t>680210-2629711</t>
  </si>
  <si>
    <t>서은영</t>
  </si>
  <si>
    <t>9003-3053-0765-4</t>
  </si>
  <si>
    <t>600423-2526417</t>
  </si>
  <si>
    <t>분당점</t>
  </si>
  <si>
    <t>서인숙</t>
  </si>
  <si>
    <t>302-1757-3330-11</t>
  </si>
  <si>
    <t>480522-2029429</t>
  </si>
  <si>
    <t>010-7487-1478</t>
  </si>
  <si>
    <t>20260405-69</t>
  </si>
  <si>
    <t>김점순으로부터 양수</t>
  </si>
  <si>
    <t>서채연</t>
  </si>
  <si>
    <t>110-214-814507</t>
  </si>
  <si>
    <t>551222-2005414</t>
  </si>
  <si>
    <t>010-6707-9414</t>
  </si>
  <si>
    <t>260204-22</t>
  </si>
  <si>
    <t>서태린</t>
  </si>
  <si>
    <t>391-911164-56807</t>
  </si>
  <si>
    <t>010112-3051823</t>
  </si>
  <si>
    <t>20260401-90</t>
  </si>
  <si>
    <t>302-2113-9170-31</t>
  </si>
  <si>
    <t>650109-2395213</t>
  </si>
  <si>
    <t>010-9998-3035</t>
  </si>
  <si>
    <t>석의환</t>
  </si>
  <si>
    <t>138-12-300918</t>
  </si>
  <si>
    <t>일산마두</t>
  </si>
  <si>
    <t>이강춘</t>
  </si>
  <si>
    <t>성경미</t>
  </si>
  <si>
    <t>410-910045-37807</t>
  </si>
  <si>
    <t>610420-2042219</t>
  </si>
  <si>
    <t>010-3755-6743</t>
  </si>
  <si>
    <t>성은아</t>
  </si>
  <si>
    <t>352-0581-6347-93</t>
  </si>
  <si>
    <t>소예원</t>
  </si>
  <si>
    <t>352-0550-2321-63</t>
  </si>
  <si>
    <t>061005-4214224</t>
  </si>
  <si>
    <t>010-2714-7091</t>
  </si>
  <si>
    <t>입금내용 확인</t>
  </si>
  <si>
    <t>손명숙</t>
  </si>
  <si>
    <t>149-910145-64607</t>
  </si>
  <si>
    <t>760920-2474425</t>
  </si>
  <si>
    <t>손민경</t>
  </si>
  <si>
    <t>1002-7552-16421</t>
  </si>
  <si>
    <t>950103-2122619</t>
  </si>
  <si>
    <t>010-7797-0818</t>
  </si>
  <si>
    <t>20260324-23</t>
  </si>
  <si>
    <t>손보라</t>
  </si>
  <si>
    <t>110-523-541020</t>
  </si>
  <si>
    <t>661112-2400517</t>
  </si>
  <si>
    <t>010-4711-0068</t>
  </si>
  <si>
    <t>20260401-93</t>
  </si>
  <si>
    <t>460602-01-157376</t>
  </si>
  <si>
    <t>6일근무?</t>
  </si>
  <si>
    <t>730420-2267710</t>
  </si>
  <si>
    <t>손순옥</t>
  </si>
  <si>
    <t>514-202-01-612688</t>
  </si>
  <si>
    <t>손애솔</t>
  </si>
  <si>
    <t>901022-2058337</t>
  </si>
  <si>
    <t>010-8968-7314</t>
  </si>
  <si>
    <t>20260404-21</t>
  </si>
  <si>
    <t>149-910145 64607</t>
  </si>
  <si>
    <t>010-9277-8452</t>
  </si>
  <si>
    <t>김20250101-0007</t>
  </si>
  <si>
    <t>신성희(양도)</t>
  </si>
  <si>
    <t>손유림</t>
  </si>
  <si>
    <t>아이엠뱅크</t>
  </si>
  <si>
    <t>036-08-056855</t>
  </si>
  <si>
    <t>681228-2819012</t>
  </si>
  <si>
    <t>010-3020-3455</t>
  </si>
  <si>
    <t>20260424-28</t>
  </si>
  <si>
    <t>송성태</t>
  </si>
  <si>
    <t>351-0922-0611-93</t>
  </si>
  <si>
    <t>590505-1674712</t>
  </si>
  <si>
    <t>010-3936-9732</t>
  </si>
  <si>
    <t>송승현</t>
  </si>
  <si>
    <t>356-0039-2598-43</t>
  </si>
  <si>
    <t>740831-1058517</t>
  </si>
  <si>
    <t>010-4151-7670</t>
  </si>
  <si>
    <t>송영분</t>
  </si>
  <si>
    <t>110-508-310240</t>
  </si>
  <si>
    <t>560724-2228817</t>
  </si>
  <si>
    <t>송의섭</t>
  </si>
  <si>
    <t>110-422-804247</t>
  </si>
  <si>
    <t>611207-1154917</t>
  </si>
  <si>
    <t>010-3459-3815</t>
  </si>
  <si>
    <t>20260311-46</t>
  </si>
  <si>
    <t>송정남</t>
  </si>
  <si>
    <t>1002-144-268788</t>
  </si>
  <si>
    <t>660414-2029914</t>
  </si>
  <si>
    <t>010-2007-6499</t>
  </si>
  <si>
    <t>송지나</t>
  </si>
  <si>
    <t>284910-4425-1707</t>
  </si>
  <si>
    <t>990812-2078214</t>
  </si>
  <si>
    <t>송태화</t>
  </si>
  <si>
    <t>404-001618-00107</t>
  </si>
  <si>
    <t>610520-2047621</t>
  </si>
  <si>
    <t>010-5680-8248</t>
  </si>
  <si>
    <t>송현미</t>
  </si>
  <si>
    <t>351-1331-464193</t>
  </si>
  <si>
    <t>620108-2535213</t>
  </si>
  <si>
    <t>010-6689-1123</t>
  </si>
  <si>
    <t>20260428-12</t>
  </si>
  <si>
    <t>신규 계약서 작성</t>
  </si>
  <si>
    <t>신근희</t>
  </si>
  <si>
    <t>173-08-119019-001</t>
  </si>
  <si>
    <t>710911-2817519</t>
  </si>
  <si>
    <t>010-7337-8397</t>
  </si>
  <si>
    <t>2824010-4353860</t>
  </si>
  <si>
    <t>680204-2017312</t>
  </si>
  <si>
    <t>010-9890-2655</t>
  </si>
  <si>
    <t>1000-5456-8692</t>
  </si>
  <si>
    <t>3333-22-7246138</t>
  </si>
  <si>
    <t>580407-2009013</t>
  </si>
  <si>
    <t>010-3113-3477</t>
  </si>
  <si>
    <t>김지연</t>
  </si>
  <si>
    <t>신명숙</t>
  </si>
  <si>
    <t>300038-02-489014</t>
  </si>
  <si>
    <t>110-456-724722</t>
  </si>
  <si>
    <t>641107-2074312</t>
  </si>
  <si>
    <t>010-6642-1368</t>
  </si>
  <si>
    <t>임재은</t>
  </si>
  <si>
    <t>신영미</t>
  </si>
  <si>
    <t>312-013-5476311</t>
  </si>
  <si>
    <t>711124-2394811</t>
  </si>
  <si>
    <t>010-3036-9756</t>
  </si>
  <si>
    <t>20251211-235</t>
  </si>
  <si>
    <t>312-0135-4763-11</t>
  </si>
  <si>
    <t>양주</t>
  </si>
  <si>
    <t>신옥승</t>
  </si>
  <si>
    <t>2020-4981-0614</t>
  </si>
  <si>
    <t>390114-2063316</t>
  </si>
  <si>
    <t>26.5.5 천만원 증액, 26.7.10 2천만원급여</t>
  </si>
  <si>
    <t>박상호(양도)</t>
  </si>
  <si>
    <t>신재교</t>
  </si>
  <si>
    <t>475825-88-135981</t>
  </si>
  <si>
    <t>580525-2019323</t>
  </si>
  <si>
    <t>010-5038-2891</t>
  </si>
  <si>
    <t>20260401-47</t>
  </si>
  <si>
    <t>(내용확인-카톡)</t>
  </si>
  <si>
    <t>302-0736-266891</t>
  </si>
  <si>
    <t>630713-2019324</t>
  </si>
  <si>
    <t>010-4508-7280</t>
  </si>
  <si>
    <t>475825-93-114522</t>
  </si>
  <si>
    <t>260204-90</t>
  </si>
  <si>
    <t>4천만원 계약서/증빙없음</t>
  </si>
  <si>
    <t>신정환</t>
  </si>
  <si>
    <t>070921-3046419</t>
  </si>
  <si>
    <t>010-3600-6943</t>
  </si>
  <si>
    <t>710911-281719</t>
  </si>
  <si>
    <t>신채운</t>
  </si>
  <si>
    <t>436-910045-48208</t>
  </si>
  <si>
    <t>640112-2670710</t>
  </si>
  <si>
    <t>010-6889-6899</t>
  </si>
  <si>
    <t>신현정</t>
  </si>
  <si>
    <t>086-07-107122-001</t>
  </si>
  <si>
    <t>770708-2690721</t>
  </si>
  <si>
    <t>060-21-0124-590</t>
  </si>
  <si>
    <t>550717-2471414</t>
  </si>
  <si>
    <t>010-5300-0681</t>
  </si>
  <si>
    <t>620116-2548818</t>
  </si>
  <si>
    <t>010-6585-9986</t>
  </si>
  <si>
    <t>2026</t>
  </si>
  <si>
    <t>심명채</t>
  </si>
  <si>
    <t>356-1141-409913</t>
  </si>
  <si>
    <t>610409-2268110</t>
  </si>
  <si>
    <t>010-7368-3800</t>
  </si>
  <si>
    <t>이희수(양수)</t>
  </si>
  <si>
    <t>심선미</t>
  </si>
  <si>
    <t>453103-52-030425</t>
  </si>
  <si>
    <t>770925-2817548</t>
  </si>
  <si>
    <t>010-3028-7006</t>
  </si>
  <si>
    <t>25.12.11 계약서에 합산</t>
  </si>
  <si>
    <t>심선하</t>
  </si>
  <si>
    <t>009-21-0591-808</t>
  </si>
  <si>
    <t>711227-2047417</t>
  </si>
  <si>
    <t>010-7706-9328</t>
  </si>
  <si>
    <t>심순임</t>
  </si>
  <si>
    <t>1002-967-0384403</t>
  </si>
  <si>
    <t>안민혁</t>
  </si>
  <si>
    <t>3560-5926-30513</t>
  </si>
  <si>
    <t>840627-1079611</t>
  </si>
  <si>
    <t>010-6758-2522</t>
  </si>
  <si>
    <t>20260424-71</t>
  </si>
  <si>
    <t>1000-8264-1170</t>
  </si>
  <si>
    <t>050211-405851</t>
  </si>
  <si>
    <t>010-5235-1189</t>
  </si>
  <si>
    <t>안성남</t>
  </si>
  <si>
    <t>9002-1591-9612-7</t>
  </si>
  <si>
    <t>안수지</t>
  </si>
  <si>
    <t>2824-0104-261688</t>
  </si>
  <si>
    <t>백은숙(양도)</t>
  </si>
  <si>
    <t>안순</t>
  </si>
  <si>
    <t>351-0308-6589-13</t>
  </si>
  <si>
    <t>이명애(양도)</t>
  </si>
  <si>
    <t>212-21-0737-681</t>
  </si>
  <si>
    <t>611213-2256115</t>
  </si>
  <si>
    <t>010-4857-1953</t>
  </si>
  <si>
    <t>입금증빙 확인</t>
  </si>
  <si>
    <t>632-035105-01-011</t>
  </si>
  <si>
    <t>710917-1057313</t>
  </si>
  <si>
    <t>010-7144-0864</t>
  </si>
  <si>
    <t>안정숙</t>
  </si>
  <si>
    <t>791205-2320919</t>
  </si>
  <si>
    <t>강유나(양도)</t>
  </si>
  <si>
    <t>안정희</t>
  </si>
  <si>
    <t>356-1665-0393-03</t>
  </si>
  <si>
    <t>700322-2347512</t>
  </si>
  <si>
    <t>010-3508-2439</t>
  </si>
  <si>
    <t>20260405-67</t>
  </si>
  <si>
    <t>안미희(양도)</t>
  </si>
  <si>
    <t>안현</t>
  </si>
  <si>
    <t>9652-3248802101</t>
  </si>
  <si>
    <t>730430-2574311</t>
  </si>
  <si>
    <t>양옥순</t>
  </si>
  <si>
    <t>251801-04-252538</t>
  </si>
  <si>
    <t>520729-2025720</t>
  </si>
  <si>
    <t>010-3996-1181</t>
  </si>
  <si>
    <t>1002-931-695958</t>
  </si>
  <si>
    <t>791013-2231220</t>
  </si>
  <si>
    <t>010-9187-0572</t>
  </si>
  <si>
    <t>471-042714-01-019</t>
  </si>
  <si>
    <t>양장순</t>
  </si>
  <si>
    <t>349401-04-318133</t>
  </si>
  <si>
    <t>530123-2051621</t>
  </si>
  <si>
    <t>010-2896-1864</t>
  </si>
  <si>
    <t>20260404-20</t>
  </si>
  <si>
    <t>수익금?</t>
  </si>
  <si>
    <t>양정순</t>
  </si>
  <si>
    <t>010-6669-7171-18</t>
  </si>
  <si>
    <t>650617-2932710</t>
  </si>
  <si>
    <t>010-6669-7171</t>
  </si>
  <si>
    <t>양진란</t>
  </si>
  <si>
    <t>680902-6101390</t>
  </si>
  <si>
    <t>이기전(양도)</t>
  </si>
  <si>
    <t>양채영</t>
  </si>
  <si>
    <t>670621-2537919</t>
  </si>
  <si>
    <t>010-2979-0731</t>
  </si>
  <si>
    <t>20260404-23</t>
  </si>
  <si>
    <t>엄복례</t>
  </si>
  <si>
    <t>348302-04-098644</t>
  </si>
  <si>
    <t>650912-2447420</t>
  </si>
  <si>
    <t>010-3884-2974</t>
  </si>
  <si>
    <t>26.4.20 계약서에 합산</t>
  </si>
  <si>
    <t>(증액)26.3.18 천만원, 26.4.23 천만원입금, 26.6.20 이천만원급여</t>
  </si>
  <si>
    <t>323-02-190533</t>
  </si>
  <si>
    <t>420416-2042410</t>
  </si>
  <si>
    <t>010-4425-2353</t>
  </si>
  <si>
    <t>엄지나</t>
  </si>
  <si>
    <t>312-0121-1930-31</t>
  </si>
  <si>
    <t>860125-2536310</t>
  </si>
  <si>
    <t>010-3651-9153</t>
  </si>
  <si>
    <t>엄혜란</t>
  </si>
  <si>
    <t>209-12-751764</t>
  </si>
  <si>
    <t>720115-2358219</t>
  </si>
  <si>
    <t>010-4506-5645</t>
  </si>
  <si>
    <t>LAS 주인형A(국내)</t>
  </si>
  <si>
    <t>209-12-051164</t>
  </si>
  <si>
    <t>김창자(대리배우자)</t>
  </si>
  <si>
    <t>여성삼</t>
  </si>
  <si>
    <t>799-24-0060-685</t>
  </si>
  <si>
    <t>490624-1144524</t>
  </si>
  <si>
    <t>010-3687-3006</t>
  </si>
  <si>
    <t>염보라</t>
  </si>
  <si>
    <t>1000-5457-2704</t>
  </si>
  <si>
    <t>890329-2009817</t>
  </si>
  <si>
    <t>010-4476-3551</t>
  </si>
  <si>
    <t>20250324-34</t>
  </si>
  <si>
    <t>890329-2009827</t>
  </si>
  <si>
    <t>20260424-30</t>
  </si>
  <si>
    <t>염영원</t>
  </si>
  <si>
    <t>104687-02-090140</t>
  </si>
  <si>
    <t>010-3895-0384</t>
  </si>
  <si>
    <t>염영훈</t>
  </si>
  <si>
    <t>1002-461-816080</t>
  </si>
  <si>
    <t>염종수</t>
  </si>
  <si>
    <t>352-2327-3606-83</t>
  </si>
  <si>
    <t>840616-1025111</t>
  </si>
  <si>
    <t>260116-148</t>
  </si>
  <si>
    <t>오경철</t>
  </si>
  <si>
    <t>530820-1683119</t>
  </si>
  <si>
    <t>010-4443-2021</t>
  </si>
  <si>
    <t>20260404-33</t>
  </si>
  <si>
    <t>오광모</t>
  </si>
  <si>
    <t>110-203-688370</t>
  </si>
  <si>
    <t>급여일 확인</t>
  </si>
  <si>
    <t>오상진</t>
  </si>
  <si>
    <t>324-502-04-033261</t>
  </si>
  <si>
    <t>880616-1082924</t>
  </si>
  <si>
    <t>010-5013-0616</t>
  </si>
  <si>
    <t>125-063910-02-018</t>
  </si>
  <si>
    <t>680522-2526331</t>
  </si>
  <si>
    <t>010-5015-3855</t>
  </si>
  <si>
    <t>260204-84</t>
  </si>
  <si>
    <t>오아람</t>
  </si>
  <si>
    <t>356-00845-15583</t>
  </si>
  <si>
    <t>720403-2009214</t>
  </si>
  <si>
    <t>010-2593-1801</t>
  </si>
  <si>
    <t>4538-0101-124351</t>
  </si>
  <si>
    <t>3333-34-0103982</t>
  </si>
  <si>
    <t>680228-2338726</t>
  </si>
  <si>
    <t>010-2599-6463</t>
  </si>
  <si>
    <t>오윤성</t>
  </si>
  <si>
    <t>7942-07-39936</t>
  </si>
  <si>
    <t>920716-1030219</t>
  </si>
  <si>
    <t>010-5013-0164</t>
  </si>
  <si>
    <t>20260311-55</t>
  </si>
  <si>
    <t>442825-95-104697</t>
  </si>
  <si>
    <t>610515-2253815</t>
  </si>
  <si>
    <t>010-4391-0225</t>
  </si>
  <si>
    <t>오재용</t>
  </si>
  <si>
    <t>110-366-372332</t>
  </si>
  <si>
    <t>580219-1149219</t>
  </si>
  <si>
    <t>010-2031-4310</t>
  </si>
  <si>
    <t>홍은표</t>
  </si>
  <si>
    <t>오점숙</t>
  </si>
  <si>
    <t>110-483-282375</t>
  </si>
  <si>
    <t>570911-2408817</t>
  </si>
  <si>
    <t>010-5313-1097</t>
  </si>
  <si>
    <t>김20250101-006</t>
  </si>
  <si>
    <t>오정숙</t>
  </si>
  <si>
    <t>207083-56-000257</t>
  </si>
  <si>
    <t>오진희</t>
  </si>
  <si>
    <t>203343-9360-2001</t>
  </si>
  <si>
    <t>590905-2068119</t>
  </si>
  <si>
    <t>010-3583-8285</t>
  </si>
  <si>
    <t>010-3583-8295</t>
  </si>
  <si>
    <t>오현희</t>
  </si>
  <si>
    <t>3836-02-04-009968</t>
  </si>
  <si>
    <t>771224-2149827</t>
  </si>
  <si>
    <t>010-9702-7951</t>
  </si>
  <si>
    <t>20260305-80</t>
  </si>
  <si>
    <t>오혜경</t>
  </si>
  <si>
    <t>199-128-017995</t>
  </si>
  <si>
    <t>610913-2068116</t>
  </si>
  <si>
    <t>010-5851-9946</t>
  </si>
  <si>
    <t>이하은</t>
  </si>
  <si>
    <t>용서연</t>
  </si>
  <si>
    <t>130012-52-237844</t>
  </si>
  <si>
    <t>740604-2321612</t>
  </si>
  <si>
    <t>010-8285-2846</t>
  </si>
  <si>
    <t>260116-142</t>
  </si>
  <si>
    <t>우덕인</t>
  </si>
  <si>
    <t>008-13-131406</t>
  </si>
  <si>
    <t>831218-2690317</t>
  </si>
  <si>
    <t>010-7545-4758</t>
  </si>
  <si>
    <t>위민</t>
  </si>
  <si>
    <t>110-0075-19591</t>
  </si>
  <si>
    <t>901015-5820083</t>
  </si>
  <si>
    <t>유경주</t>
  </si>
  <si>
    <t>740710-2547911</t>
  </si>
  <si>
    <t>20260305-56</t>
  </si>
  <si>
    <t>유경후</t>
  </si>
  <si>
    <t>351-0199-8760-63</t>
  </si>
  <si>
    <t>690128-2547910</t>
  </si>
  <si>
    <t>20260401-58</t>
  </si>
  <si>
    <t>이강순</t>
  </si>
  <si>
    <t>유승환</t>
  </si>
  <si>
    <t>8392-0204-199110</t>
  </si>
  <si>
    <t>910323-1082518</t>
  </si>
  <si>
    <t>유아드리안</t>
  </si>
  <si>
    <t>990223-1058018</t>
  </si>
  <si>
    <t>010-8595-9210</t>
  </si>
  <si>
    <t>유연재</t>
  </si>
  <si>
    <t>668401-04-014907</t>
  </si>
  <si>
    <t>671111-2412011</t>
  </si>
  <si>
    <t>010-2633-3139</t>
  </si>
  <si>
    <t>596802-0405-1860</t>
  </si>
  <si>
    <t>유용종</t>
  </si>
  <si>
    <t>110-503-325458</t>
  </si>
  <si>
    <t>690825-1664013</t>
  </si>
  <si>
    <t>010-9905-0765</t>
  </si>
  <si>
    <t>25.10.1 3천쿱전환, 3천입금, 25.11.1 5천입급, 265.5.1 3천만 영크양도, 1일자 6천급여, 11일자 이천급여</t>
  </si>
  <si>
    <t>유은경</t>
  </si>
  <si>
    <t>110-185-801873</t>
  </si>
  <si>
    <t>740317-2018213</t>
  </si>
  <si>
    <t>010-8961-8458</t>
  </si>
  <si>
    <t>강동C</t>
  </si>
  <si>
    <t>유재영</t>
  </si>
  <si>
    <t>351-0989-3499-13</t>
  </si>
  <si>
    <t>기독교대한성결교회하늘문교회</t>
  </si>
  <si>
    <t>467725-88-1252-11</t>
  </si>
  <si>
    <t>560818-2009531</t>
  </si>
  <si>
    <t>137-005-9682-72</t>
  </si>
  <si>
    <t>610319-2655714</t>
  </si>
  <si>
    <t>168-054071-00308</t>
  </si>
  <si>
    <t>710819-2085414</t>
  </si>
  <si>
    <t>010-9113-2863</t>
  </si>
  <si>
    <t>김20250101-0004</t>
  </si>
  <si>
    <t>유정해</t>
  </si>
  <si>
    <t>476501-04-166623</t>
  </si>
  <si>
    <t>유지영</t>
  </si>
  <si>
    <t>077-153368-01-010</t>
  </si>
  <si>
    <t>유지향</t>
  </si>
  <si>
    <t>010-3009-6609</t>
  </si>
  <si>
    <t>700615-2047915</t>
  </si>
  <si>
    <t>유현진</t>
  </si>
  <si>
    <t>1001-1823-7488</t>
  </si>
  <si>
    <t>노판수(양도)</t>
  </si>
  <si>
    <t>유호준</t>
  </si>
  <si>
    <t>3333-33-4892838</t>
  </si>
  <si>
    <t>윤나라</t>
  </si>
  <si>
    <t>110-500-887590</t>
  </si>
  <si>
    <t>850207-2167513</t>
  </si>
  <si>
    <t>010-7788-4625</t>
  </si>
  <si>
    <t>110500-887590</t>
  </si>
  <si>
    <t>김종녀(양수)</t>
  </si>
  <si>
    <t>주인형전환</t>
  </si>
  <si>
    <t>110-442-384950</t>
  </si>
  <si>
    <t>760425-2348819</t>
  </si>
  <si>
    <t>010-8231-4831</t>
  </si>
  <si>
    <t>LAS주인형A(국내)</t>
  </si>
  <si>
    <t>윤범수</t>
  </si>
  <si>
    <t>301-0362-1278-01</t>
  </si>
  <si>
    <t>윤삼순</t>
  </si>
  <si>
    <t>852-21-0159-170</t>
  </si>
  <si>
    <t>690817-2637224</t>
  </si>
  <si>
    <t>26.5.6 2천만원, 카드 2천만원, 별도</t>
  </si>
  <si>
    <t>윤소희</t>
  </si>
  <si>
    <t>019601-04-230066</t>
  </si>
  <si>
    <t>991202-2149218</t>
  </si>
  <si>
    <t>010-9292-2881</t>
  </si>
  <si>
    <t>607302-01-133951</t>
  </si>
  <si>
    <t>711023-2676313</t>
  </si>
  <si>
    <t>010-9423-0123</t>
  </si>
  <si>
    <t>윤시연</t>
  </si>
  <si>
    <t>318-12-279834</t>
  </si>
  <si>
    <t>620522-2530514</t>
  </si>
  <si>
    <t>010-3890-2528</t>
  </si>
  <si>
    <t>윤영남</t>
  </si>
  <si>
    <t>475-810001-06807</t>
  </si>
  <si>
    <t>윤영배</t>
  </si>
  <si>
    <t>새마을금고</t>
  </si>
  <si>
    <t>9003-2310-1236-0</t>
  </si>
  <si>
    <t>710909-1932715</t>
  </si>
  <si>
    <t>010-4784-6434</t>
  </si>
  <si>
    <t>20260405-55</t>
  </si>
  <si>
    <t>윤철홍</t>
  </si>
  <si>
    <t>윤완재</t>
  </si>
  <si>
    <t>제주은행</t>
  </si>
  <si>
    <t>59-02-123666</t>
  </si>
  <si>
    <t>590528-1933013</t>
  </si>
  <si>
    <t>010-4299-5228</t>
  </si>
  <si>
    <t>20260401-54</t>
  </si>
  <si>
    <t>윤인구</t>
  </si>
  <si>
    <t>1002-611-528441</t>
  </si>
  <si>
    <t>621020-2233715</t>
  </si>
  <si>
    <t>010-8268-5689</t>
  </si>
  <si>
    <t>윤정순</t>
  </si>
  <si>
    <t>901019-56-075703</t>
  </si>
  <si>
    <t>631012-2932711</t>
  </si>
  <si>
    <t>20260424-26</t>
  </si>
  <si>
    <t>흥덕</t>
  </si>
  <si>
    <t>진은주</t>
  </si>
  <si>
    <t>윤정인</t>
  </si>
  <si>
    <t>110-169-916359</t>
  </si>
  <si>
    <t>박은정</t>
  </si>
  <si>
    <t>윤정진</t>
  </si>
  <si>
    <t>346-094356-02001</t>
  </si>
  <si>
    <t>701114-2052411</t>
  </si>
  <si>
    <t>윤종옥</t>
  </si>
  <si>
    <t>1002-951-651061</t>
  </si>
  <si>
    <t>302-0731-3144-81</t>
  </si>
  <si>
    <t>011215-3249611</t>
  </si>
  <si>
    <t>010-6476-9311</t>
  </si>
  <si>
    <t>윤지은</t>
  </si>
  <si>
    <t>378802-01-182602</t>
  </si>
  <si>
    <t>770119-2120827</t>
  </si>
  <si>
    <t>010-2282-0716</t>
  </si>
  <si>
    <t>492-04-113915</t>
  </si>
  <si>
    <t>191215-2095014</t>
  </si>
  <si>
    <t>010-8115-8431</t>
  </si>
  <si>
    <t>980-02-071879</t>
  </si>
  <si>
    <t>651006-1932712</t>
  </si>
  <si>
    <t>010-3077-3900</t>
  </si>
  <si>
    <t>26.4.24 천만원증액, 6.15 이천급여시작</t>
  </si>
  <si>
    <t>윤철환</t>
  </si>
  <si>
    <t>585-02-001653</t>
  </si>
  <si>
    <t>680705-1932712</t>
  </si>
  <si>
    <t>010-6489-3190</t>
  </si>
  <si>
    <t>20260405-60</t>
  </si>
  <si>
    <t>윤현경</t>
  </si>
  <si>
    <t>19-02-304181</t>
  </si>
  <si>
    <t>950311-2932716</t>
  </si>
  <si>
    <t>010-9695-8749</t>
  </si>
  <si>
    <t>20260324-35</t>
  </si>
  <si>
    <t>이가연</t>
  </si>
  <si>
    <t>1002-485-940114</t>
  </si>
  <si>
    <t>940114-2035511</t>
  </si>
  <si>
    <t>010-3093-1368</t>
  </si>
  <si>
    <t>20260324-29</t>
  </si>
  <si>
    <t>이가영</t>
  </si>
  <si>
    <t>1002-834-020604</t>
  </si>
  <si>
    <t>900818-2009312</t>
  </si>
  <si>
    <t>010-6731-5614</t>
  </si>
  <si>
    <t>이가현</t>
  </si>
  <si>
    <t>231-087814-01-019</t>
  </si>
  <si>
    <t>621207-2331015</t>
  </si>
  <si>
    <t>010-3494-3647</t>
  </si>
  <si>
    <t>293-21-0072-036</t>
  </si>
  <si>
    <t>601010-2011920</t>
  </si>
  <si>
    <t>016-4422-8503</t>
  </si>
  <si>
    <t>이경란</t>
  </si>
  <si>
    <t>217019-52-092700</t>
  </si>
  <si>
    <t>760201-2042724</t>
  </si>
  <si>
    <t>010-6642-4353</t>
  </si>
  <si>
    <t>이경미</t>
  </si>
  <si>
    <t>1002-9467-91937</t>
  </si>
  <si>
    <t>710725-2547927</t>
  </si>
  <si>
    <t>010-4582-4860</t>
  </si>
  <si>
    <t>356-810213-91701</t>
  </si>
  <si>
    <t>701212-2481712</t>
  </si>
  <si>
    <t>010-6712-9410</t>
  </si>
  <si>
    <t>이경숙</t>
  </si>
  <si>
    <t>031-60130236-92</t>
  </si>
  <si>
    <t>630423-2639912</t>
  </si>
  <si>
    <t>010-5744-3601</t>
  </si>
  <si>
    <t>이경옥</t>
  </si>
  <si>
    <t>356-910036-85507</t>
  </si>
  <si>
    <t>(증액) 26.4.18 2천만원</t>
  </si>
  <si>
    <t>이경준</t>
  </si>
  <si>
    <t>110-162-462943</t>
  </si>
  <si>
    <t>771119-1167712</t>
  </si>
  <si>
    <t>010-3061-7585</t>
  </si>
  <si>
    <t>이계순</t>
  </si>
  <si>
    <t>1000-7713-3860</t>
  </si>
  <si>
    <t>541017-2069423</t>
  </si>
  <si>
    <t>010-7280-3579</t>
  </si>
  <si>
    <t>260204-30</t>
  </si>
  <si>
    <t>쿱전환과 입금 총액?</t>
  </si>
  <si>
    <t>이광희</t>
  </si>
  <si>
    <t>169-099888-01-018</t>
  </si>
  <si>
    <t>560108-1069221</t>
  </si>
  <si>
    <t>안서연(양수)</t>
  </si>
  <si>
    <t>이기전</t>
  </si>
  <si>
    <t>610619-1067132</t>
  </si>
  <si>
    <t>010-5001-0365</t>
  </si>
  <si>
    <t>20260305-29</t>
  </si>
  <si>
    <t>26.5.14 계약서에 합산</t>
  </si>
  <si>
    <t>김순녀,양진란,이영애,이영민,이명자(5명 양도)</t>
  </si>
  <si>
    <t>이기홍</t>
  </si>
  <si>
    <t>324-508142-02-001</t>
  </si>
  <si>
    <t>이남숙</t>
  </si>
  <si>
    <t>376-20-117341</t>
  </si>
  <si>
    <t>581008-2167728</t>
  </si>
  <si>
    <t>010-8880-5509</t>
  </si>
  <si>
    <t>110-344-094444</t>
  </si>
  <si>
    <t>930611-1163024</t>
  </si>
  <si>
    <t>010-3231-6098</t>
  </si>
  <si>
    <t>이만우</t>
  </si>
  <si>
    <t>354-21-0249-502</t>
  </si>
  <si>
    <t>571013-1462718</t>
  </si>
  <si>
    <t>010-7228-6179</t>
  </si>
  <si>
    <t>20260404-91</t>
  </si>
  <si>
    <t>이명애</t>
  </si>
  <si>
    <t>811402-04-094276</t>
  </si>
  <si>
    <t>740217-2384414</t>
  </si>
  <si>
    <t>010-4782-9052</t>
  </si>
  <si>
    <t>안순(양수)</t>
  </si>
  <si>
    <t>이명자</t>
  </si>
  <si>
    <t>591008-2228513</t>
  </si>
  <si>
    <t>010-6751-5034</t>
  </si>
  <si>
    <t>20260311-05</t>
  </si>
  <si>
    <t>이명진</t>
  </si>
  <si>
    <t>062-096635-01-149</t>
  </si>
  <si>
    <t>710105-2024218</t>
  </si>
  <si>
    <t>이미숙</t>
  </si>
  <si>
    <t>164502-04-206883</t>
  </si>
  <si>
    <t>이미애</t>
  </si>
  <si>
    <t>110-133-618877</t>
  </si>
  <si>
    <t>631119-2001617</t>
  </si>
  <si>
    <t>010-3139-5619</t>
  </si>
  <si>
    <t>이미양</t>
  </si>
  <si>
    <t>3333-10-1020672</t>
  </si>
  <si>
    <t>680123-2074512</t>
  </si>
  <si>
    <t>010-3088-9947</t>
  </si>
  <si>
    <t>양도(영크)</t>
  </si>
  <si>
    <t>이미영</t>
  </si>
  <si>
    <t>618-12-253260</t>
  </si>
  <si>
    <t>630121-2058212</t>
  </si>
  <si>
    <t>010-3050-0175</t>
  </si>
  <si>
    <t>이미은</t>
  </si>
  <si>
    <t>110-555-511856</t>
  </si>
  <si>
    <t>630402-2473728</t>
  </si>
  <si>
    <t>010-5541-8770</t>
  </si>
  <si>
    <t>327-04-272049</t>
  </si>
  <si>
    <t>700911-2481614</t>
  </si>
  <si>
    <t>010-2703-0314</t>
  </si>
  <si>
    <t>동백라스</t>
  </si>
  <si>
    <t>이보근</t>
  </si>
  <si>
    <t>691-910251-67107</t>
  </si>
  <si>
    <t>이보령</t>
  </si>
  <si>
    <t>651124-2120630</t>
  </si>
  <si>
    <t>010-7303-3827</t>
  </si>
  <si>
    <t>260204-34</t>
  </si>
  <si>
    <t>26.4.15 계약서에 합산</t>
  </si>
  <si>
    <t>김운호,오경철,임종숙,변학분,최인숙(5명 양도)</t>
  </si>
  <si>
    <t>이복희</t>
  </si>
  <si>
    <t>537029-12-902010</t>
  </si>
  <si>
    <t>600320-2466726</t>
  </si>
  <si>
    <t>010-7577-7689</t>
  </si>
  <si>
    <t>20260404-27</t>
  </si>
  <si>
    <t>서류보완, 계좌변경</t>
  </si>
  <si>
    <t>이상구</t>
  </si>
  <si>
    <t>1002-654-080684</t>
  </si>
  <si>
    <t>550305-1781432</t>
  </si>
  <si>
    <t>전미자(양도)</t>
  </si>
  <si>
    <t>137-02-748811</t>
  </si>
  <si>
    <t>630614-2143310</t>
  </si>
  <si>
    <t>010-2429-1986</t>
  </si>
  <si>
    <t>이상옥</t>
  </si>
  <si>
    <t>214-090984-01-018</t>
  </si>
  <si>
    <t>560115-2251518</t>
  </si>
  <si>
    <t>010-2344-1189</t>
  </si>
  <si>
    <t>279-21-0071-375</t>
  </si>
  <si>
    <t>620316-2056327</t>
  </si>
  <si>
    <t>010-2268-5625</t>
  </si>
  <si>
    <t>278-21-0071-375</t>
  </si>
  <si>
    <t>010-2269-5625</t>
  </si>
  <si>
    <t>해석안됨</t>
  </si>
  <si>
    <t>241-200-14158</t>
  </si>
  <si>
    <t>830608-2002111</t>
  </si>
  <si>
    <t>010-5236-3183</t>
  </si>
  <si>
    <t>이선영</t>
  </si>
  <si>
    <t>400457-02-176981</t>
  </si>
  <si>
    <t>이연희</t>
  </si>
  <si>
    <t>이선용</t>
  </si>
  <si>
    <t>218102-04-687318</t>
  </si>
  <si>
    <t>760210-2237113</t>
  </si>
  <si>
    <t>이성숙</t>
  </si>
  <si>
    <t>356-0495-3178-13</t>
  </si>
  <si>
    <t>630121-2657216</t>
  </si>
  <si>
    <t>010-9672-9100</t>
  </si>
  <si>
    <t>478101-04-159726</t>
  </si>
  <si>
    <t>860810-1409318</t>
  </si>
  <si>
    <t>010-3637-9396</t>
  </si>
  <si>
    <t>형찬욱</t>
  </si>
  <si>
    <t>이세은</t>
  </si>
  <si>
    <t>301-3577-1592-11</t>
  </si>
  <si>
    <t>740220-2702725</t>
  </si>
  <si>
    <t>010-4742-0224</t>
  </si>
  <si>
    <t>260116-143</t>
  </si>
  <si>
    <t>이수연</t>
  </si>
  <si>
    <t>110-572-919708</t>
  </si>
  <si>
    <t>771255-2788619</t>
  </si>
  <si>
    <t>010-2517-9632</t>
  </si>
  <si>
    <t>이수정</t>
  </si>
  <si>
    <t>346-910171-74607</t>
  </si>
  <si>
    <t>770213-2474527</t>
  </si>
  <si>
    <t>이숙이</t>
  </si>
  <si>
    <t>8289-10065-73607</t>
  </si>
  <si>
    <t>700207-2777929</t>
  </si>
  <si>
    <t>010-6619-2363</t>
  </si>
  <si>
    <t>260204-48</t>
  </si>
  <si>
    <t>전환(영크)</t>
  </si>
  <si>
    <t>6044402-01-462638</t>
  </si>
  <si>
    <t>930927-2167813</t>
  </si>
  <si>
    <t>010-9903-0509</t>
  </si>
  <si>
    <t>이승민</t>
  </si>
  <si>
    <t>1002-4410-22166</t>
  </si>
  <si>
    <t>910711-2168413</t>
  </si>
  <si>
    <t>010-4002-4823</t>
  </si>
  <si>
    <t>697201-00-134953</t>
  </si>
  <si>
    <t>941214-2143321</t>
  </si>
  <si>
    <t>010-7568-5643</t>
  </si>
  <si>
    <t>20260405-04</t>
  </si>
  <si>
    <t>497201-00-134953</t>
  </si>
  <si>
    <t>이승인</t>
  </si>
  <si>
    <t>이여경</t>
  </si>
  <si>
    <t>1002-048-940654</t>
  </si>
  <si>
    <t>김경희(양도)</t>
  </si>
  <si>
    <t>730427-2659724</t>
  </si>
  <si>
    <t>730427-265P204</t>
  </si>
  <si>
    <t>이영민</t>
  </si>
  <si>
    <t>650103-1702018</t>
  </si>
  <si>
    <t>010-7940-7560</t>
  </si>
  <si>
    <t>20260311-35</t>
  </si>
  <si>
    <t>(고객용)</t>
  </si>
  <si>
    <t>이영애</t>
  </si>
  <si>
    <t>701128-2691721</t>
  </si>
  <si>
    <t>010-5752-4153</t>
  </si>
  <si>
    <t>20260311-06</t>
  </si>
  <si>
    <t>010-2452-0756</t>
  </si>
  <si>
    <t>이영형</t>
  </si>
  <si>
    <t>356-1228-2732-83</t>
  </si>
  <si>
    <t>650520-1910912</t>
  </si>
  <si>
    <t>010-4446-3843</t>
  </si>
  <si>
    <t>이영희</t>
  </si>
  <si>
    <t>367-910374-17107</t>
  </si>
  <si>
    <t>560110-2030517</t>
  </si>
  <si>
    <t>010-7734-1234</t>
  </si>
  <si>
    <t>260224-80</t>
  </si>
  <si>
    <t>이옥경</t>
  </si>
  <si>
    <t>842-910274-60207</t>
  </si>
  <si>
    <t>690325-2474216</t>
  </si>
  <si>
    <t>010-6218-9613</t>
  </si>
  <si>
    <t>20260401-46</t>
  </si>
  <si>
    <t>이옥현</t>
  </si>
  <si>
    <t>292901-04-008958</t>
  </si>
  <si>
    <t>611211-2797827</t>
  </si>
  <si>
    <t>010-9019-2529</t>
  </si>
  <si>
    <t>이정운(610925-1629751,010-8612-1680)으로부터 양수</t>
  </si>
  <si>
    <t>에이멘비 계약, 민복돌제출 금액 상이 확인(4천, 2천, 1천)</t>
  </si>
  <si>
    <t>이완용</t>
  </si>
  <si>
    <t>740123-1411312</t>
  </si>
  <si>
    <t>이원구</t>
  </si>
  <si>
    <t>406202-01-322387</t>
  </si>
  <si>
    <t>이유정</t>
  </si>
  <si>
    <t>662002-01-868311</t>
  </si>
  <si>
    <t>950911-2170018</t>
  </si>
  <si>
    <t>010-2294-1356</t>
  </si>
  <si>
    <t>595-04-768520</t>
  </si>
  <si>
    <t>851116-2002112</t>
  </si>
  <si>
    <t>010-4658-7764</t>
  </si>
  <si>
    <t>이윤신</t>
  </si>
  <si>
    <t>184-02-051880</t>
  </si>
  <si>
    <t>650224-2067417</t>
  </si>
  <si>
    <t>010-4772-5325</t>
  </si>
  <si>
    <t>20260311-98</t>
  </si>
  <si>
    <t>이은숙</t>
  </si>
  <si>
    <t>1108-02-072616</t>
  </si>
  <si>
    <t>최민석(양도)</t>
  </si>
  <si>
    <t>이은애</t>
  </si>
  <si>
    <t>302-0352-7111-71</t>
  </si>
  <si>
    <t>751129-2538310</t>
  </si>
  <si>
    <t>010-2718-7091</t>
  </si>
  <si>
    <t>이은영</t>
  </si>
  <si>
    <t>011-21-0351-355</t>
  </si>
  <si>
    <t>630419-2538312</t>
  </si>
  <si>
    <t>010-3732-9807</t>
  </si>
  <si>
    <t>20260311-89</t>
  </si>
  <si>
    <t>별도 계약(추가)</t>
  </si>
  <si>
    <t>이은정</t>
  </si>
  <si>
    <t>110-231-120735</t>
  </si>
  <si>
    <t>670822-2056224</t>
  </si>
  <si>
    <t>010-3218-1738</t>
  </si>
  <si>
    <t>20260305-92</t>
  </si>
  <si>
    <t>금액정보확인</t>
  </si>
  <si>
    <t>3333-19-0894874</t>
  </si>
  <si>
    <t>790511-2069222</t>
  </si>
  <si>
    <t>이의철</t>
  </si>
  <si>
    <t>1002-062-850512</t>
  </si>
  <si>
    <t>970814-1042216</t>
  </si>
  <si>
    <t>010-3890-6499</t>
  </si>
  <si>
    <t>8719-101-3384807</t>
  </si>
  <si>
    <t>이재성</t>
  </si>
  <si>
    <t>110-253-112763</t>
  </si>
  <si>
    <t>020111-3171318</t>
  </si>
  <si>
    <t>010-5550-1772</t>
  </si>
  <si>
    <t>20260305-77</t>
  </si>
  <si>
    <t>이재윤</t>
  </si>
  <si>
    <t>078-225015-01-016</t>
  </si>
  <si>
    <t>690102-1808024</t>
  </si>
  <si>
    <t>010-7600-7061</t>
  </si>
  <si>
    <t>20260405-26</t>
  </si>
  <si>
    <t>이정란</t>
  </si>
  <si>
    <t>314-12-399385</t>
  </si>
  <si>
    <t>670207-2535616</t>
  </si>
  <si>
    <t>110-475-208-444</t>
  </si>
  <si>
    <t>770904-2038021</t>
  </si>
  <si>
    <t>010-8033-1110</t>
  </si>
  <si>
    <t>카드 240만 / 240,060(영수증 첨부)</t>
  </si>
  <si>
    <t>서혜숙</t>
  </si>
  <si>
    <t>666201-01-104977</t>
  </si>
  <si>
    <t>580206-2253917</t>
  </si>
  <si>
    <t>010-370-2466</t>
  </si>
  <si>
    <t>20260404-14</t>
  </si>
  <si>
    <t>564302-04-067804</t>
  </si>
  <si>
    <t>550-02-048727</t>
  </si>
  <si>
    <t>620504-2794611</t>
  </si>
  <si>
    <t>010-9360-1090</t>
  </si>
  <si>
    <t>352-1228-2957-13</t>
  </si>
  <si>
    <t>601228-2140310</t>
  </si>
  <si>
    <t>010-2249-1176</t>
  </si>
  <si>
    <t>20260404-16</t>
  </si>
  <si>
    <t>460602-96-114982</t>
  </si>
  <si>
    <t>651225-2542658</t>
  </si>
  <si>
    <t>010-5498-1517</t>
  </si>
  <si>
    <t>260204-87</t>
  </si>
  <si>
    <t>이정옥</t>
  </si>
  <si>
    <t>1002-031-981661</t>
  </si>
  <si>
    <t>26.4.10 1천만, 26.4.15 증액 카드/현금/수수료</t>
  </si>
  <si>
    <t>이정용</t>
  </si>
  <si>
    <t>110-338-114752</t>
  </si>
  <si>
    <t>850924-1012614</t>
  </si>
  <si>
    <t>010-8684-9573</t>
  </si>
  <si>
    <t>이정운</t>
  </si>
  <si>
    <t>500439-02-126768</t>
  </si>
  <si>
    <t>610925-1629751</t>
  </si>
  <si>
    <t>이정하</t>
  </si>
  <si>
    <t>110-384-323810</t>
  </si>
  <si>
    <t>640429-2551117</t>
  </si>
  <si>
    <t>010-3905-3988</t>
  </si>
  <si>
    <t>20260401-43</t>
  </si>
  <si>
    <t>이정학</t>
  </si>
  <si>
    <t>600814-1455127</t>
  </si>
  <si>
    <t>010-7318-4544</t>
  </si>
  <si>
    <t>이정한</t>
  </si>
  <si>
    <t>103556-02-388922</t>
  </si>
  <si>
    <t>680225-1331011</t>
  </si>
  <si>
    <t>010-9126-6463</t>
  </si>
  <si>
    <t>합본</t>
  </si>
  <si>
    <t>110-329-144413</t>
  </si>
  <si>
    <t>781224-2038011</t>
  </si>
  <si>
    <t>010-9421-4006</t>
  </si>
  <si>
    <t>25.9.13 1천만, 25.11.1 2천만 25.11.28 1천만 증액, 총 4천만원</t>
  </si>
  <si>
    <t>1002-254-933531</t>
  </si>
  <si>
    <t>730310-2038041</t>
  </si>
  <si>
    <t>010-5145-565?</t>
  </si>
  <si>
    <t>1002-754-933531</t>
  </si>
  <si>
    <t>010-5145-5690</t>
  </si>
  <si>
    <t>합본(LAS매장점주계약서에 합본)</t>
  </si>
  <si>
    <t>1005-004-584605</t>
  </si>
  <si>
    <t>640009-1634419</t>
  </si>
  <si>
    <t>반납(LAS매장점주계약서에 합본)</t>
  </si>
  <si>
    <t>110-344-092444</t>
  </si>
  <si>
    <t>680809-1634519</t>
  </si>
  <si>
    <t>010-3231-6578</t>
  </si>
  <si>
    <t>최현미(3천 양도 계약서)</t>
  </si>
  <si>
    <t>이주언</t>
  </si>
  <si>
    <t>부산은행</t>
  </si>
  <si>
    <t>112-2295-3816-09</t>
  </si>
  <si>
    <t>760310-2093318</t>
  </si>
  <si>
    <t>010-6438-9581</t>
  </si>
  <si>
    <t>이준옥</t>
  </si>
  <si>
    <t>356-1520-6631-23</t>
  </si>
  <si>
    <t>500119-2540412</t>
  </si>
  <si>
    <t>010-5378-1314</t>
  </si>
  <si>
    <t>20260324-06</t>
  </si>
  <si>
    <t>이지은</t>
  </si>
  <si>
    <t>110-318-911420</t>
  </si>
  <si>
    <t>760518-2155514</t>
  </si>
  <si>
    <t>010-9157-5106</t>
  </si>
  <si>
    <t>20260401-83</t>
  </si>
  <si>
    <t>이진묵</t>
  </si>
  <si>
    <t>051-21-0885-536</t>
  </si>
  <si>
    <t>770426-1481618</t>
  </si>
  <si>
    <t>010-7109-3632</t>
  </si>
  <si>
    <t>김안순(양도), 서류보완</t>
  </si>
  <si>
    <t>이표숙</t>
  </si>
  <si>
    <t>436-910101-08607</t>
  </si>
  <si>
    <t>630526-2464913</t>
  </si>
  <si>
    <t>010-7313-5240</t>
  </si>
  <si>
    <t>26.4.24 계약서에 합산</t>
  </si>
  <si>
    <t>630526-246413</t>
  </si>
  <si>
    <t>이하연</t>
  </si>
  <si>
    <t>025-141946-01-01</t>
  </si>
  <si>
    <t>940528-2170115</t>
  </si>
  <si>
    <t>010-7229-5067</t>
  </si>
  <si>
    <t>20260305-71</t>
  </si>
  <si>
    <t>301-3577-159211</t>
  </si>
  <si>
    <t>731211-2330913</t>
  </si>
  <si>
    <t>010-3577-1592</t>
  </si>
  <si>
    <t>이한구</t>
  </si>
  <si>
    <t>344-04-778-759</t>
  </si>
  <si>
    <t>751013-1038022</t>
  </si>
  <si>
    <t>010-8880-5810</t>
  </si>
  <si>
    <t>이해린</t>
  </si>
  <si>
    <t>3333-09-2683439</t>
  </si>
  <si>
    <t>071110-4249620</t>
  </si>
  <si>
    <t>010-4652-5769</t>
  </si>
  <si>
    <t>20260311-26</t>
  </si>
  <si>
    <t>이향숙</t>
  </si>
  <si>
    <t>223-21-0854-999</t>
  </si>
  <si>
    <t>이향순</t>
  </si>
  <si>
    <t>171625-52-066665</t>
  </si>
  <si>
    <t>571011-2522616</t>
  </si>
  <si>
    <t>010-4718-2525</t>
  </si>
  <si>
    <t>352-1320-5515-13</t>
  </si>
  <si>
    <t>26.4.12 계약서에 합산</t>
  </si>
  <si>
    <t>770917-2522227</t>
  </si>
  <si>
    <t>010-9678-4025</t>
  </si>
  <si>
    <t>726-220999-02-101</t>
  </si>
  <si>
    <t>830220-2012529</t>
  </si>
  <si>
    <t>010-3599-1626</t>
  </si>
  <si>
    <t>20260424-52</t>
  </si>
  <si>
    <t>605-06-611764</t>
  </si>
  <si>
    <t>880201-2168115</t>
  </si>
  <si>
    <t>010-5229-8439</t>
  </si>
  <si>
    <t>전윤희(양도)</t>
  </si>
  <si>
    <t>수익금확인</t>
  </si>
  <si>
    <t>302-8875-8325-11</t>
  </si>
  <si>
    <t>770301-2810418</t>
  </si>
  <si>
    <t>010-8875-8325</t>
  </si>
  <si>
    <t>이혜원</t>
  </si>
  <si>
    <t>347-910312-05507</t>
  </si>
  <si>
    <t>670412-2052710</t>
  </si>
  <si>
    <t>010-4518-6438</t>
  </si>
  <si>
    <t>이화진</t>
  </si>
  <si>
    <t>3333-05-8867821</t>
  </si>
  <si>
    <t>771205-2030031</t>
  </si>
  <si>
    <t>010-3777-1205</t>
  </si>
  <si>
    <t>20260324-02</t>
  </si>
  <si>
    <t>이효주</t>
  </si>
  <si>
    <t>1002-829-424851</t>
  </si>
  <si>
    <t>630528-2816724</t>
  </si>
  <si>
    <t>이효준</t>
  </si>
  <si>
    <t>471-023308-01-012</t>
  </si>
  <si>
    <t>352-2029-0992-03</t>
  </si>
  <si>
    <t>720507-1408810</t>
  </si>
  <si>
    <t>010-5556-9994</t>
  </si>
  <si>
    <t>카드 2/28 800만 / 244만 등 메모</t>
  </si>
  <si>
    <t>이희수</t>
  </si>
  <si>
    <t>심명채(양도), 25.8.7 계약서에 합산</t>
  </si>
  <si>
    <t>1002-4388-99847</t>
  </si>
  <si>
    <t>901011-2167513</t>
  </si>
  <si>
    <t>010-3318-1011</t>
  </si>
  <si>
    <t>인다경</t>
  </si>
  <si>
    <t>3636-10-012174-3</t>
  </si>
  <si>
    <t>700616-2469116</t>
  </si>
  <si>
    <t>110-442-293576</t>
  </si>
  <si>
    <t>610904-2806511</t>
  </si>
  <si>
    <t>010-4448-7540</t>
  </si>
  <si>
    <t>20260424-27</t>
  </si>
  <si>
    <t>인혜수</t>
  </si>
  <si>
    <t>631008-2806523</t>
  </si>
  <si>
    <t>010-9924-6058</t>
  </si>
  <si>
    <t>260116-141</t>
  </si>
  <si>
    <t>임병관</t>
  </si>
  <si>
    <t>411-910485-59607</t>
  </si>
  <si>
    <t>490414-1001314</t>
  </si>
  <si>
    <t>010-3246-6435</t>
  </si>
  <si>
    <t>20260424-85</t>
  </si>
  <si>
    <t>임성균</t>
  </si>
  <si>
    <t>508-13-051248-4</t>
  </si>
  <si>
    <t>570211-1779111</t>
  </si>
  <si>
    <t>010-8867-7899</t>
  </si>
  <si>
    <t>임성은</t>
  </si>
  <si>
    <t>012120-02-343856</t>
  </si>
  <si>
    <t>650722-2519911</t>
  </si>
  <si>
    <t>임영주</t>
  </si>
  <si>
    <t>135-910156-99507</t>
  </si>
  <si>
    <t>임영택</t>
  </si>
  <si>
    <t>3333-29-3773614</t>
  </si>
  <si>
    <t>830224-1041325</t>
  </si>
  <si>
    <t>010-3135-3114</t>
  </si>
  <si>
    <t>영크(김새봄)</t>
  </si>
  <si>
    <t>임옥희</t>
  </si>
  <si>
    <t>610401-2565915</t>
  </si>
  <si>
    <t>고영남(양도) 1천만원, 26.3.28 천만원, 수익금?</t>
  </si>
  <si>
    <t>347-910166-97507</t>
  </si>
  <si>
    <t>741023-2674417</t>
  </si>
  <si>
    <t>010-3149-2290</t>
  </si>
  <si>
    <t>임종숙</t>
  </si>
  <si>
    <t>610722-2460019</t>
  </si>
  <si>
    <t>010-8322-2587</t>
  </si>
  <si>
    <t>20260404-32</t>
  </si>
  <si>
    <t>임지연</t>
  </si>
  <si>
    <t>325-910461-94507</t>
  </si>
  <si>
    <t>770630-2055419</t>
  </si>
  <si>
    <t>010-7114-0678</t>
  </si>
  <si>
    <t>20260405-03</t>
  </si>
  <si>
    <t>임혜경</t>
  </si>
  <si>
    <t>241027-56-102170</t>
  </si>
  <si>
    <t>690913-2122911</t>
  </si>
  <si>
    <t>010-4720-7440</t>
  </si>
  <si>
    <t>26.5.27 천만원 증액</t>
  </si>
  <si>
    <t>장매리</t>
  </si>
  <si>
    <t>352-1954-6904-13</t>
  </si>
  <si>
    <t>610626-2056518</t>
  </si>
  <si>
    <t>010-9636-1626</t>
  </si>
  <si>
    <t>조하늬 양수</t>
  </si>
  <si>
    <t>장명숙</t>
  </si>
  <si>
    <t>1002-260-671405</t>
  </si>
  <si>
    <t>640615-2925111</t>
  </si>
  <si>
    <t>010-8562-5748</t>
  </si>
  <si>
    <t>장미희</t>
  </si>
  <si>
    <t>179371-52-013146</t>
  </si>
  <si>
    <t>710419-2056319</t>
  </si>
  <si>
    <t>010-2464-2891</t>
  </si>
  <si>
    <t>장민경</t>
  </si>
  <si>
    <t>1002-745-589454</t>
  </si>
  <si>
    <t>장복순</t>
  </si>
  <si>
    <t>326-04-626403</t>
  </si>
  <si>
    <t>660525-2522211</t>
  </si>
  <si>
    <t>010-7721-1767</t>
  </si>
  <si>
    <t>20251211-270</t>
  </si>
  <si>
    <t>장부선</t>
  </si>
  <si>
    <t>1002-950-29715</t>
  </si>
  <si>
    <t>580224-2118013</t>
  </si>
  <si>
    <t>010-4482-0852</t>
  </si>
  <si>
    <t>20260401-97</t>
  </si>
  <si>
    <t>267-891405-71807</t>
  </si>
  <si>
    <t>620928-2405817</t>
  </si>
  <si>
    <t>010-9999-4823</t>
  </si>
  <si>
    <t>쿱양도(2024.10.31)</t>
  </si>
  <si>
    <t>장시은</t>
  </si>
  <si>
    <t>9003-2127-0143-6</t>
  </si>
  <si>
    <t>690209-2392312</t>
  </si>
  <si>
    <t>010-7935-4429</t>
  </si>
  <si>
    <t>20260404-59</t>
  </si>
  <si>
    <t>110-180-596133</t>
  </si>
  <si>
    <t>661012-2140412</t>
  </si>
  <si>
    <t>장은수</t>
  </si>
  <si>
    <t>BNK</t>
  </si>
  <si>
    <t>221-0115-0214-04</t>
  </si>
  <si>
    <t>751212-2925819</t>
  </si>
  <si>
    <t>010-6723-0318</t>
  </si>
  <si>
    <t>장종숙</t>
  </si>
  <si>
    <t>439-12-092237</t>
  </si>
  <si>
    <t>521124-2490611</t>
  </si>
  <si>
    <t>장준용</t>
  </si>
  <si>
    <t>110-223-670428</t>
  </si>
  <si>
    <t>880331-1199210</t>
  </si>
  <si>
    <t>010-9223-4097</t>
  </si>
  <si>
    <t>장현숙</t>
  </si>
  <si>
    <t>553-20-037118</t>
  </si>
  <si>
    <t>620427-2067924</t>
  </si>
  <si>
    <t>010-2955-6876</t>
  </si>
  <si>
    <t>260116-101</t>
  </si>
  <si>
    <t>장현애</t>
  </si>
  <si>
    <t>604002-04-031134</t>
  </si>
  <si>
    <t>690120-2031021</t>
  </si>
  <si>
    <t>010-4157-3240</t>
  </si>
  <si>
    <t>25.9.12 계약서에 합산</t>
  </si>
  <si>
    <t>604002-04-037134</t>
  </si>
  <si>
    <t>690120-2037021</t>
  </si>
  <si>
    <t>장휘진</t>
  </si>
  <si>
    <t>352-4547-2007-53</t>
  </si>
  <si>
    <t>전두원</t>
  </si>
  <si>
    <t>352-1765-1078-03</t>
  </si>
  <si>
    <t>640220-1251211</t>
  </si>
  <si>
    <t>전수미</t>
  </si>
  <si>
    <t>010-4727-4322907</t>
  </si>
  <si>
    <t>820822-2657020</t>
  </si>
  <si>
    <t>010-4727-4322</t>
  </si>
  <si>
    <t>069-056648-02-024</t>
  </si>
  <si>
    <t>681224-2522618</t>
  </si>
  <si>
    <t>010-4316-6567</t>
  </si>
  <si>
    <t>067-056648-02-024</t>
  </si>
  <si>
    <t>전영희</t>
  </si>
  <si>
    <t>신협은행</t>
  </si>
  <si>
    <t>136-000-413-948</t>
  </si>
  <si>
    <t>650901-2454920</t>
  </si>
  <si>
    <t>010-9116-0364</t>
  </si>
  <si>
    <t>20260404-13</t>
  </si>
  <si>
    <t>221029-56-071810</t>
  </si>
  <si>
    <t>630330-2261520</t>
  </si>
  <si>
    <t>010-2777-4372</t>
  </si>
  <si>
    <t>260204-42</t>
  </si>
  <si>
    <t>전종배</t>
  </si>
  <si>
    <t>079802-04-239666</t>
  </si>
  <si>
    <t>640318-1670613</t>
  </si>
  <si>
    <t>010-9861-6800</t>
  </si>
  <si>
    <t>전진숙</t>
  </si>
  <si>
    <t>256-02-034791</t>
  </si>
  <si>
    <t>671025-2068215</t>
  </si>
  <si>
    <t>010-3727-8956</t>
  </si>
  <si>
    <t>전하은</t>
  </si>
  <si>
    <t>1002-937-726082</t>
  </si>
  <si>
    <t>670327-2398532</t>
  </si>
  <si>
    <t>전현숙</t>
  </si>
  <si>
    <t>1002-854-988783</t>
  </si>
  <si>
    <t>730219-2051412</t>
  </si>
  <si>
    <t>010-3236-1723</t>
  </si>
  <si>
    <t>20260424-86</t>
  </si>
  <si>
    <t>전혜옥</t>
  </si>
  <si>
    <t>366-12-091760</t>
  </si>
  <si>
    <t>630218-2256710</t>
  </si>
  <si>
    <t>`</t>
  </si>
  <si>
    <t>전홍준</t>
  </si>
  <si>
    <t>331301-04-195911</t>
  </si>
  <si>
    <t>981004-1078519</t>
  </si>
  <si>
    <t>강연희(양수), 양도/폐기</t>
  </si>
  <si>
    <t>정광수</t>
  </si>
  <si>
    <t>435002-01-183870</t>
  </si>
  <si>
    <t>정귀숙</t>
  </si>
  <si>
    <t>210-21-1058-388</t>
  </si>
  <si>
    <t>640617-2674010</t>
  </si>
  <si>
    <t>010-8230-3004</t>
  </si>
  <si>
    <t>20260405-01</t>
  </si>
  <si>
    <t>주엽</t>
  </si>
  <si>
    <t>정미영</t>
  </si>
  <si>
    <t>278-911442-41407</t>
  </si>
  <si>
    <t>670112-2064022</t>
  </si>
  <si>
    <t>010-5393-9394</t>
  </si>
  <si>
    <t>260102-189</t>
  </si>
  <si>
    <t>정병천</t>
  </si>
  <si>
    <t>930616-1071114</t>
  </si>
  <si>
    <t>010-2737-9080</t>
  </si>
  <si>
    <t>정상진</t>
  </si>
  <si>
    <t>938002-00-739935</t>
  </si>
  <si>
    <t>000628-3822619</t>
  </si>
  <si>
    <t>010-9907-6881</t>
  </si>
  <si>
    <t>20260405-64</t>
  </si>
  <si>
    <t>정서영</t>
  </si>
  <si>
    <t>839202-04-291671</t>
  </si>
  <si>
    <t>570215-2559813</t>
  </si>
  <si>
    <t>010-9292-3157</t>
  </si>
  <si>
    <t>정선미</t>
  </si>
  <si>
    <t>352-1304-7794-33</t>
  </si>
  <si>
    <t>740722-2657710</t>
  </si>
  <si>
    <t>010-7247-1234</t>
  </si>
  <si>
    <t>20260401-87</t>
  </si>
  <si>
    <t>정연미</t>
  </si>
  <si>
    <t>670217-2018323</t>
  </si>
  <si>
    <t>20260311-99</t>
  </si>
  <si>
    <t>김왕재(양도), 정연미(일부양수)</t>
  </si>
  <si>
    <t>정운업</t>
  </si>
  <si>
    <t>3333-02-5527033</t>
  </si>
  <si>
    <t>680205-1390041</t>
  </si>
  <si>
    <t>김미아(양도), 입금 등 내용 불명확</t>
  </si>
  <si>
    <t>정윤숙</t>
  </si>
  <si>
    <t>9003-3066-3314-0</t>
  </si>
  <si>
    <t>670108-2812515</t>
  </si>
  <si>
    <t>010-8895-6899</t>
  </si>
  <si>
    <t>ㄴ20260404-28</t>
  </si>
  <si>
    <t>정은미</t>
  </si>
  <si>
    <t>153-11-0001074</t>
  </si>
  <si>
    <t>정은진</t>
  </si>
  <si>
    <t>140-063753-01-012</t>
  </si>
  <si>
    <t>770406-2149611</t>
  </si>
  <si>
    <t>010-5670-2699</t>
  </si>
  <si>
    <t>정은하</t>
  </si>
  <si>
    <t>3333-19-1836914</t>
  </si>
  <si>
    <t>740904-2543411</t>
  </si>
  <si>
    <t>010-5920-0171</t>
  </si>
  <si>
    <t>정인숙</t>
  </si>
  <si>
    <t>3333-03-660680</t>
  </si>
  <si>
    <t>801028-2011017</t>
  </si>
  <si>
    <t>25.7.10 계약서에 합산</t>
  </si>
  <si>
    <t>2025.10.29</t>
  </si>
  <si>
    <t>110-452-868701</t>
  </si>
  <si>
    <t>정인혜</t>
  </si>
  <si>
    <t>110-415-263735</t>
  </si>
  <si>
    <t>750811-2162611</t>
  </si>
  <si>
    <t>010-6318-4415</t>
  </si>
  <si>
    <t>정재선</t>
  </si>
  <si>
    <t>3333-04-7839863</t>
  </si>
  <si>
    <t>870203-2042519</t>
  </si>
  <si>
    <t>010-2410-0175</t>
  </si>
  <si>
    <t>20260404-42</t>
  </si>
  <si>
    <t>정혜교</t>
  </si>
  <si>
    <t>001121-4216022</t>
  </si>
  <si>
    <t>010-3532-5816</t>
  </si>
  <si>
    <t>20260311-01</t>
  </si>
  <si>
    <t>정혜나</t>
  </si>
  <si>
    <t>970519-2216016</t>
  </si>
  <si>
    <t>010-7398-5816</t>
  </si>
  <si>
    <t>20260311-03</t>
  </si>
  <si>
    <t>조경</t>
  </si>
  <si>
    <t>462-07-038636</t>
  </si>
  <si>
    <t>620117-2011321</t>
  </si>
  <si>
    <t>010-9167-9197</t>
  </si>
  <si>
    <t>260116-147</t>
  </si>
  <si>
    <t>조기옥</t>
  </si>
  <si>
    <t>276701-04-299165</t>
  </si>
  <si>
    <t>610910-2030133</t>
  </si>
  <si>
    <t>조길자</t>
  </si>
  <si>
    <t>013-656-02-251533</t>
  </si>
  <si>
    <t>600720-2455946</t>
  </si>
  <si>
    <t>010-5682-0979</t>
  </si>
  <si>
    <t>260204-38</t>
  </si>
  <si>
    <t>조미자</t>
  </si>
  <si>
    <t>100-154-914178</t>
  </si>
  <si>
    <t>791027-2459810</t>
  </si>
  <si>
    <t>조성숙</t>
  </si>
  <si>
    <t>487-02-085217</t>
  </si>
  <si>
    <t>590101-2041615</t>
  </si>
  <si>
    <t>010-2970-5367</t>
  </si>
  <si>
    <t>260204-32</t>
  </si>
  <si>
    <t>쿱(1/26)전환</t>
  </si>
  <si>
    <t>조수아</t>
  </si>
  <si>
    <t>1000-0848-7251</t>
  </si>
  <si>
    <t>조순연</t>
  </si>
  <si>
    <t>110-258-516304</t>
  </si>
  <si>
    <t>630415-2808938</t>
  </si>
  <si>
    <t>김성원(양도)</t>
  </si>
  <si>
    <t>조영달</t>
  </si>
  <si>
    <t>351-1027-8559-33</t>
  </si>
  <si>
    <t>580716-1641820</t>
  </si>
  <si>
    <t>010-8620-8728</t>
  </si>
  <si>
    <t>20260311-14</t>
  </si>
  <si>
    <t>조옥자</t>
  </si>
  <si>
    <t>132-145-167330</t>
  </si>
  <si>
    <t>700926-2228412</t>
  </si>
  <si>
    <t>010-3342-6967</t>
  </si>
  <si>
    <t>20260404-89</t>
  </si>
  <si>
    <t>700090-8207991</t>
  </si>
  <si>
    <t>010-8595-8623</t>
  </si>
  <si>
    <t>20260405-19</t>
  </si>
  <si>
    <t>26.4.19 3백, 26.4.30 7백, 26.5.4 1천만 입금</t>
  </si>
  <si>
    <t>700908-2079917</t>
  </si>
  <si>
    <t>조은애</t>
  </si>
  <si>
    <t>873201-04-309524</t>
  </si>
  <si>
    <t>850902-2030628</t>
  </si>
  <si>
    <t>조은영</t>
  </si>
  <si>
    <t>217001-04-027921</t>
  </si>
  <si>
    <t>811116-2041514</t>
  </si>
  <si>
    <t>010-2316-2045</t>
  </si>
  <si>
    <t>356-1499-5675-33</t>
  </si>
  <si>
    <t>810125-2093925</t>
  </si>
  <si>
    <t>010-5106-9098</t>
  </si>
  <si>
    <t>20260324-24</t>
  </si>
  <si>
    <t>조정숙</t>
  </si>
  <si>
    <t>481-02-085217</t>
  </si>
  <si>
    <t>현금+카드(영수증으로 입증)</t>
  </si>
  <si>
    <t>조정애</t>
  </si>
  <si>
    <t>640826-2037421</t>
  </si>
  <si>
    <t>260224-71</t>
  </si>
  <si>
    <t>현금(입금자:정선훈)</t>
  </si>
  <si>
    <t>조진희</t>
  </si>
  <si>
    <t>567002-04-168205</t>
  </si>
  <si>
    <t>700810-2551126</t>
  </si>
  <si>
    <t>조해주</t>
  </si>
  <si>
    <t>132-082-638127</t>
  </si>
  <si>
    <t>661216-2684237</t>
  </si>
  <si>
    <t>010-3261-9179</t>
  </si>
  <si>
    <t>현금(입금자:김기용)</t>
  </si>
  <si>
    <t>조현경</t>
  </si>
  <si>
    <t>731001-2148430</t>
  </si>
  <si>
    <t>위 건과 비교 확인</t>
  </si>
  <si>
    <t>윤소희(양도)</t>
  </si>
  <si>
    <t>조혜빈</t>
  </si>
  <si>
    <t>1002-258-039342</t>
  </si>
  <si>
    <t>000327-4335111</t>
  </si>
  <si>
    <t>010-8264-3164</t>
  </si>
  <si>
    <t>주슬기</t>
  </si>
  <si>
    <t>110-406-463703</t>
  </si>
  <si>
    <t>860412-1063717</t>
  </si>
  <si>
    <t>010-5525-3749</t>
  </si>
  <si>
    <t>카드현금</t>
  </si>
  <si>
    <t>주하민</t>
  </si>
  <si>
    <t>178-910375-94107</t>
  </si>
  <si>
    <t>020502-3300211</t>
  </si>
  <si>
    <t>주하영</t>
  </si>
  <si>
    <t>301-0140-3968-81</t>
  </si>
  <si>
    <t>791030-2829310</t>
  </si>
  <si>
    <t>010-3868-9385</t>
  </si>
  <si>
    <t>주하은</t>
  </si>
  <si>
    <t>000410-4188227</t>
  </si>
  <si>
    <t>010-3239-7021</t>
  </si>
  <si>
    <t>지수자</t>
  </si>
  <si>
    <t>153-19-13988-2</t>
  </si>
  <si>
    <t>550906-2558211</t>
  </si>
  <si>
    <t>010-2394-0201</t>
  </si>
  <si>
    <t>110-220-796069</t>
  </si>
  <si>
    <t>720301-2932531</t>
  </si>
  <si>
    <t>010-5514-9934</t>
  </si>
  <si>
    <t>지희경</t>
  </si>
  <si>
    <t>312215-02-081388</t>
  </si>
  <si>
    <t>630502-2457711</t>
  </si>
  <si>
    <t>010-4819-0801</t>
  </si>
  <si>
    <t>지희자</t>
  </si>
  <si>
    <t>659401-01-048655</t>
  </si>
  <si>
    <t>700714-2233518</t>
  </si>
  <si>
    <t>010-3185-1545</t>
  </si>
  <si>
    <t>진두홍</t>
  </si>
  <si>
    <t>508-13-132487-3</t>
  </si>
  <si>
    <t>730509-1101818</t>
  </si>
  <si>
    <t>010-4408-5119</t>
  </si>
  <si>
    <t>20260404-17</t>
  </si>
  <si>
    <t>1001-8988-3050</t>
  </si>
  <si>
    <t>750118-1329414</t>
  </si>
  <si>
    <t>010-2431-9061</t>
  </si>
  <si>
    <t>209-02-634631</t>
  </si>
  <si>
    <t>차기용</t>
  </si>
  <si>
    <t>716-910075-06307</t>
  </si>
  <si>
    <t>720114-1000517</t>
  </si>
  <si>
    <t>010-8285-5074</t>
  </si>
  <si>
    <t>차분순</t>
  </si>
  <si>
    <t>400401-01-237673</t>
  </si>
  <si>
    <t>560108-2953142</t>
  </si>
  <si>
    <t>010-6665-5663</t>
  </si>
  <si>
    <t>차성목</t>
  </si>
  <si>
    <t>100-022-854944</t>
  </si>
  <si>
    <t>800108-1023920</t>
  </si>
  <si>
    <t>010-2895-5470</t>
  </si>
  <si>
    <t>차윤정</t>
  </si>
  <si>
    <t>302-0455-2788-21</t>
  </si>
  <si>
    <t>차정숙</t>
  </si>
  <si>
    <t>352-1155-3238-63</t>
  </si>
  <si>
    <t>670830-2543722</t>
  </si>
  <si>
    <t>010-2266-9229</t>
  </si>
  <si>
    <t>010-2722-1253</t>
  </si>
  <si>
    <t>801101-2528518</t>
  </si>
  <si>
    <t>채유리</t>
  </si>
  <si>
    <t>325040-52-004624</t>
  </si>
  <si>
    <t>채행숙</t>
  </si>
  <si>
    <t>367-04-029314</t>
  </si>
  <si>
    <t>671023-2068015</t>
  </si>
  <si>
    <t>010-7566-7624</t>
  </si>
  <si>
    <t>최도형</t>
  </si>
  <si>
    <t>088202-04-029236</t>
  </si>
  <si>
    <t>630421-1550222</t>
  </si>
  <si>
    <t>010-2022-4258</t>
  </si>
  <si>
    <t>최문선</t>
  </si>
  <si>
    <t>110-433-700736</t>
  </si>
  <si>
    <t>590328-2481722</t>
  </si>
  <si>
    <t>010-8989-6734</t>
  </si>
  <si>
    <t>20260401-53</t>
  </si>
  <si>
    <t>최문수</t>
  </si>
  <si>
    <t>168-910176-58207</t>
  </si>
  <si>
    <t>660313-1628511</t>
  </si>
  <si>
    <t>유정은(양도)</t>
  </si>
  <si>
    <t>이영희(양도)</t>
  </si>
  <si>
    <t>최승권(양도)</t>
  </si>
  <si>
    <t>최미숙</t>
  </si>
  <si>
    <t>3010-33366-5511</t>
  </si>
  <si>
    <t>601009-2140410</t>
  </si>
  <si>
    <t>010-9572-3788</t>
  </si>
  <si>
    <t>20260424-87</t>
  </si>
  <si>
    <t>352-2274-5299-53</t>
  </si>
  <si>
    <t>620227-2663221</t>
  </si>
  <si>
    <t>010-5581-4662</t>
  </si>
  <si>
    <t>최미향</t>
  </si>
  <si>
    <t>508-15-653168-3</t>
  </si>
  <si>
    <t>680505-2709423</t>
  </si>
  <si>
    <t>010-6503-5213</t>
  </si>
  <si>
    <t>20260311-50</t>
  </si>
  <si>
    <t>최미화</t>
  </si>
  <si>
    <t>302-1836-9905-11</t>
  </si>
  <si>
    <t>630414-6780047</t>
  </si>
  <si>
    <t>최민주</t>
  </si>
  <si>
    <t>870209-1152021</t>
  </si>
  <si>
    <t>010-8950-5833</t>
  </si>
  <si>
    <t>20260311-88</t>
  </si>
  <si>
    <t>최보선</t>
  </si>
  <si>
    <t>90032-4093-3349</t>
  </si>
  <si>
    <t>760705-2009932</t>
  </si>
  <si>
    <t>010-7409-0822</t>
  </si>
  <si>
    <t>363-810314-52607</t>
  </si>
  <si>
    <t>510502-2066935</t>
  </si>
  <si>
    <t>010-2937-0970</t>
  </si>
  <si>
    <t>최성훈</t>
  </si>
  <si>
    <t>110-233-838905</t>
  </si>
  <si>
    <t>811221-1401112</t>
  </si>
  <si>
    <t>010-6403-8935</t>
  </si>
  <si>
    <t>최수경</t>
  </si>
  <si>
    <t>110-354-806256</t>
  </si>
  <si>
    <t>900819-2000219</t>
  </si>
  <si>
    <t>010-3545-4202</t>
  </si>
  <si>
    <t>계약일/최초수당지급/만료일 동일함</t>
  </si>
  <si>
    <t>최수연</t>
  </si>
  <si>
    <t>3333-19-2683439</t>
  </si>
  <si>
    <t>820208-2481812</t>
  </si>
  <si>
    <t>이해진(양도)</t>
  </si>
  <si>
    <t>최수정</t>
  </si>
  <si>
    <t>302-2078-9782-71</t>
  </si>
  <si>
    <t>700319-2350916</t>
  </si>
  <si>
    <t>010-5515-5074</t>
  </si>
  <si>
    <t>최수호</t>
  </si>
  <si>
    <t>060308-3169010</t>
  </si>
  <si>
    <t>010-8785-2273</t>
  </si>
  <si>
    <t>현금(입금자:박명희)</t>
  </si>
  <si>
    <t>최아영</t>
  </si>
  <si>
    <t>110-504-634031</t>
  </si>
  <si>
    <t>790826-2625423</t>
  </si>
  <si>
    <t>박재욱(양도)</t>
  </si>
  <si>
    <t>최영옥</t>
  </si>
  <si>
    <t>110-288-397923</t>
  </si>
  <si>
    <t>650520-2143116</t>
  </si>
  <si>
    <t>010-9391-0773</t>
  </si>
  <si>
    <t>최영하</t>
  </si>
  <si>
    <t>580509-1148421</t>
  </si>
  <si>
    <t>최예은</t>
  </si>
  <si>
    <t>334-06-164408</t>
  </si>
  <si>
    <t>630105-2025937</t>
  </si>
  <si>
    <t>010-8621-9778</t>
  </si>
  <si>
    <t>20260324-05</t>
  </si>
  <si>
    <t>최용진</t>
  </si>
  <si>
    <t>022-12-006466-2</t>
  </si>
  <si>
    <t>631030-1120018</t>
  </si>
  <si>
    <t>010-2773-9468</t>
  </si>
  <si>
    <t>최원숙</t>
  </si>
  <si>
    <t>352-0184-1939-23</t>
  </si>
  <si>
    <t>570414-2066920</t>
  </si>
  <si>
    <t>010-9205-5484</t>
  </si>
  <si>
    <t>26.6.2 계약서에 합산</t>
  </si>
  <si>
    <t>3520-18419-3923</t>
  </si>
  <si>
    <t>20260311-100</t>
  </si>
  <si>
    <t>3333-28-2929656</t>
  </si>
  <si>
    <t>691106-2550714</t>
  </si>
  <si>
    <t>010-3925-4228</t>
  </si>
  <si>
    <t>최윤경</t>
  </si>
  <si>
    <t>352-0934-4728-03</t>
  </si>
  <si>
    <t>790218-2231111</t>
  </si>
  <si>
    <t>010-3124-2838</t>
  </si>
  <si>
    <t>20260401-88</t>
  </si>
  <si>
    <t>최윤보</t>
  </si>
  <si>
    <t>3333-56-462190</t>
  </si>
  <si>
    <t>881107-2152010</t>
  </si>
  <si>
    <t>26.1.29 천만, 26.2.27 2천만(카드), 26.5.5 2천만, 5월~6월 급는 어떻게 ? 26.7.2 4천만원 수당지급 확정</t>
  </si>
  <si>
    <t>3333-35-646219</t>
  </si>
  <si>
    <t>010-7334-5830</t>
  </si>
  <si>
    <t>현금(증액)</t>
  </si>
  <si>
    <t>최윤정</t>
  </si>
  <si>
    <t>072-100750-01-014</t>
  </si>
  <si>
    <t>721113-2031311</t>
  </si>
  <si>
    <t>010-2322-5258</t>
  </si>
  <si>
    <t>20260311-39</t>
  </si>
  <si>
    <t>최은재</t>
  </si>
  <si>
    <t>110-206-087447</t>
  </si>
  <si>
    <t>670308-2520216</t>
  </si>
  <si>
    <t>010-6394-5949</t>
  </si>
  <si>
    <t>1002-031-363330</t>
  </si>
  <si>
    <t>650104-2566526</t>
  </si>
  <si>
    <t>010-5067-1034</t>
  </si>
  <si>
    <t>최인령</t>
  </si>
  <si>
    <t>최인숙</t>
  </si>
  <si>
    <t>560712-2229614</t>
  </si>
  <si>
    <t>010-3388-2272</t>
  </si>
  <si>
    <t>20260404-34</t>
  </si>
  <si>
    <t>560716-2229614</t>
  </si>
  <si>
    <t>790813-2163427</t>
  </si>
  <si>
    <t>010-8728-7294</t>
  </si>
  <si>
    <t>최종철</t>
  </si>
  <si>
    <t>352-0549-718893</t>
  </si>
  <si>
    <t>650501-1268913</t>
  </si>
  <si>
    <t>010-7309-0455</t>
  </si>
  <si>
    <t>260224-78</t>
  </si>
  <si>
    <t>최종혁</t>
  </si>
  <si>
    <t>3333-02-8929463</t>
  </si>
  <si>
    <t>680217-1051512</t>
  </si>
  <si>
    <t>010-2346-9429</t>
  </si>
  <si>
    <t>최준희</t>
  </si>
  <si>
    <t>079-280-880-12-101</t>
  </si>
  <si>
    <t>660611-2168014</t>
  </si>
  <si>
    <t>010-7755-1356</t>
  </si>
  <si>
    <t>최지은</t>
  </si>
  <si>
    <t>110-417-696839</t>
  </si>
  <si>
    <t>700130-2095317</t>
  </si>
  <si>
    <t>010-8536-7741</t>
  </si>
  <si>
    <t>20260305-84</t>
  </si>
  <si>
    <t>1002-247-432298</t>
  </si>
  <si>
    <t>801204-2343916</t>
  </si>
  <si>
    <t>010-6375-2406</t>
  </si>
  <si>
    <t>1002-2474-32298</t>
  </si>
  <si>
    <t>20260311-22</t>
  </si>
  <si>
    <t>최지혜</t>
  </si>
  <si>
    <t>210701-04-529594</t>
  </si>
  <si>
    <t>660906-2009416</t>
  </si>
  <si>
    <t>010-9251-7916</t>
  </si>
  <si>
    <t>최천수</t>
  </si>
  <si>
    <t>110-163-397562</t>
  </si>
  <si>
    <t>최철영</t>
  </si>
  <si>
    <t>571015-1652843</t>
  </si>
  <si>
    <t>010-4051-5316</t>
  </si>
  <si>
    <t>9003-2289-0969-8</t>
  </si>
  <si>
    <t>640325-2229420</t>
  </si>
  <si>
    <t>최현덕</t>
  </si>
  <si>
    <t>05521-0729-459</t>
  </si>
  <si>
    <t>721123-2235618</t>
  </si>
  <si>
    <t>최현옥</t>
  </si>
  <si>
    <t>086-21-0560-998</t>
  </si>
  <si>
    <t>600920-2023615</t>
  </si>
  <si>
    <t>010-3922-6944</t>
  </si>
  <si>
    <t>20260401-82</t>
  </si>
  <si>
    <t>최현혜</t>
  </si>
  <si>
    <t>040826-4054619</t>
  </si>
  <si>
    <t>최희경</t>
  </si>
  <si>
    <t>419401-04-085251</t>
  </si>
  <si>
    <t>710507-2052815</t>
  </si>
  <si>
    <t>010-2466-0635</t>
  </si>
  <si>
    <t>추남수</t>
  </si>
  <si>
    <t>352-8571-2353-33</t>
  </si>
  <si>
    <t>634116-1650618</t>
  </si>
  <si>
    <t>010-8571-2353</t>
  </si>
  <si>
    <t>20260424-09</t>
  </si>
  <si>
    <t>추상정</t>
  </si>
  <si>
    <t>073-056363-01-027</t>
  </si>
  <si>
    <t>640526-1009310</t>
  </si>
  <si>
    <t>010-8727-4492</t>
  </si>
  <si>
    <t>태미진</t>
  </si>
  <si>
    <t>301-0089-0534-41</t>
  </si>
  <si>
    <t>하유정</t>
  </si>
  <si>
    <t>352-1550-5301-13</t>
  </si>
  <si>
    <t>차정숙(양도)</t>
  </si>
  <si>
    <t>479-08-026617</t>
  </si>
  <si>
    <t>701230-2890114</t>
  </si>
  <si>
    <t>010-7903-7603</t>
  </si>
  <si>
    <t>하정이</t>
  </si>
  <si>
    <t>373-890263-21807</t>
  </si>
  <si>
    <t>550303-2830710</t>
  </si>
  <si>
    <t>740901-01-293331</t>
  </si>
  <si>
    <t>701208-2055626</t>
  </si>
  <si>
    <t>010-7530-5544</t>
  </si>
  <si>
    <t>260204-10</t>
  </si>
  <si>
    <t>수익금? 합본?</t>
  </si>
  <si>
    <t>한리나</t>
  </si>
  <si>
    <t>302-1092-2478-81</t>
  </si>
  <si>
    <t>HAN LENA YOUNG</t>
  </si>
  <si>
    <t>660913-6160013</t>
  </si>
  <si>
    <t>010-3383-6172</t>
  </si>
  <si>
    <t>한명희</t>
  </si>
  <si>
    <t>0903-10-0073589</t>
  </si>
  <si>
    <t>490316-2067439</t>
  </si>
  <si>
    <t>010-9284-1934</t>
  </si>
  <si>
    <t>한사랑</t>
  </si>
  <si>
    <t>352-1852-4111-93</t>
  </si>
  <si>
    <t>040515-4065716</t>
  </si>
  <si>
    <t>나건국(양도) 1천만원, 26.4.30 천만원 입금</t>
  </si>
  <si>
    <t>한선경</t>
  </si>
  <si>
    <t>028002-04-239051</t>
  </si>
  <si>
    <t>060208-4056816</t>
  </si>
  <si>
    <t>한소희</t>
  </si>
  <si>
    <t>110-449-120712</t>
  </si>
  <si>
    <t>871028-2063814</t>
  </si>
  <si>
    <t>한수진</t>
  </si>
  <si>
    <t>599-810484-15507</t>
  </si>
  <si>
    <t>690405-2468437</t>
  </si>
  <si>
    <t>010-9143-4021</t>
  </si>
  <si>
    <t>346-21-0166-329</t>
  </si>
  <si>
    <t>780914-2357119</t>
  </si>
  <si>
    <t>한유성</t>
  </si>
  <si>
    <t>10011-6603311</t>
  </si>
  <si>
    <t>곽경호</t>
  </si>
  <si>
    <t>020107-3031438</t>
  </si>
  <si>
    <t>010-4937-8876</t>
  </si>
  <si>
    <t>335-13-002410</t>
  </si>
  <si>
    <t>한정석</t>
  </si>
  <si>
    <t>100-152-321021</t>
  </si>
  <si>
    <t>621011-1341910</t>
  </si>
  <si>
    <t>010-8338-8876</t>
  </si>
  <si>
    <t>한정아</t>
  </si>
  <si>
    <t>KB국민은행</t>
  </si>
  <si>
    <t>3494-010-4111-053</t>
  </si>
  <si>
    <t>710610-2528113</t>
  </si>
  <si>
    <t>010-3741-8446</t>
  </si>
  <si>
    <t>20260424-24</t>
  </si>
  <si>
    <t>26.5.10 계약서에 합산</t>
  </si>
  <si>
    <t>349401-0471053</t>
  </si>
  <si>
    <t>26.5.13 천만원 증액</t>
  </si>
  <si>
    <t>701224-1149613</t>
  </si>
  <si>
    <t>010-2301-0208</t>
  </si>
  <si>
    <t>20260405-65</t>
  </si>
  <si>
    <t>한현석</t>
  </si>
  <si>
    <t>284802-04-126294</t>
  </si>
  <si>
    <t>481218-1036211</t>
  </si>
  <si>
    <t>010-6345-2705</t>
  </si>
  <si>
    <t>260204-26</t>
  </si>
  <si>
    <t>한혜옥</t>
  </si>
  <si>
    <t>381-910082-38307</t>
  </si>
  <si>
    <t>650911-2224912</t>
  </si>
  <si>
    <t>010-8288-1101</t>
  </si>
  <si>
    <t>허정숙</t>
  </si>
  <si>
    <t>1002-232-480096</t>
  </si>
  <si>
    <t>490217-2019612</t>
  </si>
  <si>
    <t>허정실</t>
  </si>
  <si>
    <t>300902-04-068124</t>
  </si>
  <si>
    <t>형이슬</t>
  </si>
  <si>
    <t>110-511-059971</t>
  </si>
  <si>
    <t>940511-2561517</t>
  </si>
  <si>
    <t>010-6591-3351</t>
  </si>
  <si>
    <t>20260305-98</t>
  </si>
  <si>
    <t>681104-1642310</t>
  </si>
  <si>
    <t>010-3905-1592</t>
  </si>
  <si>
    <t>형하늘이</t>
  </si>
  <si>
    <t>1002-9579-19954</t>
  </si>
  <si>
    <t>930625-1070011</t>
  </si>
  <si>
    <t>010-3391-3351</t>
  </si>
  <si>
    <t>20260305-99</t>
  </si>
  <si>
    <t>홍경미</t>
  </si>
  <si>
    <t>356-0782-6434-13</t>
  </si>
  <si>
    <t>610227-2228812</t>
  </si>
  <si>
    <t>010-8297-8657</t>
  </si>
  <si>
    <t>20260305-89</t>
  </si>
  <si>
    <t>홍다솜</t>
  </si>
  <si>
    <t>301-0117-8896-21</t>
  </si>
  <si>
    <t>홍명자</t>
  </si>
  <si>
    <t>9003-2946-3600-2</t>
  </si>
  <si>
    <t>740127-2851012</t>
  </si>
  <si>
    <t>010-7653-6965</t>
  </si>
  <si>
    <t>홍명희</t>
  </si>
  <si>
    <t>520613-1908412</t>
  </si>
  <si>
    <t>010-3300-6897</t>
  </si>
  <si>
    <t>20260404-31</t>
  </si>
  <si>
    <t>나성우(양수)</t>
  </si>
  <si>
    <t>홍운표</t>
  </si>
  <si>
    <t>010-5882-3370-207</t>
  </si>
  <si>
    <t>610617-1046126</t>
  </si>
  <si>
    <t>010-5882-3370</t>
  </si>
  <si>
    <t>20260401-51</t>
  </si>
  <si>
    <t>폐기(오기입)</t>
  </si>
  <si>
    <t>홍이표</t>
  </si>
  <si>
    <t>137-003-113568</t>
  </si>
  <si>
    <t>홍지수</t>
  </si>
  <si>
    <t>352-2233-2967</t>
  </si>
  <si>
    <t>020408-4300317</t>
  </si>
  <si>
    <t>황미정</t>
  </si>
  <si>
    <t>110-371-865037</t>
  </si>
  <si>
    <t>870531-2221826</t>
  </si>
  <si>
    <t>010-3587-2081</t>
  </si>
  <si>
    <t>황은숙</t>
  </si>
  <si>
    <t>3333-414-45858</t>
  </si>
  <si>
    <t>700125-2894617</t>
  </si>
  <si>
    <t>황정선</t>
  </si>
  <si>
    <t>351-1166-8486-43</t>
  </si>
  <si>
    <t>황주녀</t>
  </si>
  <si>
    <t>211051-51-414209</t>
  </si>
  <si>
    <t>560417-2411619</t>
  </si>
  <si>
    <t>010-4105-1781</t>
  </si>
  <si>
    <t>XUANDONGHUA</t>
  </si>
  <si>
    <t>1103-6087-7120</t>
  </si>
  <si>
    <t>EG5814132</t>
  </si>
  <si>
    <t>010-6643-6888</t>
  </si>
  <si>
    <t>결제액</t>
  </si>
  <si>
    <t>결제입금일</t>
  </si>
  <si>
    <t>급여일</t>
  </si>
  <si>
    <t>주민등록증</t>
  </si>
  <si>
    <t>통장사본</t>
  </si>
  <si>
    <t>고임순(양도), 26.3.14 계약서에 합산</t>
  </si>
  <si>
    <t>A</t>
  </si>
  <si>
    <t>수수료</t>
  </si>
  <si>
    <t>120만원 계약서로 교체</t>
  </si>
  <si>
    <t>근무철회로 수당변경</t>
  </si>
  <si>
    <t>임옥희(양도)</t>
  </si>
  <si>
    <t>강경록(양수)</t>
  </si>
  <si>
    <t>양도-이미양</t>
  </si>
  <si>
    <t>오기입폐기, 신규작성</t>
  </si>
  <si>
    <t xml:space="preserve">폐기
</t>
  </si>
  <si>
    <t>최초지급일확인 | [DB] 최초지급일 확인(4월)</t>
  </si>
  <si>
    <t>457025-01-069210</t>
  </si>
  <si>
    <t>010-45703-237</t>
  </si>
  <si>
    <t>최정윤(양도)</t>
  </si>
  <si>
    <t>1002-743-275972</t>
  </si>
  <si>
    <t>ㅇ</t>
  </si>
  <si>
    <t>670121-2156315</t>
  </si>
  <si>
    <t>010-6321-9372</t>
  </si>
  <si>
    <t>1002-950-299715</t>
  </si>
  <si>
    <t>박명애</t>
  </si>
  <si>
    <t>수협</t>
  </si>
  <si>
    <t>001-02599750-9</t>
  </si>
  <si>
    <t>620115-2474411</t>
  </si>
  <si>
    <t>235017-56041-21</t>
  </si>
  <si>
    <t>301-0269-6055-61</t>
  </si>
  <si>
    <t>실로암교회</t>
  </si>
  <si>
    <t>25.4.5 현금 3천</t>
  </si>
  <si>
    <t>26.4.5 현금 3천</t>
  </si>
  <si>
    <t>수지-최지현</t>
  </si>
  <si>
    <t>3333-13-0936760</t>
  </si>
  <si>
    <t>781001-2155021</t>
  </si>
  <si>
    <t>김혜람(양도)</t>
  </si>
  <si>
    <t>870110-2183017</t>
  </si>
  <si>
    <t>양수-이지영</t>
  </si>
  <si>
    <t>010-3724-3299</t>
  </si>
  <si>
    <t>계약서 2건 - 증액과 지급일/수익금 확인</t>
  </si>
  <si>
    <t>260224-73</t>
  </si>
  <si>
    <t>영수증첨부</t>
  </si>
  <si>
    <t>김왕제</t>
  </si>
  <si>
    <t>김민지</t>
  </si>
  <si>
    <t>예수교대한</t>
  </si>
  <si>
    <t>810603-2019513</t>
  </si>
  <si>
    <t>010-7479-2585</t>
  </si>
  <si>
    <t>미처리(4/29)</t>
  </si>
  <si>
    <t>JIN RONGSHUN</t>
  </si>
  <si>
    <t>228-102846-12-001</t>
  </si>
  <si>
    <t>010-8543-9498</t>
  </si>
  <si>
    <t>입금정보확인</t>
  </si>
  <si>
    <t xml:space="preserve">에이멘B,카드 </t>
  </si>
  <si>
    <t>4/23 4천추가</t>
  </si>
  <si>
    <t>630301-2395211</t>
  </si>
  <si>
    <t>010-9453-4435</t>
  </si>
  <si>
    <t>신분증 보완</t>
  </si>
  <si>
    <t>이성영</t>
  </si>
  <si>
    <t>중복확인</t>
  </si>
  <si>
    <t>424-20-088072</t>
  </si>
  <si>
    <t>25.7.1 3천, 25.7.7 3천 입금</t>
  </si>
  <si>
    <t>301-0360-1392-81</t>
  </si>
  <si>
    <t>제자들교회</t>
  </si>
  <si>
    <t>126-82-80302</t>
  </si>
  <si>
    <t>박원순</t>
  </si>
  <si>
    <t>박윤모</t>
  </si>
  <si>
    <t>070-210611-278</t>
  </si>
  <si>
    <t>계약인수(전진숙)</t>
  </si>
  <si>
    <t>100-210-8081117</t>
  </si>
  <si>
    <t>영크</t>
  </si>
  <si>
    <t>375-018670-02-0118</t>
  </si>
  <si>
    <t>640910-2638113</t>
  </si>
  <si>
    <t>26.5.6 천만원(카드현금)</t>
  </si>
  <si>
    <t>이효주(630528-2816724,010-3768-5870)로부터 양수</t>
  </si>
  <si>
    <t>392802-04-158031</t>
  </si>
  <si>
    <t>서민희</t>
  </si>
  <si>
    <t>921602-01-289916</t>
  </si>
  <si>
    <t>010-8832-4391</t>
  </si>
  <si>
    <t>302-1227-9261-41</t>
  </si>
  <si>
    <t>서햬숙</t>
  </si>
  <si>
    <t>312-0550-2321-63</t>
  </si>
  <si>
    <t>010-5659-5871</t>
  </si>
  <si>
    <t>현금(에이멘비)</t>
  </si>
  <si>
    <t>25.10.29 계약서에 합산</t>
  </si>
  <si>
    <t>64110-</t>
  </si>
  <si>
    <t>이희수(추정)</t>
  </si>
  <si>
    <t>입금증 금액 3천:확인</t>
  </si>
  <si>
    <t>808-801-04-23904</t>
  </si>
  <si>
    <t>010-4729-0323</t>
  </si>
  <si>
    <t>26.3.18 천만원, 26.4.23 천만원입금, 26.6.20 이천만원급여</t>
  </si>
  <si>
    <t>808801-04-239034</t>
  </si>
  <si>
    <t>LAS매장점주합본</t>
  </si>
  <si>
    <t>LAS-COOP투자</t>
  </si>
  <si>
    <t>염인자</t>
  </si>
  <si>
    <t>010-6343-7949</t>
  </si>
  <si>
    <t>20260305-87</t>
  </si>
  <si>
    <t>조현정</t>
  </si>
  <si>
    <t>750709-2229919</t>
  </si>
  <si>
    <t>010-6541-0410</t>
  </si>
  <si>
    <t>20260311-27</t>
  </si>
  <si>
    <t>010-9022-3882</t>
  </si>
  <si>
    <t>20260405-06</t>
  </si>
  <si>
    <t>서민희(양수)</t>
  </si>
  <si>
    <t>791215-2095014</t>
  </si>
  <si>
    <t>010-8775-9431</t>
  </si>
  <si>
    <t>동일날짜 계약서 2건</t>
  </si>
  <si>
    <t>급여확인</t>
  </si>
  <si>
    <t>양수-영크양도(확인)</t>
  </si>
  <si>
    <t>460-602-01-157376</t>
  </si>
  <si>
    <t>김상원(양도)</t>
  </si>
  <si>
    <t>박하은</t>
  </si>
  <si>
    <t>에이멘비와 계약</t>
  </si>
  <si>
    <t>장효녀</t>
  </si>
  <si>
    <t>25.11.28 증액</t>
  </si>
  <si>
    <t>25.11.28 증액으로 합본</t>
  </si>
  <si>
    <t>이추리</t>
  </si>
  <si>
    <t>이화수</t>
  </si>
  <si>
    <t>강희정</t>
  </si>
  <si>
    <t>3333-07-717-9005</t>
  </si>
  <si>
    <t>26.6.10 계약서에 합산</t>
  </si>
  <si>
    <t>영크양도-김새봄</t>
  </si>
  <si>
    <t>고영남(양도) 1천만원, 26.3.28 천만원</t>
  </si>
  <si>
    <t>강연희(양수), 양도 폐기</t>
  </si>
  <si>
    <t>김미아(양도)</t>
  </si>
  <si>
    <t>2천계약(26.4.17) 기존</t>
  </si>
  <si>
    <t>우문영</t>
  </si>
  <si>
    <t>092101-04-292197</t>
  </si>
  <si>
    <t>염혜란</t>
  </si>
  <si>
    <t>260204-49</t>
  </si>
  <si>
    <t>주술기</t>
  </si>
  <si>
    <t>김원녀</t>
  </si>
  <si>
    <t>351-1155-5974-73</t>
  </si>
  <si>
    <t>창조반석교회</t>
  </si>
  <si>
    <t>215-82-07450</t>
  </si>
  <si>
    <t>351-1401-5840-93</t>
  </si>
  <si>
    <t>1002-053-677478</t>
  </si>
  <si>
    <t>790829-2625423</t>
  </si>
  <si>
    <t>010-9535-8226</t>
  </si>
  <si>
    <t>010-3003-5830</t>
  </si>
  <si>
    <t>조수한</t>
  </si>
  <si>
    <t>381-810347-18107</t>
  </si>
  <si>
    <t>주미혜</t>
  </si>
  <si>
    <t>박향자</t>
  </si>
  <si>
    <t>352-1551-3241-03</t>
  </si>
  <si>
    <t>증액?</t>
  </si>
  <si>
    <t>윤승종</t>
  </si>
  <si>
    <t>100-119-850037</t>
  </si>
  <si>
    <t>010-3917-1399</t>
  </si>
  <si>
    <t>631116-1650618</t>
  </si>
  <si>
    <t>100-11660-33-11</t>
  </si>
  <si>
    <t>상태</t>
  </si>
  <si>
    <t>지점</t>
  </si>
  <si>
    <t>청라-김수현</t>
  </si>
  <si>
    <t>1002-755-216421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</si>
</sst>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yyyy-mm-dd"/>
    <numFmt numFmtId="165" formatCode="yyyy.mm.dd"/>
  </numFmts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Malgun Gothic"/>
      <family val="2"/>
    </font>
    <font>
      <sz val="12"/>
      <color rgb="FF000000"/>
      <name val="Malgun Gothic"/>
      <family val="2"/>
    </font>
    <font>
      <b/>
      <sz val="12"/>
      <color rgb="FF000000"/>
      <name val="Malgun Gothic"/>
      <family val="2"/>
    </font>
    <font>
      <sz val="12"/>
      <color rgb="FF000000"/>
      <name val="Calibri"/>
      <family val="2"/>
    </font>
    <font>
      <b/>
      <sz val="10"/>
      <color rgb="FF000000"/>
      <name val="Malgun Gothic"/>
      <family val="2"/>
    </font>
    <font>
      <sz val="10"/>
      <color rgb="FF000000"/>
      <name val="Calibri"/>
      <family val="2"/>
    </font>
    <font>
      <sz val="10"/>
      <color rgb="FF000000"/>
      <name val="Malgun Gothic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abf8f"/>
      </patternFill>
    </fill>
    <fill>
      <patternFill patternType="solid">
        <fgColor rgb="FFddebf7"/>
      </patternFill>
    </fill>
    <fill>
      <patternFill patternType="solid">
        <fgColor rgb="FFe36c09"/>
      </patternFill>
    </fill>
    <fill>
      <patternFill patternType="solid">
        <fgColor rgb="FFeeece1"/>
      </patternFill>
    </fill>
    <fill>
      <patternFill patternType="solid">
        <fgColor rgb="FFeaf1dd"/>
      </patternFill>
    </fill>
    <fill>
      <patternFill patternType="solid">
        <fgColor rgb="FFebf1de"/>
      </patternFill>
    </fill>
    <fill>
      <patternFill patternType="solid">
        <fgColor rgb="FFccc1da"/>
      </patternFill>
    </fill>
    <fill>
      <patternFill patternType="solid">
        <fgColor rgb="FFfcd5b5"/>
      </patternFill>
    </fill>
    <fill>
      <patternFill patternType="solid">
        <fgColor rgb="FFfde9d9"/>
      </patternFill>
    </fill>
    <fill>
      <patternFill patternType="solid">
        <fgColor rgb="FFc6d9f0"/>
      </patternFill>
    </fill>
    <fill>
      <patternFill patternType="solid">
        <fgColor rgb="FFdce6f2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7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16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164" applyNumberFormat="1" borderId="3" applyBorder="1" fontId="2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0" borderId="3" applyBorder="1" fontId="3" applyFont="1" fillId="0" applyAlignment="1">
      <alignment horizontal="center"/>
    </xf>
    <xf xfId="0" numFmtId="3" applyNumberFormat="1" borderId="3" applyBorder="1" fontId="3" applyFont="1" fillId="0" applyAlignment="1">
      <alignment horizontal="center"/>
    </xf>
    <xf xfId="0" numFmtId="165" applyNumberFormat="1" borderId="3" applyBorder="1" fontId="3" applyFont="1" fillId="0" applyAlignment="1">
      <alignment horizontal="center"/>
    </xf>
    <xf xfId="0" numFmtId="164" applyNumberFormat="1" borderId="3" applyBorder="1" fontId="3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right"/>
    </xf>
    <xf xfId="0" numFmtId="165" applyNumberFormat="1" borderId="3" applyBorder="1" fontId="2" applyFont="1" fillId="0" applyAlignment="1">
      <alignment horizontal="center"/>
    </xf>
    <xf xfId="0" numFmtId="164" applyNumberFormat="1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0" borderId="1" applyBorder="1" fontId="2" applyFont="1" fillId="3" applyFill="1" applyAlignment="1">
      <alignment horizontal="left"/>
    </xf>
    <xf xfId="0" numFmtId="0" borderId="1" applyBorder="1" fontId="2" applyFont="1" fillId="3" applyFill="1" applyAlignment="1">
      <alignment horizontal="center"/>
    </xf>
    <xf xfId="0" numFmtId="3" applyNumberFormat="1" borderId="1" applyBorder="1" fontId="2" applyFont="1" fillId="3" applyFill="1" applyAlignment="1">
      <alignment horizontal="center"/>
    </xf>
    <xf xfId="0" numFmtId="3" applyNumberFormat="1" borderId="1" applyBorder="1" fontId="2" applyFont="1" fillId="3" applyFill="1" applyAlignment="1">
      <alignment horizontal="right"/>
    </xf>
    <xf xfId="0" numFmtId="165" applyNumberFormat="1" borderId="1" applyBorder="1" fontId="2" applyFont="1" fillId="3" applyFill="1" applyAlignment="1">
      <alignment horizontal="center"/>
    </xf>
    <xf xfId="0" numFmtId="164" applyNumberFormat="1" borderId="1" applyBorder="1" fontId="2" applyFont="1" fillId="3" applyFill="1" applyAlignment="1">
      <alignment horizontal="center"/>
    </xf>
    <xf xfId="0" numFmtId="0" borderId="1" applyBorder="1" fontId="2" applyFont="1" fillId="3" applyFill="1" applyAlignment="1">
      <alignment horizontal="center"/>
    </xf>
    <xf xfId="0" numFmtId="0" borderId="3" applyBorder="1" fontId="4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3" applyBorder="1" fontId="2" applyFont="1" fillId="0" applyAlignment="1">
      <alignment horizontal="left" wrapText="1"/>
    </xf>
    <xf xfId="0" numFmtId="0" borderId="1" applyBorder="1" fontId="2" applyFont="1" fillId="4" applyFill="1" applyAlignment="1">
      <alignment horizontal="left"/>
    </xf>
    <xf xfId="0" numFmtId="0" borderId="1" applyBorder="1" fontId="2" applyFont="1" fillId="4" applyFill="1" applyAlignment="1">
      <alignment horizontal="center"/>
    </xf>
    <xf xfId="0" numFmtId="3" applyNumberFormat="1" borderId="4" applyBorder="1" fontId="2" applyFont="1" fillId="0" applyAlignment="1">
      <alignment horizontal="center"/>
    </xf>
    <xf xfId="0" numFmtId="3" applyNumberFormat="1" borderId="1" applyBorder="1" fontId="2" applyFont="1" fillId="3" applyFill="1" applyAlignment="1">
      <alignment horizontal="center" wrapText="1"/>
    </xf>
    <xf xfId="0" numFmtId="3" applyNumberFormat="1" borderId="1" applyBorder="1" fontId="2" applyFont="1" fillId="5" applyFill="1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5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1" applyBorder="1" fontId="5" applyFont="1" fillId="6" applyFill="1" applyAlignment="1">
      <alignment horizontal="center"/>
    </xf>
    <xf xfId="0" numFmtId="3" applyNumberFormat="1" borderId="1" applyBorder="1" fontId="5" applyFont="1" fillId="6" applyFill="1" applyAlignment="1">
      <alignment horizontal="center"/>
    </xf>
    <xf xfId="0" numFmtId="164" applyNumberFormat="1" borderId="1" applyBorder="1" fontId="5" applyFont="1" fillId="6" applyFill="1" applyAlignment="1">
      <alignment horizontal="center"/>
    </xf>
    <xf xfId="0" numFmtId="165" applyNumberFormat="1" borderId="1" applyBorder="1" fontId="5" applyFont="1" fillId="6" applyFill="1" applyAlignment="1">
      <alignment horizontal="center"/>
    </xf>
    <xf xfId="0" numFmtId="0" borderId="3" applyBorder="1" fontId="5" applyFont="1" fillId="0" applyAlignment="1">
      <alignment horizontal="center"/>
    </xf>
    <xf xfId="0" numFmtId="0" borderId="3" applyBorder="1" fontId="6" applyFont="1" fillId="0" applyAlignment="1">
      <alignment horizontal="left"/>
    </xf>
    <xf xfId="0" numFmtId="0" borderId="1" applyBorder="1" fontId="7" applyFont="1" fillId="7" applyFill="1" applyAlignment="1">
      <alignment horizontal="center"/>
    </xf>
    <xf xfId="0" numFmtId="0" borderId="3" applyBorder="1" fontId="7" applyFont="1" fillId="0" applyAlignment="1">
      <alignment horizontal="center"/>
    </xf>
    <xf xfId="0" numFmtId="3" applyNumberFormat="1" borderId="3" applyBorder="1" fontId="7" applyFont="1" fillId="0" applyAlignment="1">
      <alignment horizontal="right"/>
    </xf>
    <xf xfId="0" numFmtId="165" applyNumberFormat="1" borderId="3" applyBorder="1" fontId="7" applyFont="1" fillId="0" applyAlignment="1">
      <alignment horizontal="center"/>
    </xf>
    <xf xfId="0" numFmtId="164" applyNumberFormat="1" borderId="3" applyBorder="1" fontId="7" applyFont="1" fillId="0" applyAlignment="1">
      <alignment horizontal="center"/>
    </xf>
    <xf xfId="0" numFmtId="0" borderId="3" applyBorder="1" fontId="7" applyFont="1" fillId="0" applyAlignment="1">
      <alignment horizontal="center"/>
    </xf>
    <xf xfId="0" numFmtId="3" applyNumberFormat="1" borderId="3" applyBorder="1" fontId="7" applyFont="1" fillId="0" applyAlignment="1">
      <alignment horizontal="center"/>
    </xf>
    <xf xfId="0" numFmtId="0" borderId="3" applyBorder="1" fontId="7" applyFont="1" fillId="0" applyAlignment="1">
      <alignment horizontal="left"/>
    </xf>
    <xf xfId="0" numFmtId="0" borderId="1" applyBorder="1" fontId="7" applyFont="1" fillId="8" applyFill="1" applyAlignment="1">
      <alignment horizontal="left"/>
    </xf>
    <xf xfId="0" numFmtId="0" borderId="1" applyBorder="1" fontId="7" applyFont="1" fillId="8" applyFill="1" applyAlignment="1">
      <alignment horizontal="center"/>
    </xf>
    <xf xfId="0" numFmtId="3" applyNumberFormat="1" borderId="1" applyBorder="1" fontId="7" applyFont="1" fillId="8" applyFill="1" applyAlignment="1">
      <alignment horizontal="center"/>
    </xf>
    <xf xfId="0" numFmtId="164" applyNumberFormat="1" borderId="1" applyBorder="1" fontId="7" applyFont="1" fillId="8" applyFill="1" applyAlignment="1">
      <alignment horizontal="center"/>
    </xf>
    <xf xfId="0" numFmtId="3" applyNumberFormat="1" borderId="1" applyBorder="1" fontId="7" applyFont="1" fillId="8" applyFill="1" applyAlignment="1">
      <alignment horizontal="right"/>
    </xf>
    <xf xfId="0" numFmtId="0" borderId="3" applyBorder="1" fontId="8" applyFont="1" fillId="0" applyAlignment="1">
      <alignment horizontal="left"/>
    </xf>
    <xf xfId="0" numFmtId="0" borderId="1" applyBorder="1" fontId="7" applyFont="1" fillId="7" applyFill="1" applyAlignment="1">
      <alignment horizontal="left"/>
    </xf>
    <xf xfId="0" numFmtId="3" applyNumberFormat="1" borderId="1" applyBorder="1" fontId="7" applyFont="1" fillId="7" applyFill="1" applyAlignment="1">
      <alignment horizontal="right"/>
    </xf>
    <xf xfId="0" numFmtId="3" applyNumberFormat="1" borderId="1" applyBorder="1" fontId="7" applyFont="1" fillId="7" applyFill="1" applyAlignment="1">
      <alignment horizontal="left"/>
    </xf>
    <xf xfId="0" numFmtId="165" applyNumberFormat="1" borderId="1" applyBorder="1" fontId="7" applyFont="1" fillId="7" applyFill="1" applyAlignment="1">
      <alignment horizontal="center"/>
    </xf>
    <xf xfId="0" numFmtId="164" applyNumberFormat="1" borderId="1" applyBorder="1" fontId="7" applyFont="1" fillId="7" applyFill="1" applyAlignment="1">
      <alignment horizontal="center"/>
    </xf>
    <xf xfId="0" numFmtId="0" borderId="1" applyBorder="1" fontId="7" applyFont="1" fillId="7" applyFill="1" applyAlignment="1">
      <alignment horizontal="center"/>
    </xf>
    <xf xfId="0" numFmtId="3" applyNumberFormat="1" borderId="1" applyBorder="1" fontId="7" applyFont="1" fillId="7" applyFill="1" applyAlignment="1">
      <alignment horizontal="center"/>
    </xf>
    <xf xfId="0" numFmtId="0" borderId="1" applyBorder="1" fontId="7" applyFont="1" fillId="9" applyFill="1" applyAlignment="1">
      <alignment horizontal="center"/>
    </xf>
    <xf xfId="0" numFmtId="0" borderId="1" applyBorder="1" fontId="7" applyFont="1" fillId="3" applyFill="1" applyAlignment="1">
      <alignment horizontal="left"/>
    </xf>
    <xf xfId="0" numFmtId="0" borderId="1" applyBorder="1" fontId="7" applyFont="1" fillId="3" applyFill="1" applyAlignment="1">
      <alignment horizontal="center"/>
    </xf>
    <xf xfId="0" numFmtId="3" applyNumberFormat="1" borderId="1" applyBorder="1" fontId="7" applyFont="1" fillId="3" applyFill="1" applyAlignment="1">
      <alignment horizontal="center"/>
    </xf>
    <xf xfId="0" numFmtId="3" applyNumberFormat="1" borderId="1" applyBorder="1" fontId="7" applyFont="1" fillId="3" applyFill="1" applyAlignment="1">
      <alignment horizontal="right"/>
    </xf>
    <xf xfId="0" numFmtId="165" applyNumberFormat="1" borderId="1" applyBorder="1" fontId="7" applyFont="1" fillId="3" applyFill="1" applyAlignment="1">
      <alignment horizontal="center"/>
    </xf>
    <xf xfId="0" numFmtId="164" applyNumberFormat="1" borderId="1" applyBorder="1" fontId="7" applyFont="1" fillId="3" applyFill="1" applyAlignment="1">
      <alignment horizontal="center"/>
    </xf>
    <xf xfId="0" numFmtId="0" borderId="1" applyBorder="1" fontId="6" applyFont="1" fillId="8" applyFill="1" applyAlignment="1">
      <alignment horizontal="left"/>
    </xf>
    <xf xfId="0" numFmtId="0" borderId="1" applyBorder="1" fontId="7" applyFont="1" fillId="8" applyFill="1" applyAlignment="1">
      <alignment horizontal="center"/>
    </xf>
    <xf xfId="0" numFmtId="0" borderId="1" applyBorder="1" fontId="7" applyFont="1" fillId="10" applyFill="1" applyAlignment="1">
      <alignment horizontal="left"/>
    </xf>
    <xf xfId="0" numFmtId="0" borderId="1" applyBorder="1" fontId="7" applyFont="1" fillId="10" applyFill="1" applyAlignment="1">
      <alignment horizontal="center"/>
    </xf>
    <xf xfId="0" numFmtId="3" applyNumberFormat="1" borderId="1" applyBorder="1" fontId="7" applyFont="1" fillId="10" applyFill="1" applyAlignment="1">
      <alignment horizontal="center"/>
    </xf>
    <xf xfId="0" numFmtId="3" applyNumberFormat="1" borderId="1" applyBorder="1" fontId="7" applyFont="1" fillId="10" applyFill="1" applyAlignment="1">
      <alignment horizontal="right"/>
    </xf>
    <xf xfId="0" numFmtId="164" applyNumberFormat="1" borderId="1" applyBorder="1" fontId="7" applyFont="1" fillId="10" applyFill="1" applyAlignment="1">
      <alignment horizontal="center"/>
    </xf>
    <xf xfId="0" numFmtId="0" borderId="1" applyBorder="1" fontId="7" applyFont="1" fillId="10" applyFill="1" applyAlignment="1">
      <alignment horizontal="center"/>
    </xf>
    <xf xfId="0" numFmtId="3" applyNumberFormat="1" borderId="1" applyBorder="1" fontId="7" applyFont="1" fillId="11" applyFill="1" applyAlignment="1">
      <alignment horizontal="center"/>
    </xf>
    <xf xfId="0" numFmtId="165" applyNumberFormat="1" borderId="1" applyBorder="1" fontId="7" applyFont="1" fillId="8" applyFill="1" applyAlignment="1">
      <alignment horizontal="center"/>
    </xf>
    <xf xfId="0" numFmtId="3" applyNumberFormat="1" borderId="3" applyBorder="1" fontId="7" applyFont="1" fillId="0" applyAlignment="1">
      <alignment horizontal="left"/>
    </xf>
    <xf xfId="0" numFmtId="3" applyNumberFormat="1" borderId="1" applyBorder="1" fontId="7" applyFont="1" fillId="5" applyFill="1" applyAlignment="1">
      <alignment horizontal="right"/>
    </xf>
    <xf xfId="0" numFmtId="0" borderId="1" applyBorder="1" fontId="7" applyFont="1" fillId="12" applyFill="1" applyAlignment="1">
      <alignment horizontal="left"/>
    </xf>
    <xf xfId="0" numFmtId="0" borderId="1" applyBorder="1" fontId="7" applyFont="1" fillId="12" applyFill="1" applyAlignment="1">
      <alignment horizontal="center"/>
    </xf>
    <xf xfId="0" numFmtId="3" applyNumberFormat="1" borderId="1" applyBorder="1" fontId="7" applyFont="1" fillId="12" applyFill="1" applyAlignment="1">
      <alignment horizontal="center"/>
    </xf>
    <xf xfId="0" numFmtId="3" applyNumberFormat="1" borderId="1" applyBorder="1" fontId="7" applyFont="1" fillId="12" applyFill="1" applyAlignment="1">
      <alignment horizontal="right"/>
    </xf>
    <xf xfId="0" numFmtId="165" applyNumberFormat="1" borderId="1" applyBorder="1" fontId="7" applyFont="1" fillId="5" applyFill="1" applyAlignment="1">
      <alignment horizontal="center"/>
    </xf>
    <xf xfId="0" numFmtId="164" applyNumberFormat="1" borderId="1" applyBorder="1" fontId="7" applyFont="1" fillId="5" applyFill="1" applyAlignment="1">
      <alignment horizontal="center"/>
    </xf>
    <xf xfId="0" numFmtId="3" applyNumberFormat="1" borderId="1" applyBorder="1" fontId="7" applyFont="1" fillId="3" applyFill="1" applyAlignment="1">
      <alignment horizontal="left"/>
    </xf>
    <xf xfId="0" numFmtId="0" borderId="1" applyBorder="1" fontId="7" applyFont="1" fillId="3" applyFill="1" applyAlignment="1">
      <alignment horizontal="center"/>
    </xf>
    <xf xfId="0" numFmtId="165" applyNumberFormat="1" borderId="1" applyBorder="1" fontId="7" applyFont="1" fillId="12" applyFill="1" applyAlignment="1">
      <alignment horizontal="center"/>
    </xf>
    <xf xfId="0" numFmtId="164" applyNumberFormat="1" borderId="1" applyBorder="1" fontId="7" applyFont="1" fillId="12" applyFill="1" applyAlignment="1">
      <alignment horizontal="center"/>
    </xf>
    <xf xfId="0" numFmtId="3" applyNumberFormat="1" borderId="1" applyBorder="1" fontId="7" applyFont="1" fillId="5" applyFill="1" applyAlignment="1">
      <alignment horizontal="center"/>
    </xf>
    <xf xfId="0" numFmtId="0" borderId="1" applyBorder="1" fontId="7" applyFont="1" fillId="13" applyFill="1" applyAlignment="1">
      <alignment horizontal="left"/>
    </xf>
    <xf xfId="0" numFmtId="0" borderId="1" applyBorder="1" fontId="7" applyFont="1" fillId="13" applyFill="1" applyAlignment="1">
      <alignment horizontal="center"/>
    </xf>
    <xf xfId="0" numFmtId="3" applyNumberFormat="1" borderId="1" applyBorder="1" fontId="7" applyFont="1" fillId="13" applyFill="1" applyAlignment="1">
      <alignment horizontal="center"/>
    </xf>
    <xf xfId="0" numFmtId="164" applyNumberFormat="1" borderId="1" applyBorder="1" fontId="7" applyFont="1" fillId="13" applyFill="1" applyAlignment="1">
      <alignment horizontal="center"/>
    </xf>
    <xf xfId="0" numFmtId="3" applyNumberFormat="1" borderId="1" applyBorder="1" fontId="7" applyFont="1" fillId="13" applyFill="1" applyAlignment="1">
      <alignment horizontal="right"/>
    </xf>
    <xf xfId="0" numFmtId="0" borderId="1" applyBorder="1" fontId="6" applyFont="1" fillId="13" applyFill="1" applyAlignment="1">
      <alignment horizontal="left"/>
    </xf>
    <xf xfId="0" numFmtId="0" borderId="1" applyBorder="1" fontId="7" applyFont="1" fillId="13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02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2" width="6.147857142857143" customWidth="1" bestFit="1"/>
    <col min="2" max="2" style="12" width="6.147857142857143" customWidth="1" bestFit="1"/>
    <col min="3" max="3" style="39" width="12.147857142857141" customWidth="1" bestFit="1"/>
    <col min="4" max="4" style="39" width="6.862142857142857" customWidth="1" bestFit="1"/>
    <col min="5" max="5" style="39" width="6.862142857142857" customWidth="1" bestFit="1"/>
    <col min="6" max="6" style="39" width="6.862142857142857" customWidth="1" bestFit="1"/>
    <col min="7" max="7" style="40" width="12.862142857142858" customWidth="1" bestFit="1"/>
    <col min="8" max="8" style="40" width="12.862142857142858" customWidth="1" bestFit="1"/>
    <col min="9" max="9" style="42" width="10.862142857142858" customWidth="1" bestFit="1"/>
    <col min="10" max="10" style="11" width="11.005" customWidth="1" bestFit="1"/>
    <col min="11" max="11" style="11" width="8.576428571428572" customWidth="1" bestFit="1"/>
    <col min="12" max="12" style="41" width="14.147857142857141" customWidth="1" bestFit="1"/>
    <col min="13" max="13" style="42" width="12.147857142857141" customWidth="1" bestFit="1"/>
    <col min="14" max="14" style="39" width="9.147857142857141" customWidth="1" bestFit="1"/>
    <col min="15" max="15" style="39" width="16.005" customWidth="1" bestFit="1"/>
    <col min="16" max="16" style="39" width="9.147857142857141" customWidth="1" bestFit="1"/>
    <col min="17" max="17" style="40" width="15.290714285714287" customWidth="1" bestFit="1"/>
    <col min="18" max="18" style="40" width="12.862142857142858" customWidth="1" bestFit="1"/>
    <col min="19" max="19" style="42" width="11.005" customWidth="1" bestFit="1"/>
    <col min="20" max="20" style="39" width="14.290714285714287" customWidth="1" bestFit="1"/>
    <col min="21" max="21" style="39" width="9.147857142857141" customWidth="1" bestFit="1"/>
    <col min="22" max="22" style="12" width="29.14785714285714" customWidth="1" bestFit="1"/>
    <col min="23" max="23" style="12" width="6.862142857142857" customWidth="1" bestFit="1"/>
    <col min="24" max="24" style="12" width="6.862142857142857" customWidth="1" bestFit="1"/>
    <col min="25" max="25" style="12" width="6.862142857142857" customWidth="1" bestFit="1"/>
    <col min="26" max="26" style="12" width="6.862142857142857" customWidth="1" bestFit="1"/>
    <col min="27" max="27" style="12" width="6.862142857142857" customWidth="1" bestFit="1"/>
    <col min="28" max="28" style="12" width="6.862142857142857" customWidth="1" bestFit="1"/>
  </cols>
  <sheetData>
    <row x14ac:dyDescent="0.25" r="1" customHeight="1" ht="18.75">
      <c r="A1" s="43" t="s">
        <v>3369</v>
      </c>
      <c r="B1" s="43" t="s">
        <v>2</v>
      </c>
      <c r="C1" s="43" t="s">
        <v>1</v>
      </c>
      <c r="D1" s="43" t="s">
        <v>3370</v>
      </c>
      <c r="E1" s="43" t="s">
        <v>3</v>
      </c>
      <c r="F1" s="43" t="s">
        <v>4</v>
      </c>
      <c r="G1" s="44" t="s">
        <v>5</v>
      </c>
      <c r="H1" s="44" t="s">
        <v>3218</v>
      </c>
      <c r="I1" s="45" t="s">
        <v>3219</v>
      </c>
      <c r="J1" s="44" t="s">
        <v>6</v>
      </c>
      <c r="K1" s="44" t="s">
        <v>3220</v>
      </c>
      <c r="L1" s="46" t="s">
        <v>7</v>
      </c>
      <c r="M1" s="45" t="s">
        <v>8</v>
      </c>
      <c r="N1" s="43" t="s">
        <v>146</v>
      </c>
      <c r="O1" s="43" t="s">
        <v>147</v>
      </c>
      <c r="P1" s="43" t="s">
        <v>148</v>
      </c>
      <c r="Q1" s="44" t="s">
        <v>149</v>
      </c>
      <c r="R1" s="44" t="s">
        <v>150</v>
      </c>
      <c r="S1" s="45" t="s">
        <v>9</v>
      </c>
      <c r="T1" s="43" t="s">
        <v>10</v>
      </c>
      <c r="U1" s="43" t="s">
        <v>151</v>
      </c>
      <c r="V1" s="43" t="s">
        <v>11</v>
      </c>
      <c r="W1" s="47"/>
      <c r="X1" s="47"/>
      <c r="Y1" s="47"/>
      <c r="Z1" s="47"/>
      <c r="AA1" s="47"/>
      <c r="AB1" s="47"/>
    </row>
    <row x14ac:dyDescent="0.25" r="2" customHeight="1" ht="20.25">
      <c r="A2" s="48" t="s">
        <v>152</v>
      </c>
      <c r="B2" s="48"/>
      <c r="C2" s="49" t="s">
        <v>16</v>
      </c>
      <c r="D2" s="50" t="s">
        <v>153</v>
      </c>
      <c r="E2" s="50" t="s">
        <v>154</v>
      </c>
      <c r="F2" s="50" t="s">
        <v>154</v>
      </c>
      <c r="G2" s="51">
        <v>10000000</v>
      </c>
      <c r="H2" s="51"/>
      <c r="I2" s="51"/>
      <c r="J2" s="51"/>
      <c r="K2" s="51"/>
      <c r="L2" s="52">
        <v>46122</v>
      </c>
      <c r="M2" s="53">
        <f>IF(L2&gt;0,EDATE(L2,-2),"")</f>
        <v>25569.375</v>
      </c>
      <c r="N2" s="50" t="s">
        <v>155</v>
      </c>
      <c r="O2" s="50" t="s">
        <v>156</v>
      </c>
      <c r="P2" s="54">
        <f>IF(F2&gt;0,F2,"")</f>
      </c>
      <c r="Q2" s="55" t="s">
        <v>157</v>
      </c>
      <c r="R2" s="55">
        <v>40079533</v>
      </c>
      <c r="S2" s="53">
        <f>IF(ISNUMBER(M2), EDATE(M2,36)-1, "")</f>
        <v>25569.375</v>
      </c>
      <c r="T2" s="50"/>
      <c r="U2" s="50"/>
      <c r="V2" s="48" t="s">
        <v>3223</v>
      </c>
      <c r="W2" s="56"/>
      <c r="X2" s="56"/>
      <c r="Y2" s="56"/>
      <c r="Z2" s="56"/>
      <c r="AA2" s="56"/>
      <c r="AB2" s="56"/>
    </row>
    <row x14ac:dyDescent="0.25" r="3" customHeight="1" ht="18.75">
      <c r="A3" s="56" t="s">
        <v>152</v>
      </c>
      <c r="B3" s="56"/>
      <c r="C3" s="50" t="s">
        <v>16</v>
      </c>
      <c r="D3" s="50"/>
      <c r="E3" s="50"/>
      <c r="F3" s="50" t="s">
        <v>154</v>
      </c>
      <c r="G3" s="51">
        <v>20000000</v>
      </c>
      <c r="H3" s="51"/>
      <c r="I3" s="51"/>
      <c r="J3" s="51">
        <v>1528000</v>
      </c>
      <c r="K3" s="51"/>
      <c r="L3" s="52">
        <v>46156</v>
      </c>
      <c r="M3" s="53">
        <f>IF(S1015&gt;0,_xludf.IFS(S1015=10000000,1200000,S1015=20000000,1800000,S1015=30000000,2400000,S1015=60000000,4000000),"")</f>
        <v>25569.375</v>
      </c>
      <c r="N3" s="50" t="s">
        <v>155</v>
      </c>
      <c r="O3" s="50" t="s">
        <v>156</v>
      </c>
      <c r="P3" s="54">
        <f>IF(F3&gt;0,F3,"")</f>
      </c>
      <c r="Q3" s="55" t="s">
        <v>157</v>
      </c>
      <c r="R3" s="55">
        <v>40079533</v>
      </c>
      <c r="S3" s="53">
        <f>IF(ISNUMBER(M3), EDATE(M3,36)-1, "")</f>
        <v>25569.375</v>
      </c>
      <c r="T3" s="50"/>
      <c r="U3" s="50"/>
      <c r="V3" s="56" t="s">
        <v>159</v>
      </c>
      <c r="W3" s="56"/>
      <c r="X3" s="56"/>
      <c r="Y3" s="56"/>
      <c r="Z3" s="56"/>
      <c r="AA3" s="56"/>
      <c r="AB3" s="56"/>
    </row>
    <row x14ac:dyDescent="0.25" r="4" customHeight="1" ht="18.75">
      <c r="A4" s="100" t="s">
        <v>708</v>
      </c>
      <c r="B4" s="100" t="s">
        <v>3224</v>
      </c>
      <c r="C4" s="101" t="s">
        <v>16</v>
      </c>
      <c r="D4" s="101" t="s">
        <v>318</v>
      </c>
      <c r="E4" s="101"/>
      <c r="F4" s="101" t="s">
        <v>288</v>
      </c>
      <c r="G4" s="102"/>
      <c r="H4" s="102">
        <v>3000000</v>
      </c>
      <c r="I4" s="103">
        <v>46109</v>
      </c>
      <c r="J4" s="104"/>
      <c r="K4" s="104"/>
      <c r="L4" s="103">
        <v>46174</v>
      </c>
      <c r="M4" s="103">
        <v>46113</v>
      </c>
      <c r="N4" s="101" t="s">
        <v>289</v>
      </c>
      <c r="O4" s="101" t="s">
        <v>290</v>
      </c>
      <c r="P4" s="101" t="s">
        <v>288</v>
      </c>
      <c r="Q4" s="102" t="s">
        <v>291</v>
      </c>
      <c r="R4" s="102" t="s">
        <v>292</v>
      </c>
      <c r="S4" s="103">
        <v>47208</v>
      </c>
      <c r="T4" s="101"/>
      <c r="U4" s="101" t="s">
        <v>293</v>
      </c>
      <c r="V4" s="100"/>
      <c r="W4" s="100"/>
      <c r="X4" s="100"/>
      <c r="Y4" s="100"/>
      <c r="Z4" s="100"/>
      <c r="AA4" s="100"/>
      <c r="AB4" s="100"/>
    </row>
    <row x14ac:dyDescent="0.25" r="5" customHeight="1" ht="18.75">
      <c r="A5" s="100" t="s">
        <v>708</v>
      </c>
      <c r="B5" s="100" t="s">
        <v>3224</v>
      </c>
      <c r="C5" s="101" t="s">
        <v>16</v>
      </c>
      <c r="D5" s="101" t="s">
        <v>318</v>
      </c>
      <c r="E5" s="101"/>
      <c r="F5" s="101" t="s">
        <v>288</v>
      </c>
      <c r="G5" s="102"/>
      <c r="H5" s="102">
        <v>2000000</v>
      </c>
      <c r="I5" s="103">
        <v>46109</v>
      </c>
      <c r="J5" s="104"/>
      <c r="K5" s="104"/>
      <c r="L5" s="103">
        <v>46174</v>
      </c>
      <c r="M5" s="103">
        <v>46113</v>
      </c>
      <c r="N5" s="101" t="s">
        <v>289</v>
      </c>
      <c r="O5" s="101" t="s">
        <v>290</v>
      </c>
      <c r="P5" s="101" t="s">
        <v>288</v>
      </c>
      <c r="Q5" s="102" t="s">
        <v>291</v>
      </c>
      <c r="R5" s="102" t="s">
        <v>292</v>
      </c>
      <c r="S5" s="103">
        <v>47208</v>
      </c>
      <c r="T5" s="101"/>
      <c r="U5" s="101" t="s">
        <v>293</v>
      </c>
      <c r="V5" s="100"/>
      <c r="W5" s="100"/>
      <c r="X5" s="100"/>
      <c r="Y5" s="100"/>
      <c r="Z5" s="100"/>
      <c r="AA5" s="100"/>
      <c r="AB5" s="100"/>
    </row>
    <row x14ac:dyDescent="0.25" r="6" customHeight="1" ht="18.75">
      <c r="A6" s="100" t="s">
        <v>708</v>
      </c>
      <c r="B6" s="100" t="s">
        <v>3224</v>
      </c>
      <c r="C6" s="101" t="s">
        <v>16</v>
      </c>
      <c r="D6" s="101" t="s">
        <v>318</v>
      </c>
      <c r="E6" s="101"/>
      <c r="F6" s="101" t="s">
        <v>288</v>
      </c>
      <c r="G6" s="102"/>
      <c r="H6" s="102">
        <v>5000000</v>
      </c>
      <c r="I6" s="103">
        <v>46109</v>
      </c>
      <c r="J6" s="104"/>
      <c r="K6" s="104"/>
      <c r="L6" s="103">
        <v>46174</v>
      </c>
      <c r="M6" s="103">
        <v>46113</v>
      </c>
      <c r="N6" s="101" t="s">
        <v>289</v>
      </c>
      <c r="O6" s="101" t="s">
        <v>290</v>
      </c>
      <c r="P6" s="101" t="s">
        <v>288</v>
      </c>
      <c r="Q6" s="102" t="s">
        <v>291</v>
      </c>
      <c r="R6" s="102" t="s">
        <v>292</v>
      </c>
      <c r="S6" s="103">
        <v>47208</v>
      </c>
      <c r="T6" s="101"/>
      <c r="U6" s="101" t="s">
        <v>293</v>
      </c>
      <c r="V6" s="100"/>
      <c r="W6" s="100"/>
      <c r="X6" s="100"/>
      <c r="Y6" s="100"/>
      <c r="Z6" s="100"/>
      <c r="AA6" s="100"/>
      <c r="AB6" s="100"/>
    </row>
    <row x14ac:dyDescent="0.25" r="7" customHeight="1" ht="18.75">
      <c r="A7" s="100" t="s">
        <v>708</v>
      </c>
      <c r="B7" s="100" t="s">
        <v>3224</v>
      </c>
      <c r="C7" s="101" t="s">
        <v>16</v>
      </c>
      <c r="D7" s="101" t="s">
        <v>318</v>
      </c>
      <c r="E7" s="101"/>
      <c r="F7" s="101" t="s">
        <v>288</v>
      </c>
      <c r="G7" s="102"/>
      <c r="H7" s="102">
        <v>250000</v>
      </c>
      <c r="I7" s="103">
        <v>46109</v>
      </c>
      <c r="J7" s="104"/>
      <c r="K7" s="104"/>
      <c r="L7" s="103">
        <v>46174</v>
      </c>
      <c r="M7" s="103">
        <v>46113</v>
      </c>
      <c r="N7" s="101" t="s">
        <v>289</v>
      </c>
      <c r="O7" s="101" t="s">
        <v>290</v>
      </c>
      <c r="P7" s="101" t="s">
        <v>288</v>
      </c>
      <c r="Q7" s="102" t="s">
        <v>291</v>
      </c>
      <c r="R7" s="102" t="s">
        <v>292</v>
      </c>
      <c r="S7" s="103">
        <v>47208</v>
      </c>
      <c r="T7" s="101"/>
      <c r="U7" s="101" t="s">
        <v>3225</v>
      </c>
      <c r="V7" s="100"/>
      <c r="W7" s="100"/>
      <c r="X7" s="100"/>
      <c r="Y7" s="100"/>
      <c r="Z7" s="100"/>
      <c r="AA7" s="100"/>
      <c r="AB7" s="100"/>
    </row>
    <row x14ac:dyDescent="0.25" r="8" customHeight="1" ht="18.75">
      <c r="A8" s="100" t="s">
        <v>708</v>
      </c>
      <c r="B8" s="100" t="s">
        <v>3224</v>
      </c>
      <c r="C8" s="101" t="s">
        <v>16</v>
      </c>
      <c r="D8" s="101" t="s">
        <v>318</v>
      </c>
      <c r="E8" s="101"/>
      <c r="F8" s="101" t="s">
        <v>288</v>
      </c>
      <c r="G8" s="102">
        <v>10000000</v>
      </c>
      <c r="H8" s="102">
        <v>10000000</v>
      </c>
      <c r="I8" s="103">
        <v>46109</v>
      </c>
      <c r="J8" s="104">
        <v>800000</v>
      </c>
      <c r="K8" s="104">
        <v>1</v>
      </c>
      <c r="L8" s="103">
        <v>46174</v>
      </c>
      <c r="M8" s="103">
        <v>46113</v>
      </c>
      <c r="N8" s="101" t="s">
        <v>289</v>
      </c>
      <c r="O8" s="101" t="s">
        <v>290</v>
      </c>
      <c r="P8" s="101" t="s">
        <v>288</v>
      </c>
      <c r="Q8" s="102" t="s">
        <v>291</v>
      </c>
      <c r="R8" s="102" t="s">
        <v>292</v>
      </c>
      <c r="S8" s="103">
        <v>47208</v>
      </c>
      <c r="T8" s="101"/>
      <c r="U8" s="101" t="s">
        <v>293</v>
      </c>
      <c r="V8" s="100"/>
      <c r="W8" s="100"/>
      <c r="X8" s="100"/>
      <c r="Y8" s="100"/>
      <c r="Z8" s="100"/>
      <c r="AA8" s="100"/>
      <c r="AB8" s="100"/>
    </row>
    <row x14ac:dyDescent="0.25" r="9" customHeight="1" ht="18.75">
      <c r="A9" s="56"/>
      <c r="B9" s="56"/>
      <c r="C9" s="50" t="s">
        <v>16</v>
      </c>
      <c r="D9" s="50"/>
      <c r="E9" s="50"/>
      <c r="F9" s="50" t="s">
        <v>167</v>
      </c>
      <c r="G9" s="55">
        <v>20000000</v>
      </c>
      <c r="H9" s="55"/>
      <c r="I9" s="55"/>
      <c r="J9" s="51">
        <v>1528000</v>
      </c>
      <c r="K9" s="51"/>
      <c r="L9" s="52">
        <v>46081</v>
      </c>
      <c r="M9" s="53">
        <v>46022</v>
      </c>
      <c r="N9" s="50" t="s">
        <v>168</v>
      </c>
      <c r="O9" s="50" t="s">
        <v>169</v>
      </c>
      <c r="P9" s="50" t="s">
        <v>167</v>
      </c>
      <c r="Q9" s="55" t="s">
        <v>170</v>
      </c>
      <c r="R9" s="55" t="s">
        <v>171</v>
      </c>
      <c r="S9" s="53">
        <v>47117</v>
      </c>
      <c r="T9" s="50"/>
      <c r="U9" s="50"/>
      <c r="V9" s="56"/>
      <c r="W9" s="56"/>
      <c r="X9" s="56"/>
      <c r="Y9" s="56"/>
      <c r="Z9" s="56"/>
      <c r="AA9" s="56"/>
      <c r="AB9" s="56"/>
    </row>
    <row x14ac:dyDescent="0.25" r="10" customHeight="1" ht="18.75">
      <c r="A10" s="100" t="s">
        <v>708</v>
      </c>
      <c r="B10" s="100" t="s">
        <v>3224</v>
      </c>
      <c r="C10" s="101" t="s">
        <v>16</v>
      </c>
      <c r="D10" s="101" t="s">
        <v>14</v>
      </c>
      <c r="E10" s="101"/>
      <c r="F10" s="101" t="s">
        <v>996</v>
      </c>
      <c r="G10" s="102">
        <v>10000000</v>
      </c>
      <c r="H10" s="102">
        <v>10000000</v>
      </c>
      <c r="I10" s="103">
        <v>46113</v>
      </c>
      <c r="J10" s="104">
        <v>800000</v>
      </c>
      <c r="K10" s="104">
        <v>1</v>
      </c>
      <c r="L10" s="103">
        <v>46174</v>
      </c>
      <c r="M10" s="103">
        <v>46113</v>
      </c>
      <c r="N10" s="101" t="s">
        <v>212</v>
      </c>
      <c r="O10" s="101" t="s">
        <v>1002</v>
      </c>
      <c r="P10" s="101" t="s">
        <v>996</v>
      </c>
      <c r="Q10" s="102" t="s">
        <v>998</v>
      </c>
      <c r="R10" s="102" t="s">
        <v>999</v>
      </c>
      <c r="S10" s="103">
        <v>47208</v>
      </c>
      <c r="T10" s="101" t="s">
        <v>1000</v>
      </c>
      <c r="U10" s="101" t="s">
        <v>166</v>
      </c>
      <c r="V10" s="62"/>
      <c r="W10" s="100"/>
      <c r="X10" s="100"/>
      <c r="Y10" s="100"/>
      <c r="Z10" s="100"/>
      <c r="AA10" s="100"/>
      <c r="AB10" s="100"/>
    </row>
    <row x14ac:dyDescent="0.25" r="11" customHeight="1" ht="18.75">
      <c r="A11" s="56" t="s">
        <v>708</v>
      </c>
      <c r="B11" s="56"/>
      <c r="C11" s="50" t="s">
        <v>16</v>
      </c>
      <c r="D11" s="50"/>
      <c r="E11" s="50"/>
      <c r="F11" s="50" t="s">
        <v>181</v>
      </c>
      <c r="G11" s="55">
        <v>10000000</v>
      </c>
      <c r="H11" s="55"/>
      <c r="I11" s="55"/>
      <c r="J11" s="51">
        <v>800000</v>
      </c>
      <c r="K11" s="51"/>
      <c r="L11" s="52">
        <v>46133</v>
      </c>
      <c r="M11" s="53">
        <v>46074</v>
      </c>
      <c r="N11" s="50" t="s">
        <v>182</v>
      </c>
      <c r="O11" s="50" t="s">
        <v>183</v>
      </c>
      <c r="P11" s="50" t="s">
        <v>181</v>
      </c>
      <c r="Q11" s="55" t="s">
        <v>184</v>
      </c>
      <c r="R11" s="55" t="s">
        <v>185</v>
      </c>
      <c r="S11" s="53">
        <v>47169</v>
      </c>
      <c r="T11" s="50" t="s">
        <v>186</v>
      </c>
      <c r="U11" s="50" t="s">
        <v>166</v>
      </c>
      <c r="V11" s="56"/>
      <c r="W11" s="56"/>
      <c r="X11" s="56"/>
      <c r="Y11" s="56"/>
      <c r="Z11" s="56"/>
      <c r="AA11" s="56"/>
      <c r="AB11" s="56"/>
    </row>
    <row x14ac:dyDescent="0.25" r="12" customHeight="1" ht="20.25">
      <c r="A12" s="56" t="s">
        <v>708</v>
      </c>
      <c r="B12" s="56"/>
      <c r="C12" s="50" t="s">
        <v>16</v>
      </c>
      <c r="D12" s="50" t="s">
        <v>143</v>
      </c>
      <c r="E12" s="50" t="s">
        <v>22</v>
      </c>
      <c r="F12" s="50" t="s">
        <v>187</v>
      </c>
      <c r="G12" s="55">
        <v>30000000</v>
      </c>
      <c r="H12" s="55"/>
      <c r="I12" s="55"/>
      <c r="J12" s="51">
        <v>2028000</v>
      </c>
      <c r="K12" s="51"/>
      <c r="L12" s="52">
        <v>46150</v>
      </c>
      <c r="M12" s="53">
        <v>46089</v>
      </c>
      <c r="N12" s="50" t="s">
        <v>168</v>
      </c>
      <c r="O12" s="50" t="s">
        <v>188</v>
      </c>
      <c r="P12" s="50" t="s">
        <v>187</v>
      </c>
      <c r="Q12" s="55" t="s">
        <v>189</v>
      </c>
      <c r="R12" s="55" t="s">
        <v>190</v>
      </c>
      <c r="S12" s="53">
        <v>47184</v>
      </c>
      <c r="T12" s="50" t="s">
        <v>191</v>
      </c>
      <c r="U12" s="50" t="s">
        <v>166</v>
      </c>
      <c r="V12" s="48" t="s">
        <v>192</v>
      </c>
      <c r="W12" s="56"/>
      <c r="X12" s="56"/>
      <c r="Y12" s="56"/>
      <c r="Z12" s="56"/>
      <c r="AA12" s="56"/>
      <c r="AB12" s="56"/>
    </row>
    <row x14ac:dyDescent="0.25" r="13" customHeight="1" ht="18.75">
      <c r="A13" s="63" t="s">
        <v>708</v>
      </c>
      <c r="B13" s="63"/>
      <c r="C13" s="49" t="s">
        <v>16</v>
      </c>
      <c r="D13" s="49"/>
      <c r="E13" s="49" t="s">
        <v>126</v>
      </c>
      <c r="F13" s="49" t="s">
        <v>193</v>
      </c>
      <c r="G13" s="64">
        <v>20000000</v>
      </c>
      <c r="H13" s="64"/>
      <c r="I13" s="64"/>
      <c r="J13" s="65">
        <f>IF(G13&gt;0,_xludf.IFS(G13=10000000,800000,G13=20000000,1528000,G13=30000000,2028000,G13=60000000,4056000),"")</f>
      </c>
      <c r="K13" s="64"/>
      <c r="L13" s="66">
        <v>46058</v>
      </c>
      <c r="M13" s="67">
        <f>IF(L13&gt;0,EDATE(L13,-2),"")</f>
        <v>25569.375</v>
      </c>
      <c r="N13" s="49" t="s">
        <v>168</v>
      </c>
      <c r="O13" s="49" t="s">
        <v>194</v>
      </c>
      <c r="P13" s="68">
        <f>IF(F13&gt;0,F13,"")</f>
      </c>
      <c r="Q13" s="69" t="s">
        <v>195</v>
      </c>
      <c r="R13" s="69">
        <v>32404004</v>
      </c>
      <c r="S13" s="67">
        <f>IF(ISNUMBER(M13), EDATE(M13,36)-1, "")</f>
        <v>25569.375</v>
      </c>
      <c r="T13" s="49"/>
      <c r="U13" s="49"/>
      <c r="V13" s="63" t="s">
        <v>196</v>
      </c>
      <c r="W13" s="56"/>
      <c r="X13" s="56"/>
      <c r="Y13" s="56"/>
      <c r="Z13" s="56"/>
      <c r="AA13" s="56"/>
      <c r="AB13" s="56"/>
    </row>
    <row x14ac:dyDescent="0.25" r="14" customHeight="1" ht="18.75">
      <c r="A14" s="100" t="s">
        <v>708</v>
      </c>
      <c r="B14" s="100" t="s">
        <v>3224</v>
      </c>
      <c r="C14" s="101" t="s">
        <v>16</v>
      </c>
      <c r="D14" s="101" t="s">
        <v>75</v>
      </c>
      <c r="E14" s="101"/>
      <c r="F14" s="101" t="s">
        <v>2314</v>
      </c>
      <c r="G14" s="102">
        <v>10000000</v>
      </c>
      <c r="H14" s="102">
        <v>10000000</v>
      </c>
      <c r="I14" s="103">
        <v>46113</v>
      </c>
      <c r="J14" s="104">
        <v>500000</v>
      </c>
      <c r="K14" s="104">
        <v>1</v>
      </c>
      <c r="L14" s="103">
        <v>46174</v>
      </c>
      <c r="M14" s="103">
        <v>46113</v>
      </c>
      <c r="N14" s="101" t="s">
        <v>570</v>
      </c>
      <c r="O14" s="101" t="s">
        <v>2315</v>
      </c>
      <c r="P14" s="101" t="s">
        <v>2314</v>
      </c>
      <c r="Q14" s="102" t="s">
        <v>2316</v>
      </c>
      <c r="R14" s="102" t="s">
        <v>2317</v>
      </c>
      <c r="S14" s="103">
        <v>47208</v>
      </c>
      <c r="T14" s="101" t="s">
        <v>2318</v>
      </c>
      <c r="U14" s="101" t="s">
        <v>166</v>
      </c>
      <c r="V14" s="100"/>
      <c r="W14" s="100"/>
      <c r="X14" s="100"/>
      <c r="Y14" s="100"/>
      <c r="Z14" s="100"/>
      <c r="AA14" s="100"/>
      <c r="AB14" s="100"/>
    </row>
    <row x14ac:dyDescent="0.25" r="15" customHeight="1" ht="18.75">
      <c r="A15" s="56" t="s">
        <v>708</v>
      </c>
      <c r="B15" s="56"/>
      <c r="C15" s="50" t="s">
        <v>16</v>
      </c>
      <c r="D15" s="50"/>
      <c r="E15" s="50"/>
      <c r="F15" s="50" t="s">
        <v>204</v>
      </c>
      <c r="G15" s="55">
        <v>60000000</v>
      </c>
      <c r="H15" s="55"/>
      <c r="I15" s="55"/>
      <c r="J15" s="51">
        <v>4056000</v>
      </c>
      <c r="K15" s="51"/>
      <c r="L15" s="52">
        <v>45952</v>
      </c>
      <c r="M15" s="53">
        <v>45889</v>
      </c>
      <c r="N15" s="50" t="s">
        <v>205</v>
      </c>
      <c r="O15" s="50" t="s">
        <v>206</v>
      </c>
      <c r="P15" s="50" t="s">
        <v>204</v>
      </c>
      <c r="Q15" s="55" t="s">
        <v>207</v>
      </c>
      <c r="R15" s="55" t="s">
        <v>208</v>
      </c>
      <c r="S15" s="53">
        <v>46984</v>
      </c>
      <c r="T15" s="50"/>
      <c r="U15" s="50"/>
      <c r="V15" s="56"/>
      <c r="W15" s="56"/>
      <c r="X15" s="56"/>
      <c r="Y15" s="56"/>
      <c r="Z15" s="56"/>
      <c r="AA15" s="56"/>
      <c r="AB15" s="56"/>
    </row>
    <row x14ac:dyDescent="0.25" r="16" customHeight="1" ht="18.75">
      <c r="A16" s="56" t="s">
        <v>708</v>
      </c>
      <c r="B16" s="56"/>
      <c r="C16" s="50" t="s">
        <v>16</v>
      </c>
      <c r="D16" s="50"/>
      <c r="E16" s="50"/>
      <c r="F16" s="50" t="s">
        <v>204</v>
      </c>
      <c r="G16" s="55">
        <v>60000000</v>
      </c>
      <c r="H16" s="55"/>
      <c r="I16" s="55"/>
      <c r="J16" s="51">
        <v>4056000</v>
      </c>
      <c r="K16" s="51"/>
      <c r="L16" s="52">
        <v>45977</v>
      </c>
      <c r="M16" s="53">
        <v>45916</v>
      </c>
      <c r="N16" s="50" t="s">
        <v>205</v>
      </c>
      <c r="O16" s="50" t="s">
        <v>206</v>
      </c>
      <c r="P16" s="50" t="s">
        <v>204</v>
      </c>
      <c r="Q16" s="55" t="s">
        <v>209</v>
      </c>
      <c r="R16" s="55" t="s">
        <v>210</v>
      </c>
      <c r="S16" s="53">
        <v>47011</v>
      </c>
      <c r="T16" s="50"/>
      <c r="U16" s="50"/>
      <c r="V16" s="56"/>
      <c r="W16" s="56"/>
      <c r="X16" s="56"/>
      <c r="Y16" s="56"/>
      <c r="Z16" s="56"/>
      <c r="AA16" s="56"/>
      <c r="AB16" s="56"/>
    </row>
    <row x14ac:dyDescent="0.25" r="17" customHeight="1" ht="18.75">
      <c r="A17" s="56" t="s">
        <v>708</v>
      </c>
      <c r="B17" s="56"/>
      <c r="C17" s="50" t="s">
        <v>16</v>
      </c>
      <c r="D17" s="50"/>
      <c r="E17" s="50"/>
      <c r="F17" s="50" t="s">
        <v>211</v>
      </c>
      <c r="G17" s="55">
        <v>60000000</v>
      </c>
      <c r="H17" s="55"/>
      <c r="I17" s="55"/>
      <c r="J17" s="51">
        <v>4056000</v>
      </c>
      <c r="K17" s="51"/>
      <c r="L17" s="52">
        <v>46046</v>
      </c>
      <c r="M17" s="53">
        <v>45985</v>
      </c>
      <c r="N17" s="50" t="s">
        <v>212</v>
      </c>
      <c r="O17" s="50" t="s">
        <v>213</v>
      </c>
      <c r="P17" s="50" t="s">
        <v>211</v>
      </c>
      <c r="Q17" s="55" t="s">
        <v>214</v>
      </c>
      <c r="R17" s="55" t="s">
        <v>215</v>
      </c>
      <c r="S17" s="53">
        <v>47080</v>
      </c>
      <c r="T17" s="50"/>
      <c r="U17" s="50"/>
      <c r="V17" s="56"/>
      <c r="W17" s="56"/>
      <c r="X17" s="56"/>
      <c r="Y17" s="56"/>
      <c r="Z17" s="56"/>
      <c r="AA17" s="56"/>
      <c r="AB17" s="56"/>
    </row>
    <row x14ac:dyDescent="0.25" r="18" customHeight="1" ht="20.25">
      <c r="A18" s="48" t="s">
        <v>708</v>
      </c>
      <c r="B18" s="48"/>
      <c r="C18" s="50" t="s">
        <v>113</v>
      </c>
      <c r="D18" s="50"/>
      <c r="E18" s="50"/>
      <c r="F18" s="70" t="s">
        <v>14</v>
      </c>
      <c r="G18" s="55">
        <v>60000000</v>
      </c>
      <c r="H18" s="55"/>
      <c r="I18" s="55"/>
      <c r="J18" s="51">
        <v>6000000</v>
      </c>
      <c r="K18" s="51"/>
      <c r="L18" s="52">
        <v>45657</v>
      </c>
      <c r="M18" s="53">
        <v>45596</v>
      </c>
      <c r="N18" s="50" t="s">
        <v>217</v>
      </c>
      <c r="O18" s="50" t="s">
        <v>218</v>
      </c>
      <c r="P18" s="50" t="s">
        <v>14</v>
      </c>
      <c r="Q18" s="55" t="s">
        <v>219</v>
      </c>
      <c r="R18" s="55" t="s">
        <v>220</v>
      </c>
      <c r="S18" s="53">
        <v>47421</v>
      </c>
      <c r="T18" s="50"/>
      <c r="U18" s="50"/>
      <c r="V18" s="56"/>
      <c r="W18" s="56"/>
      <c r="X18" s="56"/>
      <c r="Y18" s="56"/>
      <c r="Z18" s="56"/>
      <c r="AA18" s="56"/>
      <c r="AB18" s="56"/>
    </row>
    <row x14ac:dyDescent="0.25" r="19" customHeight="1" ht="18.75">
      <c r="A19" s="56" t="s">
        <v>708</v>
      </c>
      <c r="B19" s="56"/>
      <c r="C19" s="50" t="s">
        <v>13</v>
      </c>
      <c r="D19" s="50"/>
      <c r="E19" s="50"/>
      <c r="F19" s="70" t="s">
        <v>14</v>
      </c>
      <c r="G19" s="55">
        <v>10000000</v>
      </c>
      <c r="H19" s="55"/>
      <c r="I19" s="55"/>
      <c r="J19" s="51">
        <v>900000</v>
      </c>
      <c r="K19" s="51"/>
      <c r="L19" s="52">
        <v>45791</v>
      </c>
      <c r="M19" s="53">
        <v>45730</v>
      </c>
      <c r="N19" s="50" t="s">
        <v>217</v>
      </c>
      <c r="O19" s="50" t="s">
        <v>218</v>
      </c>
      <c r="P19" s="50" t="s">
        <v>14</v>
      </c>
      <c r="Q19" s="55" t="s">
        <v>221</v>
      </c>
      <c r="R19" s="55" t="s">
        <v>220</v>
      </c>
      <c r="S19" s="53">
        <v>46825</v>
      </c>
      <c r="T19" s="50"/>
      <c r="U19" s="50"/>
      <c r="V19" s="56"/>
      <c r="W19" s="56"/>
      <c r="X19" s="56"/>
      <c r="Y19" s="56"/>
      <c r="Z19" s="56"/>
      <c r="AA19" s="56"/>
      <c r="AB19" s="56"/>
    </row>
    <row x14ac:dyDescent="0.25" r="20" customHeight="1" ht="18.75">
      <c r="A20" s="56" t="s">
        <v>708</v>
      </c>
      <c r="B20" s="56"/>
      <c r="C20" s="50" t="s">
        <v>16</v>
      </c>
      <c r="D20" s="50"/>
      <c r="E20" s="50"/>
      <c r="F20" s="70" t="s">
        <v>14</v>
      </c>
      <c r="G20" s="55">
        <v>60000000</v>
      </c>
      <c r="H20" s="55"/>
      <c r="I20" s="55"/>
      <c r="J20" s="51">
        <v>4800000</v>
      </c>
      <c r="K20" s="51"/>
      <c r="L20" s="52">
        <v>45901</v>
      </c>
      <c r="M20" s="53">
        <v>45839</v>
      </c>
      <c r="N20" s="50" t="s">
        <v>222</v>
      </c>
      <c r="O20" s="50" t="s">
        <v>223</v>
      </c>
      <c r="P20" s="50" t="s">
        <v>14</v>
      </c>
      <c r="Q20" s="55" t="s">
        <v>221</v>
      </c>
      <c r="R20" s="55" t="s">
        <v>220</v>
      </c>
      <c r="S20" s="53">
        <v>46934</v>
      </c>
      <c r="T20" s="50"/>
      <c r="U20" s="50"/>
      <c r="V20" s="56"/>
      <c r="W20" s="56"/>
      <c r="X20" s="56"/>
      <c r="Y20" s="56"/>
      <c r="Z20" s="56"/>
      <c r="AA20" s="56"/>
      <c r="AB20" s="56"/>
    </row>
    <row x14ac:dyDescent="0.25" r="21" customHeight="1" ht="18.75">
      <c r="A21" s="71" t="s">
        <v>708</v>
      </c>
      <c r="B21" s="71"/>
      <c r="C21" s="72" t="s">
        <v>16</v>
      </c>
      <c r="D21" s="72"/>
      <c r="E21" s="72"/>
      <c r="F21" s="72" t="s">
        <v>224</v>
      </c>
      <c r="G21" s="73">
        <v>50000000</v>
      </c>
      <c r="H21" s="73"/>
      <c r="I21" s="73"/>
      <c r="J21" s="74"/>
      <c r="K21" s="74"/>
      <c r="L21" s="75">
        <v>45911</v>
      </c>
      <c r="M21" s="76">
        <v>45849</v>
      </c>
      <c r="N21" s="72" t="s">
        <v>225</v>
      </c>
      <c r="O21" s="72" t="s">
        <v>226</v>
      </c>
      <c r="P21" s="72" t="s">
        <v>224</v>
      </c>
      <c r="Q21" s="73" t="s">
        <v>227</v>
      </c>
      <c r="R21" s="73" t="s">
        <v>228</v>
      </c>
      <c r="S21" s="76">
        <v>46944</v>
      </c>
      <c r="T21" s="72"/>
      <c r="U21" s="72"/>
      <c r="V21" s="71"/>
      <c r="W21" s="56"/>
      <c r="X21" s="56"/>
      <c r="Y21" s="56"/>
      <c r="Z21" s="56"/>
      <c r="AA21" s="56"/>
      <c r="AB21" s="56"/>
    </row>
    <row x14ac:dyDescent="0.25" r="22" customHeight="1" ht="18.75">
      <c r="A22" s="56" t="s">
        <v>708</v>
      </c>
      <c r="B22" s="56"/>
      <c r="C22" s="50" t="s">
        <v>16</v>
      </c>
      <c r="D22" s="50"/>
      <c r="E22" s="50"/>
      <c r="F22" s="50" t="s">
        <v>229</v>
      </c>
      <c r="G22" s="55">
        <v>20000000</v>
      </c>
      <c r="H22" s="55"/>
      <c r="I22" s="55"/>
      <c r="J22" s="51">
        <v>1528000</v>
      </c>
      <c r="K22" s="51"/>
      <c r="L22" s="52">
        <v>46081</v>
      </c>
      <c r="M22" s="53">
        <v>46022</v>
      </c>
      <c r="N22" s="50" t="s">
        <v>217</v>
      </c>
      <c r="O22" s="50" t="s">
        <v>230</v>
      </c>
      <c r="P22" s="50" t="s">
        <v>229</v>
      </c>
      <c r="Q22" s="55" t="s">
        <v>231</v>
      </c>
      <c r="R22" s="55" t="s">
        <v>232</v>
      </c>
      <c r="S22" s="53">
        <v>47117</v>
      </c>
      <c r="T22" s="50"/>
      <c r="U22" s="50"/>
      <c r="V22" s="56"/>
      <c r="W22" s="56"/>
      <c r="X22" s="56"/>
      <c r="Y22" s="56"/>
      <c r="Z22" s="56"/>
      <c r="AA22" s="56"/>
      <c r="AB22" s="56"/>
    </row>
    <row x14ac:dyDescent="0.25" r="23" customHeight="1" ht="20.25">
      <c r="A23" s="56" t="s">
        <v>708</v>
      </c>
      <c r="B23" s="56"/>
      <c r="C23" s="50" t="s">
        <v>16</v>
      </c>
      <c r="D23" s="50"/>
      <c r="E23" s="50"/>
      <c r="F23" s="50" t="s">
        <v>233</v>
      </c>
      <c r="G23" s="51">
        <v>10000000</v>
      </c>
      <c r="H23" s="51"/>
      <c r="I23" s="51"/>
      <c r="J23" s="51">
        <v>800000</v>
      </c>
      <c r="K23" s="51"/>
      <c r="L23" s="52">
        <v>46103</v>
      </c>
      <c r="M23" s="53">
        <f>IF(L23&gt;0,EDATE(L23,-2),"")</f>
        <v>25569.375</v>
      </c>
      <c r="N23" s="50" t="s">
        <v>234</v>
      </c>
      <c r="O23" s="50" t="s">
        <v>235</v>
      </c>
      <c r="P23" s="50" t="s">
        <v>233</v>
      </c>
      <c r="Q23" s="55">
        <v>6806031720916</v>
      </c>
      <c r="R23" s="55">
        <v>86020733</v>
      </c>
      <c r="S23" s="53">
        <f>IF(ISNUMBER(M23), EDATE(M23,36)-1, "")</f>
        <v>25569.375</v>
      </c>
      <c r="T23" s="50"/>
      <c r="U23" s="50"/>
      <c r="V23" s="48" t="s">
        <v>237</v>
      </c>
      <c r="W23" s="56"/>
      <c r="X23" s="56"/>
      <c r="Y23" s="56"/>
      <c r="Z23" s="56"/>
      <c r="AA23" s="56"/>
      <c r="AB23" s="56"/>
    </row>
    <row x14ac:dyDescent="0.25" r="24" customHeight="1" ht="18.75">
      <c r="A24" s="56" t="s">
        <v>708</v>
      </c>
      <c r="B24" s="56"/>
      <c r="C24" s="50" t="s">
        <v>16</v>
      </c>
      <c r="D24" s="50"/>
      <c r="E24" s="50"/>
      <c r="F24" s="50" t="s">
        <v>238</v>
      </c>
      <c r="G24" s="55">
        <v>10000000</v>
      </c>
      <c r="H24" s="55"/>
      <c r="I24" s="55"/>
      <c r="J24" s="51">
        <v>800000</v>
      </c>
      <c r="K24" s="51"/>
      <c r="L24" s="52">
        <v>46145</v>
      </c>
      <c r="M24" s="53">
        <v>46084</v>
      </c>
      <c r="N24" s="50" t="s">
        <v>239</v>
      </c>
      <c r="O24" s="50" t="s">
        <v>240</v>
      </c>
      <c r="P24" s="50" t="s">
        <v>238</v>
      </c>
      <c r="Q24" s="55" t="s">
        <v>241</v>
      </c>
      <c r="R24" s="55" t="s">
        <v>242</v>
      </c>
      <c r="S24" s="53">
        <v>47179</v>
      </c>
      <c r="T24" s="50" t="s">
        <v>243</v>
      </c>
      <c r="U24" s="50" t="s">
        <v>166</v>
      </c>
      <c r="V24" s="56"/>
      <c r="W24" s="56"/>
      <c r="X24" s="56"/>
      <c r="Y24" s="56"/>
      <c r="Z24" s="56"/>
      <c r="AA24" s="56"/>
      <c r="AB24" s="56"/>
    </row>
    <row x14ac:dyDescent="0.25" r="25" customHeight="1" ht="20.25">
      <c r="A25" s="100" t="s">
        <v>708</v>
      </c>
      <c r="B25" s="100" t="s">
        <v>3224</v>
      </c>
      <c r="C25" s="101" t="s">
        <v>16</v>
      </c>
      <c r="D25" s="101" t="s">
        <v>97</v>
      </c>
      <c r="E25" s="101" t="s">
        <v>596</v>
      </c>
      <c r="F25" s="101" t="s">
        <v>2808</v>
      </c>
      <c r="G25" s="102">
        <v>10000000</v>
      </c>
      <c r="H25" s="102">
        <v>10000000</v>
      </c>
      <c r="I25" s="103">
        <v>46113</v>
      </c>
      <c r="J25" s="104">
        <v>1200000</v>
      </c>
      <c r="K25" s="104">
        <v>1</v>
      </c>
      <c r="L25" s="103">
        <v>46174</v>
      </c>
      <c r="M25" s="103">
        <v>46113</v>
      </c>
      <c r="N25" s="101" t="s">
        <v>155</v>
      </c>
      <c r="O25" s="101" t="s">
        <v>2812</v>
      </c>
      <c r="P25" s="101" t="s">
        <v>2808</v>
      </c>
      <c r="Q25" s="102" t="s">
        <v>2813</v>
      </c>
      <c r="R25" s="102" t="s">
        <v>2814</v>
      </c>
      <c r="S25" s="103">
        <v>47208</v>
      </c>
      <c r="T25" s="101" t="s">
        <v>2815</v>
      </c>
      <c r="U25" s="101" t="s">
        <v>166</v>
      </c>
      <c r="V25" s="105" t="s">
        <v>3226</v>
      </c>
      <c r="W25" s="100"/>
      <c r="X25" s="100"/>
      <c r="Y25" s="100"/>
      <c r="Z25" s="100"/>
      <c r="AA25" s="100"/>
      <c r="AB25" s="100"/>
    </row>
    <row x14ac:dyDescent="0.25" r="26" customHeight="1" ht="18.75">
      <c r="A26" s="56" t="s">
        <v>708</v>
      </c>
      <c r="B26" s="56"/>
      <c r="C26" s="50" t="s">
        <v>16</v>
      </c>
      <c r="D26" s="50"/>
      <c r="E26" s="50"/>
      <c r="F26" s="50" t="s">
        <v>244</v>
      </c>
      <c r="G26" s="55">
        <v>10000000</v>
      </c>
      <c r="H26" s="55"/>
      <c r="I26" s="55"/>
      <c r="J26" s="51">
        <v>800000</v>
      </c>
      <c r="K26" s="51"/>
      <c r="L26" s="52">
        <v>45957</v>
      </c>
      <c r="M26" s="53">
        <v>45957</v>
      </c>
      <c r="N26" s="50" t="s">
        <v>212</v>
      </c>
      <c r="O26" s="50" t="s">
        <v>245</v>
      </c>
      <c r="P26" s="50" t="s">
        <v>244</v>
      </c>
      <c r="Q26" s="55" t="s">
        <v>246</v>
      </c>
      <c r="R26" s="55" t="s">
        <v>247</v>
      </c>
      <c r="S26" s="53">
        <v>47052</v>
      </c>
      <c r="T26" s="50"/>
      <c r="U26" s="50"/>
      <c r="V26" s="56"/>
      <c r="W26" s="56"/>
      <c r="X26" s="56"/>
      <c r="Y26" s="56"/>
      <c r="Z26" s="56"/>
      <c r="AA26" s="56"/>
      <c r="AB26" s="56"/>
    </row>
    <row x14ac:dyDescent="0.25" r="27" customHeight="1" ht="18.75">
      <c r="A27" s="56" t="s">
        <v>708</v>
      </c>
      <c r="B27" s="56"/>
      <c r="C27" s="50" t="s">
        <v>16</v>
      </c>
      <c r="D27" s="50"/>
      <c r="E27" s="50" t="s">
        <v>244</v>
      </c>
      <c r="F27" s="50" t="s">
        <v>248</v>
      </c>
      <c r="G27" s="55">
        <v>10000000</v>
      </c>
      <c r="H27" s="55"/>
      <c r="I27" s="55"/>
      <c r="J27" s="51">
        <v>800000</v>
      </c>
      <c r="K27" s="51"/>
      <c r="L27" s="52">
        <v>46144</v>
      </c>
      <c r="M27" s="53">
        <v>46083</v>
      </c>
      <c r="N27" s="50" t="s">
        <v>212</v>
      </c>
      <c r="O27" s="50" t="s">
        <v>249</v>
      </c>
      <c r="P27" s="50" t="s">
        <v>248</v>
      </c>
      <c r="Q27" s="55" t="s">
        <v>250</v>
      </c>
      <c r="R27" s="55" t="s">
        <v>247</v>
      </c>
      <c r="S27" s="53">
        <v>47178</v>
      </c>
      <c r="T27" s="50" t="s">
        <v>251</v>
      </c>
      <c r="U27" s="50" t="s">
        <v>166</v>
      </c>
      <c r="V27" s="56"/>
      <c r="W27" s="56"/>
      <c r="X27" s="56"/>
      <c r="Y27" s="56"/>
      <c r="Z27" s="56"/>
      <c r="AA27" s="56"/>
      <c r="AB27" s="56"/>
    </row>
    <row x14ac:dyDescent="0.25" r="28" customHeight="1" ht="20.25">
      <c r="A28" s="48" t="s">
        <v>708</v>
      </c>
      <c r="B28" s="48"/>
      <c r="C28" s="50" t="s">
        <v>16</v>
      </c>
      <c r="D28" s="50"/>
      <c r="E28" s="50"/>
      <c r="F28" s="50" t="s">
        <v>253</v>
      </c>
      <c r="G28" s="55">
        <v>30000000</v>
      </c>
      <c r="H28" s="55"/>
      <c r="I28" s="55"/>
      <c r="J28" s="51">
        <v>2028000</v>
      </c>
      <c r="K28" s="51"/>
      <c r="L28" s="52">
        <v>46065</v>
      </c>
      <c r="M28" s="53">
        <v>46003</v>
      </c>
      <c r="N28" s="50" t="s">
        <v>155</v>
      </c>
      <c r="O28" s="50" t="s">
        <v>254</v>
      </c>
      <c r="P28" s="50" t="s">
        <v>255</v>
      </c>
      <c r="Q28" s="55" t="s">
        <v>256</v>
      </c>
      <c r="R28" s="55" t="s">
        <v>257</v>
      </c>
      <c r="S28" s="53">
        <v>47098</v>
      </c>
      <c r="T28" s="50"/>
      <c r="U28" s="50"/>
      <c r="V28" s="56"/>
      <c r="W28" s="56"/>
      <c r="X28" s="56"/>
      <c r="Y28" s="56"/>
      <c r="Z28" s="56"/>
      <c r="AA28" s="56"/>
      <c r="AB28" s="56"/>
    </row>
    <row x14ac:dyDescent="0.25" r="29" customHeight="1" ht="18.75">
      <c r="A29" s="63" t="s">
        <v>708</v>
      </c>
      <c r="B29" s="63"/>
      <c r="C29" s="49" t="s">
        <v>16</v>
      </c>
      <c r="D29" s="49" t="s">
        <v>88</v>
      </c>
      <c r="E29" s="49" t="s">
        <v>14</v>
      </c>
      <c r="F29" s="49" t="s">
        <v>253</v>
      </c>
      <c r="G29" s="64">
        <v>120000000</v>
      </c>
      <c r="H29" s="64"/>
      <c r="I29" s="64"/>
      <c r="J29" s="64">
        <v>9600000</v>
      </c>
      <c r="K29" s="64"/>
      <c r="L29" s="66">
        <v>45969</v>
      </c>
      <c r="M29" s="67">
        <f>IF(L29&gt;0,EDATE(L29,-2),"")</f>
        <v>25569.375</v>
      </c>
      <c r="N29" s="49" t="s">
        <v>155</v>
      </c>
      <c r="O29" s="49" t="s">
        <v>258</v>
      </c>
      <c r="P29" s="68">
        <f>IF(F29&gt;0,F29,"")</f>
      </c>
      <c r="Q29" s="69" t="s">
        <v>256</v>
      </c>
      <c r="R29" s="69">
        <v>37595831</v>
      </c>
      <c r="S29" s="67">
        <f>IF(ISNUMBER(M29), EDATE(M29,36)-1, "")</f>
        <v>25569.375</v>
      </c>
      <c r="T29" s="49"/>
      <c r="U29" s="49"/>
      <c r="V29" s="63" t="s">
        <v>259</v>
      </c>
      <c r="W29" s="56"/>
      <c r="X29" s="56"/>
      <c r="Y29" s="56"/>
      <c r="Z29" s="56"/>
      <c r="AA29" s="56"/>
      <c r="AB29" s="56"/>
    </row>
    <row x14ac:dyDescent="0.25" r="30" customHeight="1" ht="18.75">
      <c r="A30" s="56" t="s">
        <v>708</v>
      </c>
      <c r="B30" s="56"/>
      <c r="C30" s="50" t="s">
        <v>16</v>
      </c>
      <c r="D30" s="50"/>
      <c r="E30" s="50"/>
      <c r="F30" s="50" t="s">
        <v>260</v>
      </c>
      <c r="G30" s="55">
        <v>10000000</v>
      </c>
      <c r="H30" s="55"/>
      <c r="I30" s="55"/>
      <c r="J30" s="51">
        <v>800000</v>
      </c>
      <c r="K30" s="51"/>
      <c r="L30" s="52">
        <v>46130</v>
      </c>
      <c r="M30" s="53">
        <v>46071</v>
      </c>
      <c r="N30" s="50" t="s">
        <v>261</v>
      </c>
      <c r="O30" s="50" t="s">
        <v>262</v>
      </c>
      <c r="P30" s="50" t="s">
        <v>260</v>
      </c>
      <c r="Q30" s="55" t="s">
        <v>263</v>
      </c>
      <c r="R30" s="55" t="s">
        <v>264</v>
      </c>
      <c r="S30" s="53">
        <v>47166</v>
      </c>
      <c r="T30" s="50" t="s">
        <v>265</v>
      </c>
      <c r="U30" s="50" t="s">
        <v>166</v>
      </c>
      <c r="V30" s="56"/>
      <c r="W30" s="56"/>
      <c r="X30" s="56"/>
      <c r="Y30" s="56"/>
      <c r="Z30" s="56"/>
      <c r="AA30" s="56"/>
      <c r="AB30" s="56"/>
    </row>
    <row x14ac:dyDescent="0.25" r="31" customHeight="1" ht="18.75">
      <c r="A31" s="56" t="s">
        <v>708</v>
      </c>
      <c r="B31" s="56"/>
      <c r="C31" s="50" t="s">
        <v>16</v>
      </c>
      <c r="D31" s="50" t="s">
        <v>55</v>
      </c>
      <c r="E31" s="50" t="s">
        <v>56</v>
      </c>
      <c r="F31" s="50" t="s">
        <v>266</v>
      </c>
      <c r="G31" s="55">
        <v>60000000</v>
      </c>
      <c r="H31" s="55"/>
      <c r="I31" s="55"/>
      <c r="J31" s="51">
        <v>4056000</v>
      </c>
      <c r="K31" s="51"/>
      <c r="L31" s="52">
        <v>46122</v>
      </c>
      <c r="M31" s="53">
        <v>46063</v>
      </c>
      <c r="N31" s="50" t="s">
        <v>205</v>
      </c>
      <c r="O31" s="50" t="s">
        <v>267</v>
      </c>
      <c r="P31" s="50" t="s">
        <v>266</v>
      </c>
      <c r="Q31" s="55" t="s">
        <v>268</v>
      </c>
      <c r="R31" s="55" t="s">
        <v>269</v>
      </c>
      <c r="S31" s="53">
        <v>47158</v>
      </c>
      <c r="T31" s="50" t="s">
        <v>270</v>
      </c>
      <c r="U31" s="50" t="s">
        <v>166</v>
      </c>
      <c r="V31" s="56"/>
      <c r="W31" s="56"/>
      <c r="X31" s="56"/>
      <c r="Y31" s="56"/>
      <c r="Z31" s="56"/>
      <c r="AA31" s="56"/>
      <c r="AB31" s="56"/>
    </row>
    <row x14ac:dyDescent="0.25" r="32" customHeight="1" ht="18.75">
      <c r="A32" s="100" t="s">
        <v>708</v>
      </c>
      <c r="B32" s="100" t="s">
        <v>3224</v>
      </c>
      <c r="C32" s="101" t="s">
        <v>16</v>
      </c>
      <c r="D32" s="101" t="s">
        <v>14</v>
      </c>
      <c r="E32" s="101" t="s">
        <v>14</v>
      </c>
      <c r="F32" s="101" t="s">
        <v>2935</v>
      </c>
      <c r="G32" s="102">
        <v>10000000</v>
      </c>
      <c r="H32" s="102">
        <v>10000000</v>
      </c>
      <c r="I32" s="103">
        <v>46113</v>
      </c>
      <c r="J32" s="104">
        <v>500000</v>
      </c>
      <c r="K32" s="104">
        <v>1</v>
      </c>
      <c r="L32" s="103">
        <v>46174</v>
      </c>
      <c r="M32" s="103">
        <v>46113</v>
      </c>
      <c r="N32" s="101" t="s">
        <v>940</v>
      </c>
      <c r="O32" s="101" t="s">
        <v>2937</v>
      </c>
      <c r="P32" s="101" t="s">
        <v>2935</v>
      </c>
      <c r="Q32" s="102" t="s">
        <v>2936</v>
      </c>
      <c r="R32" s="102" t="s">
        <v>2937</v>
      </c>
      <c r="S32" s="103">
        <v>47208</v>
      </c>
      <c r="T32" s="101" t="s">
        <v>2938</v>
      </c>
      <c r="U32" s="101" t="s">
        <v>166</v>
      </c>
      <c r="V32" s="100" t="s">
        <v>3227</v>
      </c>
      <c r="W32" s="100"/>
      <c r="X32" s="100"/>
      <c r="Y32" s="100"/>
      <c r="Z32" s="100"/>
      <c r="AA32" s="100"/>
      <c r="AB32" s="100"/>
    </row>
    <row x14ac:dyDescent="0.25" r="33" customHeight="1" ht="18.75">
      <c r="A33" s="63" t="s">
        <v>275</v>
      </c>
      <c r="B33" s="63"/>
      <c r="C33" s="49" t="s">
        <v>16</v>
      </c>
      <c r="D33" s="49" t="s">
        <v>153</v>
      </c>
      <c r="E33" s="49" t="s">
        <v>276</v>
      </c>
      <c r="F33" s="49" t="s">
        <v>277</v>
      </c>
      <c r="G33" s="64">
        <v>10000000</v>
      </c>
      <c r="H33" s="64"/>
      <c r="I33" s="64"/>
      <c r="J33" s="65">
        <f>IF(G33&gt;0,_xludf.IFS(G33=10000000,800000,G33=20000000,1528000,G33=30000000,2028000,G33=60000000,4056000),"")</f>
      </c>
      <c r="K33" s="64"/>
      <c r="L33" s="66">
        <v>46170</v>
      </c>
      <c r="M33" s="67">
        <f>IF(L33&gt;0,EDATE(L33,-2),"")</f>
        <v>25569.375</v>
      </c>
      <c r="N33" s="49" t="s">
        <v>239</v>
      </c>
      <c r="O33" s="49" t="s">
        <v>278</v>
      </c>
      <c r="P33" s="68">
        <f>IF(F33&gt;0,F33,"")</f>
      </c>
      <c r="Q33" s="69" t="s">
        <v>279</v>
      </c>
      <c r="R33" s="69">
        <v>95803367</v>
      </c>
      <c r="S33" s="67">
        <f>IF(ISNUMBER(M33), EDATE(M33,36)-1, "")</f>
        <v>25569.375</v>
      </c>
      <c r="T33" s="49"/>
      <c r="U33" s="49"/>
      <c r="V33" s="63" t="s">
        <v>3228</v>
      </c>
      <c r="W33" s="56"/>
      <c r="X33" s="56"/>
      <c r="Y33" s="56"/>
      <c r="Z33" s="56"/>
      <c r="AA33" s="56"/>
      <c r="AB33" s="56"/>
    </row>
    <row x14ac:dyDescent="0.25" r="34" customHeight="1" ht="18.75">
      <c r="A34" s="56" t="s">
        <v>275</v>
      </c>
      <c r="B34" s="56"/>
      <c r="C34" s="50" t="s">
        <v>16</v>
      </c>
      <c r="D34" s="50"/>
      <c r="E34" s="50"/>
      <c r="F34" s="50" t="s">
        <v>281</v>
      </c>
      <c r="G34" s="55">
        <v>10000000</v>
      </c>
      <c r="H34" s="55"/>
      <c r="I34" s="55"/>
      <c r="J34" s="51">
        <v>800000</v>
      </c>
      <c r="K34" s="51"/>
      <c r="L34" s="52">
        <v>46122</v>
      </c>
      <c r="M34" s="53">
        <v>46063</v>
      </c>
      <c r="N34" s="50" t="s">
        <v>282</v>
      </c>
      <c r="O34" s="50" t="s">
        <v>283</v>
      </c>
      <c r="P34" s="50" t="s">
        <v>281</v>
      </c>
      <c r="Q34" s="55" t="s">
        <v>284</v>
      </c>
      <c r="R34" s="55" t="s">
        <v>285</v>
      </c>
      <c r="S34" s="53">
        <v>47158</v>
      </c>
      <c r="T34" s="50" t="s">
        <v>286</v>
      </c>
      <c r="U34" s="50" t="s">
        <v>166</v>
      </c>
      <c r="V34" s="56" t="s">
        <v>3229</v>
      </c>
      <c r="W34" s="56"/>
      <c r="X34" s="56"/>
      <c r="Y34" s="56"/>
      <c r="Z34" s="56"/>
      <c r="AA34" s="56"/>
      <c r="AB34" s="56"/>
    </row>
    <row x14ac:dyDescent="0.25" r="35" customHeight="1" ht="18.75">
      <c r="A35" s="71" t="s">
        <v>275</v>
      </c>
      <c r="B35" s="71"/>
      <c r="C35" s="72" t="s">
        <v>16</v>
      </c>
      <c r="D35" s="72"/>
      <c r="E35" s="72"/>
      <c r="F35" s="72" t="s">
        <v>281</v>
      </c>
      <c r="G35" s="73">
        <v>10000000</v>
      </c>
      <c r="H35" s="73"/>
      <c r="I35" s="73"/>
      <c r="J35" s="51">
        <v>800000</v>
      </c>
      <c r="K35" s="51"/>
      <c r="L35" s="75">
        <v>46156</v>
      </c>
      <c r="M35" s="76">
        <v>46095</v>
      </c>
      <c r="N35" s="72" t="s">
        <v>168</v>
      </c>
      <c r="O35" s="72" t="s">
        <v>283</v>
      </c>
      <c r="P35" s="72" t="s">
        <v>281</v>
      </c>
      <c r="Q35" s="73" t="s">
        <v>284</v>
      </c>
      <c r="R35" s="73" t="s">
        <v>285</v>
      </c>
      <c r="S35" s="76">
        <v>47190</v>
      </c>
      <c r="T35" s="72" t="s">
        <v>287</v>
      </c>
      <c r="U35" s="72" t="s">
        <v>166</v>
      </c>
      <c r="V35" s="56" t="s">
        <v>3229</v>
      </c>
      <c r="W35" s="56"/>
      <c r="X35" s="56"/>
      <c r="Y35" s="56"/>
      <c r="Z35" s="56"/>
      <c r="AA35" s="56"/>
      <c r="AB35" s="56"/>
    </row>
    <row x14ac:dyDescent="0.25" r="36" customHeight="1" ht="20.25">
      <c r="A36" s="105" t="s">
        <v>152</v>
      </c>
      <c r="B36" s="100" t="s">
        <v>3224</v>
      </c>
      <c r="C36" s="101" t="s">
        <v>16</v>
      </c>
      <c r="D36" s="101" t="s">
        <v>56</v>
      </c>
      <c r="E36" s="101" t="s">
        <v>1425</v>
      </c>
      <c r="F36" s="101" t="s">
        <v>497</v>
      </c>
      <c r="G36" s="104"/>
      <c r="H36" s="102">
        <v>1000000</v>
      </c>
      <c r="I36" s="103">
        <v>46113</v>
      </c>
      <c r="J36" s="104">
        <v>1528000</v>
      </c>
      <c r="K36" s="104"/>
      <c r="L36" s="103">
        <v>46175</v>
      </c>
      <c r="M36" s="103">
        <v>46114</v>
      </c>
      <c r="N36" s="101" t="s">
        <v>239</v>
      </c>
      <c r="O36" s="101" t="s">
        <v>498</v>
      </c>
      <c r="P36" s="106">
        <f>IF(F36&gt;0,F36,"")</f>
      </c>
      <c r="Q36" s="102">
        <v>8510031008913</v>
      </c>
      <c r="R36" s="102">
        <v>72707613</v>
      </c>
      <c r="S36" s="103">
        <f>IF(ISNUMBER(M36), EDATE(M36,36)-1, "")</f>
        <v>25569.375</v>
      </c>
      <c r="T36" s="101"/>
      <c r="U36" s="101" t="s">
        <v>166</v>
      </c>
      <c r="V36" s="100" t="s">
        <v>499</v>
      </c>
      <c r="W36" s="100"/>
      <c r="X36" s="100"/>
      <c r="Y36" s="100"/>
      <c r="Z36" s="100"/>
      <c r="AA36" s="100"/>
      <c r="AB36" s="100"/>
    </row>
    <row x14ac:dyDescent="0.25" r="37" customHeight="1" ht="20.25">
      <c r="A37" s="105" t="s">
        <v>152</v>
      </c>
      <c r="B37" s="100" t="s">
        <v>3224</v>
      </c>
      <c r="C37" s="101" t="s">
        <v>16</v>
      </c>
      <c r="D37" s="101" t="s">
        <v>56</v>
      </c>
      <c r="E37" s="101" t="s">
        <v>1425</v>
      </c>
      <c r="F37" s="101" t="s">
        <v>497</v>
      </c>
      <c r="G37" s="104"/>
      <c r="H37" s="102">
        <v>9000000</v>
      </c>
      <c r="I37" s="103">
        <v>46114</v>
      </c>
      <c r="J37" s="104">
        <v>1528000</v>
      </c>
      <c r="K37" s="104"/>
      <c r="L37" s="103">
        <v>46175</v>
      </c>
      <c r="M37" s="103">
        <v>46114</v>
      </c>
      <c r="N37" s="101" t="s">
        <v>239</v>
      </c>
      <c r="O37" s="101" t="s">
        <v>498</v>
      </c>
      <c r="P37" s="106">
        <f>IF(F37&gt;0,F37,"")</f>
      </c>
      <c r="Q37" s="102">
        <v>8510031008913</v>
      </c>
      <c r="R37" s="102">
        <v>72707613</v>
      </c>
      <c r="S37" s="103">
        <f>IF(ISNUMBER(M37), EDATE(M37,36)-1, "")</f>
        <v>25569.375</v>
      </c>
      <c r="T37" s="101"/>
      <c r="U37" s="101" t="s">
        <v>166</v>
      </c>
      <c r="V37" s="100" t="s">
        <v>499</v>
      </c>
      <c r="W37" s="100"/>
      <c r="X37" s="100"/>
      <c r="Y37" s="100"/>
      <c r="Z37" s="100"/>
      <c r="AA37" s="100"/>
      <c r="AB37" s="100"/>
    </row>
    <row x14ac:dyDescent="0.25" r="38" customHeight="1" ht="20.25">
      <c r="A38" s="105" t="s">
        <v>152</v>
      </c>
      <c r="B38" s="100" t="s">
        <v>3224</v>
      </c>
      <c r="C38" s="101" t="s">
        <v>16</v>
      </c>
      <c r="D38" s="101" t="s">
        <v>56</v>
      </c>
      <c r="E38" s="101" t="s">
        <v>1425</v>
      </c>
      <c r="F38" s="101" t="s">
        <v>497</v>
      </c>
      <c r="G38" s="104"/>
      <c r="H38" s="102">
        <v>10000000</v>
      </c>
      <c r="I38" s="103">
        <v>46122</v>
      </c>
      <c r="J38" s="104">
        <v>1528000</v>
      </c>
      <c r="K38" s="104"/>
      <c r="L38" s="103">
        <v>46183</v>
      </c>
      <c r="M38" s="103">
        <v>46114</v>
      </c>
      <c r="N38" s="101" t="s">
        <v>239</v>
      </c>
      <c r="O38" s="101" t="s">
        <v>498</v>
      </c>
      <c r="P38" s="106">
        <f>IF(F38&gt;0,F38,"")</f>
      </c>
      <c r="Q38" s="102">
        <v>8510031008913</v>
      </c>
      <c r="R38" s="102">
        <v>72707613</v>
      </c>
      <c r="S38" s="103">
        <f>IF(ISNUMBER(M38), EDATE(M38,36)-1, "")</f>
        <v>25569.375</v>
      </c>
      <c r="T38" s="101"/>
      <c r="U38" s="101" t="s">
        <v>166</v>
      </c>
      <c r="V38" s="100" t="s">
        <v>499</v>
      </c>
      <c r="W38" s="100"/>
      <c r="X38" s="100"/>
      <c r="Y38" s="100"/>
      <c r="Z38" s="100"/>
      <c r="AA38" s="100"/>
      <c r="AB38" s="100"/>
    </row>
    <row x14ac:dyDescent="0.25" r="39" customHeight="1" ht="20.25">
      <c r="A39" s="105" t="s">
        <v>152</v>
      </c>
      <c r="B39" s="100" t="s">
        <v>3224</v>
      </c>
      <c r="C39" s="101" t="s">
        <v>16</v>
      </c>
      <c r="D39" s="101" t="s">
        <v>56</v>
      </c>
      <c r="E39" s="101" t="s">
        <v>1425</v>
      </c>
      <c r="F39" s="101" t="s">
        <v>497</v>
      </c>
      <c r="G39" s="104">
        <v>20000000</v>
      </c>
      <c r="H39" s="102">
        <v>20000000</v>
      </c>
      <c r="I39" s="103">
        <v>46118</v>
      </c>
      <c r="J39" s="104">
        <v>1528000</v>
      </c>
      <c r="K39" s="104">
        <v>6</v>
      </c>
      <c r="L39" s="103">
        <v>46179</v>
      </c>
      <c r="M39" s="103">
        <v>46114</v>
      </c>
      <c r="N39" s="101" t="s">
        <v>239</v>
      </c>
      <c r="O39" s="101" t="s">
        <v>498</v>
      </c>
      <c r="P39" s="106">
        <f>IF(F39&gt;0,F39,"")</f>
      </c>
      <c r="Q39" s="102">
        <v>8510031008913</v>
      </c>
      <c r="R39" s="102">
        <v>72707613</v>
      </c>
      <c r="S39" s="103">
        <f>IF(ISNUMBER(M39), EDATE(M39,36)-1, "")</f>
        <v>25569.375</v>
      </c>
      <c r="T39" s="101"/>
      <c r="U39" s="101" t="s">
        <v>166</v>
      </c>
      <c r="V39" s="100" t="s">
        <v>499</v>
      </c>
      <c r="W39" s="100"/>
      <c r="X39" s="100"/>
      <c r="Y39" s="100"/>
      <c r="Z39" s="100"/>
      <c r="AA39" s="100"/>
      <c r="AB39" s="100"/>
    </row>
    <row x14ac:dyDescent="0.25" r="40" customHeight="1" ht="18.75">
      <c r="A40" s="56"/>
      <c r="B40" s="56"/>
      <c r="C40" s="50" t="s">
        <v>16</v>
      </c>
      <c r="D40" s="50"/>
      <c r="E40" s="50"/>
      <c r="F40" s="50" t="s">
        <v>294</v>
      </c>
      <c r="G40" s="55">
        <v>30000000</v>
      </c>
      <c r="H40" s="55"/>
      <c r="I40" s="55"/>
      <c r="J40" s="51">
        <v>2028000</v>
      </c>
      <c r="K40" s="51"/>
      <c r="L40" s="52">
        <v>46043</v>
      </c>
      <c r="M40" s="53">
        <v>45982</v>
      </c>
      <c r="N40" s="50" t="s">
        <v>155</v>
      </c>
      <c r="O40" s="50" t="s">
        <v>295</v>
      </c>
      <c r="P40" s="50" t="s">
        <v>114</v>
      </c>
      <c r="Q40" s="55" t="s">
        <v>296</v>
      </c>
      <c r="R40" s="55" t="s">
        <v>297</v>
      </c>
      <c r="S40" s="53">
        <v>47077</v>
      </c>
      <c r="T40" s="50"/>
      <c r="U40" s="50"/>
      <c r="V40" s="56"/>
      <c r="W40" s="56"/>
      <c r="X40" s="56"/>
      <c r="Y40" s="56"/>
      <c r="Z40" s="56"/>
      <c r="AA40" s="56"/>
      <c r="AB40" s="56"/>
    </row>
    <row x14ac:dyDescent="0.25" r="41" customHeight="1" ht="18.75">
      <c r="A41" s="56"/>
      <c r="B41" s="56"/>
      <c r="C41" s="50" t="s">
        <v>13</v>
      </c>
      <c r="D41" s="50"/>
      <c r="E41" s="50"/>
      <c r="F41" s="50" t="s">
        <v>298</v>
      </c>
      <c r="G41" s="55">
        <v>60000000</v>
      </c>
      <c r="H41" s="55"/>
      <c r="I41" s="55"/>
      <c r="J41" s="51">
        <v>4800000</v>
      </c>
      <c r="K41" s="51"/>
      <c r="L41" s="52">
        <v>45778</v>
      </c>
      <c r="M41" s="53">
        <v>45717</v>
      </c>
      <c r="N41" s="50" t="s">
        <v>239</v>
      </c>
      <c r="O41" s="50" t="s">
        <v>299</v>
      </c>
      <c r="P41" s="50" t="s">
        <v>298</v>
      </c>
      <c r="Q41" s="55" t="s">
        <v>300</v>
      </c>
      <c r="R41" s="55" t="s">
        <v>301</v>
      </c>
      <c r="S41" s="53">
        <v>46812</v>
      </c>
      <c r="T41" s="50"/>
      <c r="U41" s="50"/>
      <c r="V41" s="56"/>
      <c r="W41" s="56"/>
      <c r="X41" s="56"/>
      <c r="Y41" s="56"/>
      <c r="Z41" s="56"/>
      <c r="AA41" s="56"/>
      <c r="AB41" s="56"/>
    </row>
    <row x14ac:dyDescent="0.25" r="42" customHeight="1" ht="18.75">
      <c r="A42" s="56"/>
      <c r="B42" s="56"/>
      <c r="C42" s="50" t="s">
        <v>16</v>
      </c>
      <c r="D42" s="50"/>
      <c r="E42" s="50"/>
      <c r="F42" s="50" t="s">
        <v>298</v>
      </c>
      <c r="G42" s="55">
        <v>60000000</v>
      </c>
      <c r="H42" s="55"/>
      <c r="I42" s="55"/>
      <c r="J42" s="51">
        <v>4800000</v>
      </c>
      <c r="K42" s="51"/>
      <c r="L42" s="52">
        <v>45884</v>
      </c>
      <c r="M42" s="53">
        <v>45823</v>
      </c>
      <c r="N42" s="50" t="s">
        <v>239</v>
      </c>
      <c r="O42" s="50" t="s">
        <v>299</v>
      </c>
      <c r="P42" s="50" t="s">
        <v>298</v>
      </c>
      <c r="Q42" s="55" t="s">
        <v>300</v>
      </c>
      <c r="R42" s="55" t="s">
        <v>301</v>
      </c>
      <c r="S42" s="53">
        <v>46918</v>
      </c>
      <c r="T42" s="50"/>
      <c r="U42" s="50"/>
      <c r="V42" s="56"/>
      <c r="W42" s="56"/>
      <c r="X42" s="56"/>
      <c r="Y42" s="56"/>
      <c r="Z42" s="56"/>
      <c r="AA42" s="56"/>
      <c r="AB42" s="56"/>
    </row>
    <row x14ac:dyDescent="0.25" r="43" customHeight="1" ht="20.25">
      <c r="A43" s="48" t="s">
        <v>3230</v>
      </c>
      <c r="B43" s="48"/>
      <c r="C43" s="50" t="s">
        <v>16</v>
      </c>
      <c r="D43" s="50"/>
      <c r="E43" s="50"/>
      <c r="F43" s="50" t="s">
        <v>298</v>
      </c>
      <c r="G43" s="55">
        <v>60000000</v>
      </c>
      <c r="H43" s="55"/>
      <c r="I43" s="55"/>
      <c r="J43" s="51">
        <v>4800000</v>
      </c>
      <c r="K43" s="51"/>
      <c r="L43" s="52">
        <v>45910</v>
      </c>
      <c r="M43" s="53">
        <v>45848</v>
      </c>
      <c r="N43" s="50" t="s">
        <v>302</v>
      </c>
      <c r="O43" s="50" t="s">
        <v>303</v>
      </c>
      <c r="P43" s="50" t="s">
        <v>298</v>
      </c>
      <c r="Q43" s="55" t="s">
        <v>300</v>
      </c>
      <c r="R43" s="55" t="s">
        <v>301</v>
      </c>
      <c r="S43" s="53">
        <v>46943</v>
      </c>
      <c r="T43" s="50"/>
      <c r="U43" s="50"/>
      <c r="V43" s="56"/>
      <c r="W43" s="56"/>
      <c r="X43" s="56"/>
      <c r="Y43" s="56"/>
      <c r="Z43" s="56"/>
      <c r="AA43" s="56"/>
      <c r="AB43" s="56"/>
    </row>
    <row x14ac:dyDescent="0.25" r="44" customHeight="1" ht="18.75">
      <c r="A44" s="56"/>
      <c r="B44" s="56"/>
      <c r="C44" s="50" t="s">
        <v>16</v>
      </c>
      <c r="D44" s="50"/>
      <c r="E44" s="50"/>
      <c r="F44" s="50" t="s">
        <v>305</v>
      </c>
      <c r="G44" s="55">
        <v>20000000</v>
      </c>
      <c r="H44" s="55"/>
      <c r="I44" s="55"/>
      <c r="J44" s="51">
        <v>1528000</v>
      </c>
      <c r="K44" s="51"/>
      <c r="L44" s="52">
        <v>46018</v>
      </c>
      <c r="M44" s="53">
        <v>45957</v>
      </c>
      <c r="N44" s="50" t="s">
        <v>306</v>
      </c>
      <c r="O44" s="50" t="s">
        <v>307</v>
      </c>
      <c r="P44" s="50" t="s">
        <v>305</v>
      </c>
      <c r="Q44" s="55" t="s">
        <v>308</v>
      </c>
      <c r="R44" s="55" t="s">
        <v>309</v>
      </c>
      <c r="S44" s="53">
        <v>47052</v>
      </c>
      <c r="T44" s="50"/>
      <c r="U44" s="50"/>
      <c r="V44" s="56"/>
      <c r="W44" s="56"/>
      <c r="X44" s="56"/>
      <c r="Y44" s="56"/>
      <c r="Z44" s="56"/>
      <c r="AA44" s="56"/>
      <c r="AB44" s="56"/>
    </row>
    <row x14ac:dyDescent="0.25" r="45" customHeight="1" ht="18.75">
      <c r="A45" s="56"/>
      <c r="B45" s="56"/>
      <c r="C45" s="50" t="s">
        <v>16</v>
      </c>
      <c r="D45" s="50"/>
      <c r="E45" s="50"/>
      <c r="F45" s="50" t="s">
        <v>310</v>
      </c>
      <c r="G45" s="55">
        <v>20000000</v>
      </c>
      <c r="H45" s="55"/>
      <c r="I45" s="55"/>
      <c r="J45" s="51">
        <v>1528000</v>
      </c>
      <c r="K45" s="51"/>
      <c r="L45" s="52">
        <v>46022</v>
      </c>
      <c r="M45" s="53">
        <v>45961</v>
      </c>
      <c r="N45" s="50" t="s">
        <v>306</v>
      </c>
      <c r="O45" s="50" t="s">
        <v>311</v>
      </c>
      <c r="P45" s="50" t="s">
        <v>310</v>
      </c>
      <c r="Q45" s="55" t="s">
        <v>312</v>
      </c>
      <c r="R45" s="55" t="s">
        <v>313</v>
      </c>
      <c r="S45" s="53">
        <v>47056</v>
      </c>
      <c r="T45" s="50"/>
      <c r="U45" s="50"/>
      <c r="V45" s="56"/>
      <c r="W45" s="56"/>
      <c r="X45" s="56"/>
      <c r="Y45" s="56"/>
      <c r="Z45" s="56"/>
      <c r="AA45" s="56"/>
      <c r="AB45" s="56"/>
    </row>
    <row x14ac:dyDescent="0.25" r="46" customHeight="1" ht="18.75">
      <c r="A46" s="56"/>
      <c r="B46" s="56"/>
      <c r="C46" s="50" t="s">
        <v>16</v>
      </c>
      <c r="D46" s="50"/>
      <c r="E46" s="50"/>
      <c r="F46" s="50" t="s">
        <v>314</v>
      </c>
      <c r="G46" s="55">
        <v>30000000</v>
      </c>
      <c r="H46" s="55"/>
      <c r="I46" s="55"/>
      <c r="J46" s="51">
        <v>2028000</v>
      </c>
      <c r="K46" s="51"/>
      <c r="L46" s="52">
        <v>46006</v>
      </c>
      <c r="M46" s="53">
        <v>45945</v>
      </c>
      <c r="N46" s="50"/>
      <c r="O46" s="50" t="s">
        <v>315</v>
      </c>
      <c r="P46" s="50" t="s">
        <v>314</v>
      </c>
      <c r="Q46" s="55" t="s">
        <v>316</v>
      </c>
      <c r="R46" s="55" t="s">
        <v>317</v>
      </c>
      <c r="S46" s="53">
        <v>47040</v>
      </c>
      <c r="T46" s="50"/>
      <c r="U46" s="50"/>
      <c r="V46" s="56"/>
      <c r="W46" s="56"/>
      <c r="X46" s="56"/>
      <c r="Y46" s="56"/>
      <c r="Z46" s="56"/>
      <c r="AA46" s="56"/>
      <c r="AB46" s="56"/>
    </row>
    <row x14ac:dyDescent="0.25" r="47" customHeight="1" ht="18.75">
      <c r="A47" s="56"/>
      <c r="B47" s="56"/>
      <c r="C47" s="50" t="s">
        <v>16</v>
      </c>
      <c r="D47" s="50" t="s">
        <v>153</v>
      </c>
      <c r="E47" s="50"/>
      <c r="F47" s="50" t="s">
        <v>319</v>
      </c>
      <c r="G47" s="55">
        <v>10000000</v>
      </c>
      <c r="H47" s="55"/>
      <c r="I47" s="55"/>
      <c r="J47" s="51">
        <v>800000</v>
      </c>
      <c r="K47" s="51"/>
      <c r="L47" s="52">
        <v>46148</v>
      </c>
      <c r="M47" s="53">
        <v>46087</v>
      </c>
      <c r="N47" s="50" t="s">
        <v>161</v>
      </c>
      <c r="O47" s="50" t="s">
        <v>1520</v>
      </c>
      <c r="P47" s="50" t="s">
        <v>319</v>
      </c>
      <c r="Q47" s="55" t="s">
        <v>321</v>
      </c>
      <c r="R47" s="55" t="s">
        <v>322</v>
      </c>
      <c r="S47" s="53">
        <v>47182</v>
      </c>
      <c r="T47" s="50"/>
      <c r="U47" s="50" t="s">
        <v>166</v>
      </c>
      <c r="V47" s="56"/>
      <c r="W47" s="56"/>
      <c r="X47" s="56"/>
      <c r="Y47" s="56"/>
      <c r="Z47" s="56"/>
      <c r="AA47" s="56"/>
      <c r="AB47" s="56"/>
    </row>
    <row x14ac:dyDescent="0.25" r="48" customHeight="1" ht="18.75">
      <c r="A48" s="63"/>
      <c r="B48" s="63"/>
      <c r="C48" s="49" t="s">
        <v>16</v>
      </c>
      <c r="D48" s="49" t="s">
        <v>153</v>
      </c>
      <c r="E48" s="49" t="s">
        <v>318</v>
      </c>
      <c r="F48" s="49" t="s">
        <v>319</v>
      </c>
      <c r="G48" s="64">
        <v>10000000</v>
      </c>
      <c r="H48" s="64"/>
      <c r="I48" s="64"/>
      <c r="J48" s="65">
        <f>IF(G48&gt;0,_xludf.IFS(G48=10000000,800000,G48=20000000,1528000,G48=30000000,2028000,G48=60000000,4056000),"")</f>
      </c>
      <c r="K48" s="64"/>
      <c r="L48" s="66">
        <v>46148</v>
      </c>
      <c r="M48" s="67">
        <f>IF(L48&gt;0,EDATE(L48,-2),"")</f>
        <v>25569.375</v>
      </c>
      <c r="N48" s="49" t="s">
        <v>234</v>
      </c>
      <c r="O48" s="49" t="s">
        <v>320</v>
      </c>
      <c r="P48" s="68">
        <f>IF(F48&gt;0,F48,"")</f>
      </c>
      <c r="Q48" s="69" t="s">
        <v>321</v>
      </c>
      <c r="R48" s="69">
        <v>54883177</v>
      </c>
      <c r="S48" s="67">
        <f>IF(ISNUMBER(M48), EDATE(M48,36)-1, "")</f>
        <v>25569.375</v>
      </c>
      <c r="T48" s="49"/>
      <c r="U48" s="49"/>
      <c r="V48" s="63" t="s">
        <v>3231</v>
      </c>
      <c r="W48" s="56"/>
      <c r="X48" s="56"/>
      <c r="Y48" s="56"/>
      <c r="Z48" s="56"/>
      <c r="AA48" s="56"/>
      <c r="AB48" s="56"/>
    </row>
    <row x14ac:dyDescent="0.25" r="49" customHeight="1" ht="18.75">
      <c r="A49" s="79"/>
      <c r="B49" s="79"/>
      <c r="C49" s="80" t="s">
        <v>16</v>
      </c>
      <c r="D49" s="80" t="s">
        <v>114</v>
      </c>
      <c r="E49" s="80" t="s">
        <v>114</v>
      </c>
      <c r="F49" s="80" t="s">
        <v>817</v>
      </c>
      <c r="G49" s="81"/>
      <c r="H49" s="81"/>
      <c r="I49" s="81"/>
      <c r="J49" s="82"/>
      <c r="K49" s="82"/>
      <c r="L49" s="83">
        <v>46175</v>
      </c>
      <c r="M49" s="83">
        <v>46114</v>
      </c>
      <c r="N49" s="80" t="s">
        <v>239</v>
      </c>
      <c r="O49" s="80" t="s">
        <v>818</v>
      </c>
      <c r="P49" s="80" t="s">
        <v>817</v>
      </c>
      <c r="Q49" s="81" t="s">
        <v>819</v>
      </c>
      <c r="R49" s="81" t="s">
        <v>820</v>
      </c>
      <c r="S49" s="83">
        <v>47209</v>
      </c>
      <c r="T49" s="80" t="s">
        <v>821</v>
      </c>
      <c r="U49" s="80" t="s">
        <v>166</v>
      </c>
      <c r="V49" s="79"/>
      <c r="W49" s="79"/>
      <c r="X49" s="79"/>
      <c r="Y49" s="79"/>
      <c r="Z49" s="79"/>
      <c r="AA49" s="79"/>
      <c r="AB49" s="79"/>
    </row>
    <row x14ac:dyDescent="0.25" r="50" customHeight="1" ht="20.25">
      <c r="A50" s="56"/>
      <c r="B50" s="56"/>
      <c r="C50" s="50" t="s">
        <v>16</v>
      </c>
      <c r="D50" s="50"/>
      <c r="E50" s="50" t="s">
        <v>327</v>
      </c>
      <c r="F50" s="50" t="s">
        <v>328</v>
      </c>
      <c r="G50" s="55">
        <v>10000000</v>
      </c>
      <c r="H50" s="55"/>
      <c r="I50" s="55"/>
      <c r="J50" s="51">
        <v>800000</v>
      </c>
      <c r="K50" s="51"/>
      <c r="L50" s="52">
        <v>46113</v>
      </c>
      <c r="M50" s="53">
        <v>46054</v>
      </c>
      <c r="N50" s="50" t="s">
        <v>155</v>
      </c>
      <c r="O50" s="50" t="s">
        <v>329</v>
      </c>
      <c r="P50" s="50" t="s">
        <v>328</v>
      </c>
      <c r="Q50" s="55" t="s">
        <v>330</v>
      </c>
      <c r="R50" s="55" t="s">
        <v>331</v>
      </c>
      <c r="S50" s="53">
        <v>47149</v>
      </c>
      <c r="T50" s="50"/>
      <c r="U50" s="50" t="s">
        <v>332</v>
      </c>
      <c r="V50" s="48" t="s">
        <v>333</v>
      </c>
      <c r="W50" s="56"/>
      <c r="X50" s="56"/>
      <c r="Y50" s="56"/>
      <c r="Z50" s="56"/>
      <c r="AA50" s="56"/>
      <c r="AB50" s="56"/>
    </row>
    <row x14ac:dyDescent="0.25" r="51" customHeight="1" ht="18.75">
      <c r="A51" s="63" t="s">
        <v>152</v>
      </c>
      <c r="B51" s="63"/>
      <c r="C51" s="49" t="s">
        <v>16</v>
      </c>
      <c r="D51" s="49" t="s">
        <v>116</v>
      </c>
      <c r="E51" s="49" t="s">
        <v>117</v>
      </c>
      <c r="F51" s="49" t="s">
        <v>334</v>
      </c>
      <c r="G51" s="64">
        <v>10000000</v>
      </c>
      <c r="H51" s="64"/>
      <c r="I51" s="64"/>
      <c r="J51" s="65">
        <f>IF(G51&gt;0,_xludf.IFS(G51=10000000,800000,G51=20000000,1528000,G51=30000000,2028000,G51=60000000,4056000),"")</f>
      </c>
      <c r="K51" s="64"/>
      <c r="L51" s="66">
        <v>46161</v>
      </c>
      <c r="M51" s="67">
        <f>IF(L51&gt;0,EDATE(L51,-2),"")</f>
        <v>25569.375</v>
      </c>
      <c r="N51" s="49" t="s">
        <v>168</v>
      </c>
      <c r="O51" s="49" t="s">
        <v>335</v>
      </c>
      <c r="P51" s="68">
        <f>IF(F51&gt;0,F51,"")</f>
      </c>
      <c r="Q51" s="69" t="s">
        <v>336</v>
      </c>
      <c r="R51" s="69">
        <v>27108234</v>
      </c>
      <c r="S51" s="67">
        <f>IF(ISNUMBER(M51), EDATE(M51,36)-1, "")</f>
        <v>25569.375</v>
      </c>
      <c r="T51" s="49"/>
      <c r="U51" s="49"/>
      <c r="V51" s="63" t="s">
        <v>337</v>
      </c>
      <c r="W51" s="56"/>
      <c r="X51" s="56"/>
      <c r="Y51" s="56"/>
      <c r="Z51" s="56"/>
      <c r="AA51" s="56"/>
      <c r="AB51" s="56"/>
    </row>
    <row x14ac:dyDescent="0.25" r="52" customHeight="1" ht="18.75">
      <c r="A52" s="79" t="s">
        <v>152</v>
      </c>
      <c r="B52" s="79"/>
      <c r="C52" s="80" t="s">
        <v>16</v>
      </c>
      <c r="D52" s="80" t="s">
        <v>114</v>
      </c>
      <c r="E52" s="80" t="s">
        <v>114</v>
      </c>
      <c r="F52" s="80" t="s">
        <v>817</v>
      </c>
      <c r="G52" s="82">
        <v>20000000</v>
      </c>
      <c r="H52" s="82"/>
      <c r="I52" s="82"/>
      <c r="J52" s="82">
        <v>1000000</v>
      </c>
      <c r="K52" s="82"/>
      <c r="L52" s="83">
        <v>46175</v>
      </c>
      <c r="M52" s="83">
        <f>IF(L52&gt;0,EDATE(L52,-2),"")</f>
        <v>25569.375</v>
      </c>
      <c r="N52" s="80" t="s">
        <v>155</v>
      </c>
      <c r="O52" s="80" t="s">
        <v>823</v>
      </c>
      <c r="P52" s="84">
        <f>IF(F52&gt;0,F52,"")</f>
      </c>
      <c r="Q52" s="81">
        <v>7206041548312</v>
      </c>
      <c r="R52" s="81">
        <v>31523764</v>
      </c>
      <c r="S52" s="83">
        <f>IF(ISNUMBER(M52), EDATE(M52,36)-1, "")</f>
        <v>25569.375</v>
      </c>
      <c r="T52" s="80"/>
      <c r="U52" s="80"/>
      <c r="V52" s="79"/>
      <c r="W52" s="79"/>
      <c r="X52" s="79"/>
      <c r="Y52" s="79"/>
      <c r="Z52" s="79"/>
      <c r="AA52" s="79"/>
      <c r="AB52" s="79"/>
    </row>
    <row x14ac:dyDescent="0.25" r="53" customHeight="1" ht="18.75">
      <c r="A53" s="56"/>
      <c r="B53" s="56"/>
      <c r="C53" s="50" t="s">
        <v>16</v>
      </c>
      <c r="D53" s="50"/>
      <c r="E53" s="50"/>
      <c r="F53" s="50" t="s">
        <v>338</v>
      </c>
      <c r="G53" s="55">
        <v>20000000</v>
      </c>
      <c r="H53" s="55"/>
      <c r="I53" s="55"/>
      <c r="J53" s="51">
        <v>1528000</v>
      </c>
      <c r="K53" s="51"/>
      <c r="L53" s="52">
        <v>45971</v>
      </c>
      <c r="M53" s="53">
        <v>45913</v>
      </c>
      <c r="N53" s="50" t="s">
        <v>155</v>
      </c>
      <c r="O53" s="50" t="s">
        <v>339</v>
      </c>
      <c r="P53" s="50" t="s">
        <v>338</v>
      </c>
      <c r="Q53" s="55" t="s">
        <v>340</v>
      </c>
      <c r="R53" s="55" t="s">
        <v>341</v>
      </c>
      <c r="S53" s="53">
        <v>47005</v>
      </c>
      <c r="T53" s="50"/>
      <c r="U53" s="50"/>
      <c r="V53" s="56"/>
      <c r="W53" s="56"/>
      <c r="X53" s="56"/>
      <c r="Y53" s="56"/>
      <c r="Z53" s="56"/>
      <c r="AA53" s="56"/>
      <c r="AB53" s="56"/>
    </row>
    <row x14ac:dyDescent="0.25" r="54" customHeight="1" ht="18.75">
      <c r="A54" s="79"/>
      <c r="B54" s="79"/>
      <c r="C54" s="80" t="s">
        <v>16</v>
      </c>
      <c r="D54" s="80" t="s">
        <v>114</v>
      </c>
      <c r="E54" s="80" t="s">
        <v>114</v>
      </c>
      <c r="F54" s="80" t="s">
        <v>980</v>
      </c>
      <c r="G54" s="81">
        <v>20000000</v>
      </c>
      <c r="H54" s="81"/>
      <c r="I54" s="81"/>
      <c r="J54" s="82"/>
      <c r="K54" s="82"/>
      <c r="L54" s="83">
        <v>46175</v>
      </c>
      <c r="M54" s="83">
        <v>46114</v>
      </c>
      <c r="N54" s="80" t="s">
        <v>239</v>
      </c>
      <c r="O54" s="80" t="s">
        <v>818</v>
      </c>
      <c r="P54" s="80" t="s">
        <v>980</v>
      </c>
      <c r="Q54" s="81" t="s">
        <v>981</v>
      </c>
      <c r="R54" s="81" t="s">
        <v>820</v>
      </c>
      <c r="S54" s="83">
        <v>47209</v>
      </c>
      <c r="T54" s="80" t="s">
        <v>982</v>
      </c>
      <c r="U54" s="80" t="s">
        <v>166</v>
      </c>
      <c r="V54" s="79"/>
      <c r="W54" s="79"/>
      <c r="X54" s="79"/>
      <c r="Y54" s="79"/>
      <c r="Z54" s="79"/>
      <c r="AA54" s="79"/>
      <c r="AB54" s="79"/>
    </row>
    <row x14ac:dyDescent="0.25" r="55" customHeight="1" ht="18.75">
      <c r="A55" s="48" t="s">
        <v>347</v>
      </c>
      <c r="B55" s="48"/>
      <c r="C55" s="50" t="s">
        <v>16</v>
      </c>
      <c r="D55" s="50" t="s">
        <v>114</v>
      </c>
      <c r="E55" s="50" t="s">
        <v>114</v>
      </c>
      <c r="F55" s="50" t="s">
        <v>348</v>
      </c>
      <c r="G55" s="55">
        <v>30000000</v>
      </c>
      <c r="H55" s="55"/>
      <c r="I55" s="55"/>
      <c r="J55" s="51">
        <v>2028000</v>
      </c>
      <c r="K55" s="51"/>
      <c r="L55" s="52">
        <v>46158</v>
      </c>
      <c r="M55" s="53">
        <v>46097</v>
      </c>
      <c r="N55" s="50" t="s">
        <v>212</v>
      </c>
      <c r="O55" s="50" t="s">
        <v>349</v>
      </c>
      <c r="P55" s="50" t="s">
        <v>348</v>
      </c>
      <c r="Q55" s="55" t="s">
        <v>350</v>
      </c>
      <c r="R55" s="55" t="s">
        <v>351</v>
      </c>
      <c r="S55" s="53">
        <v>47192</v>
      </c>
      <c r="T55" s="50"/>
      <c r="U55" s="50" t="s">
        <v>166</v>
      </c>
      <c r="V55" s="48" t="s">
        <v>352</v>
      </c>
      <c r="W55" s="56"/>
      <c r="X55" s="56"/>
      <c r="Y55" s="56"/>
      <c r="Z55" s="56"/>
      <c r="AA55" s="56"/>
      <c r="AB55" s="56"/>
    </row>
    <row x14ac:dyDescent="0.25" r="56" customHeight="1" ht="18.75">
      <c r="A56" s="48" t="s">
        <v>3232</v>
      </c>
      <c r="B56" s="48"/>
      <c r="C56" s="50" t="s">
        <v>16</v>
      </c>
      <c r="D56" s="50" t="s">
        <v>114</v>
      </c>
      <c r="E56" s="50" t="s">
        <v>114</v>
      </c>
      <c r="F56" s="50" t="s">
        <v>348</v>
      </c>
      <c r="G56" s="55">
        <v>30000000</v>
      </c>
      <c r="H56" s="55"/>
      <c r="I56" s="55"/>
      <c r="J56" s="51">
        <v>2028000</v>
      </c>
      <c r="K56" s="51"/>
      <c r="L56" s="52">
        <v>46158</v>
      </c>
      <c r="M56" s="53">
        <v>46097</v>
      </c>
      <c r="N56" s="50" t="s">
        <v>212</v>
      </c>
      <c r="O56" s="50" t="s">
        <v>349</v>
      </c>
      <c r="P56" s="50" t="s">
        <v>348</v>
      </c>
      <c r="Q56" s="55" t="s">
        <v>350</v>
      </c>
      <c r="R56" s="55" t="s">
        <v>351</v>
      </c>
      <c r="S56" s="53">
        <v>47192</v>
      </c>
      <c r="T56" s="50"/>
      <c r="U56" s="50" t="s">
        <v>166</v>
      </c>
      <c r="V56" s="48" t="s">
        <v>3233</v>
      </c>
      <c r="W56" s="56"/>
      <c r="X56" s="56"/>
      <c r="Y56" s="56"/>
      <c r="Z56" s="56"/>
      <c r="AA56" s="56"/>
      <c r="AB56" s="56"/>
    </row>
    <row x14ac:dyDescent="0.25" r="57" customHeight="1" ht="18.75">
      <c r="A57" s="56"/>
      <c r="B57" s="56"/>
      <c r="C57" s="50" t="s">
        <v>16</v>
      </c>
      <c r="D57" s="50" t="s">
        <v>114</v>
      </c>
      <c r="E57" s="50" t="s">
        <v>114</v>
      </c>
      <c r="F57" s="50" t="s">
        <v>353</v>
      </c>
      <c r="G57" s="55">
        <v>30000000</v>
      </c>
      <c r="H57" s="55"/>
      <c r="I57" s="55"/>
      <c r="J57" s="51">
        <v>2400000</v>
      </c>
      <c r="K57" s="51"/>
      <c r="L57" s="52">
        <v>45907</v>
      </c>
      <c r="M57" s="53">
        <v>45845</v>
      </c>
      <c r="N57" s="50" t="s">
        <v>168</v>
      </c>
      <c r="O57" s="50" t="s">
        <v>354</v>
      </c>
      <c r="P57" s="50" t="s">
        <v>353</v>
      </c>
      <c r="Q57" s="55" t="s">
        <v>355</v>
      </c>
      <c r="R57" s="55" t="s">
        <v>356</v>
      </c>
      <c r="S57" s="53">
        <v>46940</v>
      </c>
      <c r="T57" s="50"/>
      <c r="U57" s="50" t="s">
        <v>293</v>
      </c>
      <c r="V57" s="56"/>
      <c r="W57" s="56"/>
      <c r="X57" s="56"/>
      <c r="Y57" s="56"/>
      <c r="Z57" s="56"/>
      <c r="AA57" s="56"/>
      <c r="AB57" s="56"/>
    </row>
    <row x14ac:dyDescent="0.25" r="58" customHeight="1" ht="18.75">
      <c r="A58" s="79"/>
      <c r="B58" s="79"/>
      <c r="C58" s="80" t="s">
        <v>16</v>
      </c>
      <c r="D58" s="80" t="s">
        <v>114</v>
      </c>
      <c r="E58" s="80" t="s">
        <v>114</v>
      </c>
      <c r="F58" s="80" t="s">
        <v>1008</v>
      </c>
      <c r="G58" s="81">
        <v>20000000</v>
      </c>
      <c r="H58" s="81"/>
      <c r="I58" s="81"/>
      <c r="J58" s="82">
        <v>1528000</v>
      </c>
      <c r="K58" s="82"/>
      <c r="L58" s="83">
        <v>46175</v>
      </c>
      <c r="M58" s="83">
        <v>46114</v>
      </c>
      <c r="N58" s="80" t="s">
        <v>239</v>
      </c>
      <c r="O58" s="80" t="s">
        <v>818</v>
      </c>
      <c r="P58" s="80" t="s">
        <v>1008</v>
      </c>
      <c r="Q58" s="81" t="s">
        <v>1009</v>
      </c>
      <c r="R58" s="81" t="s">
        <v>820</v>
      </c>
      <c r="S58" s="83">
        <v>47209</v>
      </c>
      <c r="T58" s="80" t="s">
        <v>1010</v>
      </c>
      <c r="U58" s="80" t="s">
        <v>166</v>
      </c>
      <c r="V58" s="79"/>
      <c r="W58" s="79"/>
      <c r="X58" s="79"/>
      <c r="Y58" s="79"/>
      <c r="Z58" s="79"/>
      <c r="AA58" s="79"/>
      <c r="AB58" s="79"/>
    </row>
    <row x14ac:dyDescent="0.25" r="59" customHeight="1" ht="18.75">
      <c r="A59" s="56"/>
      <c r="B59" s="56"/>
      <c r="C59" s="50" t="s">
        <v>16</v>
      </c>
      <c r="D59" s="50"/>
      <c r="E59" s="50"/>
      <c r="F59" s="50" t="s">
        <v>363</v>
      </c>
      <c r="G59" s="55">
        <v>30000000</v>
      </c>
      <c r="H59" s="55"/>
      <c r="I59" s="55"/>
      <c r="J59" s="51">
        <v>4056000</v>
      </c>
      <c r="K59" s="51"/>
      <c r="L59" s="52">
        <v>46140</v>
      </c>
      <c r="M59" s="53">
        <v>46081</v>
      </c>
      <c r="N59" s="50" t="s">
        <v>306</v>
      </c>
      <c r="O59" s="50" t="s">
        <v>364</v>
      </c>
      <c r="P59" s="50" t="s">
        <v>363</v>
      </c>
      <c r="Q59" s="55" t="s">
        <v>365</v>
      </c>
      <c r="R59" s="55" t="s">
        <v>366</v>
      </c>
      <c r="S59" s="53">
        <v>47176</v>
      </c>
      <c r="T59" s="50" t="s">
        <v>367</v>
      </c>
      <c r="U59" s="50" t="s">
        <v>166</v>
      </c>
      <c r="V59" s="56"/>
      <c r="W59" s="56"/>
      <c r="X59" s="56"/>
      <c r="Y59" s="56"/>
      <c r="Z59" s="56"/>
      <c r="AA59" s="56"/>
      <c r="AB59" s="56"/>
    </row>
    <row x14ac:dyDescent="0.25" r="60" customHeight="1" ht="18.75">
      <c r="A60" s="56"/>
      <c r="B60" s="56"/>
      <c r="C60" s="50" t="s">
        <v>16</v>
      </c>
      <c r="D60" s="50" t="s">
        <v>153</v>
      </c>
      <c r="E60" s="50"/>
      <c r="F60" s="50" t="s">
        <v>368</v>
      </c>
      <c r="G60" s="55">
        <v>30000000</v>
      </c>
      <c r="H60" s="55"/>
      <c r="I60" s="55"/>
      <c r="J60" s="51">
        <v>2028000</v>
      </c>
      <c r="K60" s="51"/>
      <c r="L60" s="52">
        <v>46140</v>
      </c>
      <c r="M60" s="53">
        <v>46081</v>
      </c>
      <c r="N60" s="50" t="s">
        <v>217</v>
      </c>
      <c r="O60" s="50" t="s">
        <v>369</v>
      </c>
      <c r="P60" s="50" t="s">
        <v>368</v>
      </c>
      <c r="Q60" s="55" t="s">
        <v>370</v>
      </c>
      <c r="R60" s="55" t="s">
        <v>371</v>
      </c>
      <c r="S60" s="53">
        <v>47176</v>
      </c>
      <c r="T60" s="50" t="s">
        <v>372</v>
      </c>
      <c r="U60" s="50"/>
      <c r="V60" s="56"/>
      <c r="W60" s="56"/>
      <c r="X60" s="56"/>
      <c r="Y60" s="56"/>
      <c r="Z60" s="56"/>
      <c r="AA60" s="56"/>
      <c r="AB60" s="56"/>
    </row>
    <row x14ac:dyDescent="0.25" r="61" customHeight="1" ht="18.75">
      <c r="A61" s="56"/>
      <c r="B61" s="56"/>
      <c r="C61" s="50" t="s">
        <v>16</v>
      </c>
      <c r="D61" s="50"/>
      <c r="E61" s="50"/>
      <c r="F61" s="50" t="s">
        <v>373</v>
      </c>
      <c r="G61" s="55">
        <v>10000000</v>
      </c>
      <c r="H61" s="55"/>
      <c r="I61" s="55"/>
      <c r="J61" s="51">
        <v>800000</v>
      </c>
      <c r="K61" s="51"/>
      <c r="L61" s="52">
        <v>46116</v>
      </c>
      <c r="M61" s="53">
        <v>46057</v>
      </c>
      <c r="N61" s="50" t="s">
        <v>282</v>
      </c>
      <c r="O61" s="50" t="s">
        <v>374</v>
      </c>
      <c r="P61" s="50" t="s">
        <v>373</v>
      </c>
      <c r="Q61" s="55" t="s">
        <v>375</v>
      </c>
      <c r="R61" s="55" t="s">
        <v>376</v>
      </c>
      <c r="S61" s="53">
        <v>47152</v>
      </c>
      <c r="T61" s="50" t="s">
        <v>377</v>
      </c>
      <c r="U61" s="50" t="s">
        <v>166</v>
      </c>
      <c r="V61" s="56"/>
      <c r="W61" s="56"/>
      <c r="X61" s="56"/>
      <c r="Y61" s="56"/>
      <c r="Z61" s="56"/>
      <c r="AA61" s="56"/>
      <c r="AB61" s="56"/>
    </row>
    <row x14ac:dyDescent="0.25" r="62" customHeight="1" ht="18.75">
      <c r="A62" s="100" t="s">
        <v>708</v>
      </c>
      <c r="B62" s="100" t="s">
        <v>3224</v>
      </c>
      <c r="C62" s="101" t="s">
        <v>16</v>
      </c>
      <c r="D62" s="101" t="s">
        <v>114</v>
      </c>
      <c r="E62" s="101" t="s">
        <v>114</v>
      </c>
      <c r="F62" s="101" t="s">
        <v>1974</v>
      </c>
      <c r="G62" s="102">
        <v>10000000</v>
      </c>
      <c r="H62" s="102">
        <v>10000000</v>
      </c>
      <c r="I62" s="103">
        <v>46114</v>
      </c>
      <c r="J62" s="104">
        <v>800000</v>
      </c>
      <c r="K62" s="104">
        <v>2</v>
      </c>
      <c r="L62" s="103">
        <v>46175</v>
      </c>
      <c r="M62" s="103">
        <v>46114</v>
      </c>
      <c r="N62" s="101" t="s">
        <v>282</v>
      </c>
      <c r="O62" s="101" t="s">
        <v>3234</v>
      </c>
      <c r="P62" s="101" t="s">
        <v>1974</v>
      </c>
      <c r="Q62" s="102" t="s">
        <v>1976</v>
      </c>
      <c r="R62" s="102" t="s">
        <v>820</v>
      </c>
      <c r="S62" s="103">
        <v>47209</v>
      </c>
      <c r="T62" s="101" t="s">
        <v>1977</v>
      </c>
      <c r="U62" s="101" t="s">
        <v>166</v>
      </c>
      <c r="V62" s="100"/>
      <c r="W62" s="100"/>
      <c r="X62" s="100"/>
      <c r="Y62" s="100"/>
      <c r="Z62" s="100"/>
      <c r="AA62" s="100"/>
      <c r="AB62" s="100"/>
    </row>
    <row x14ac:dyDescent="0.25" r="63" customHeight="1" ht="18.75">
      <c r="A63" s="56"/>
      <c r="B63" s="56"/>
      <c r="C63" s="50" t="s">
        <v>16</v>
      </c>
      <c r="D63" s="50"/>
      <c r="E63" s="50"/>
      <c r="F63" s="50" t="s">
        <v>384</v>
      </c>
      <c r="G63" s="55">
        <v>30000000</v>
      </c>
      <c r="H63" s="55"/>
      <c r="I63" s="55"/>
      <c r="J63" s="51">
        <v>2028000</v>
      </c>
      <c r="K63" s="51"/>
      <c r="L63" s="52">
        <v>46162</v>
      </c>
      <c r="M63" s="53">
        <v>46101</v>
      </c>
      <c r="N63" s="50" t="s">
        <v>161</v>
      </c>
      <c r="O63" s="50" t="s">
        <v>385</v>
      </c>
      <c r="P63" s="50" t="s">
        <v>384</v>
      </c>
      <c r="Q63" s="55" t="s">
        <v>386</v>
      </c>
      <c r="R63" s="55" t="s">
        <v>387</v>
      </c>
      <c r="S63" s="53">
        <v>47196</v>
      </c>
      <c r="T63" s="50" t="s">
        <v>388</v>
      </c>
      <c r="U63" s="50" t="s">
        <v>166</v>
      </c>
      <c r="V63" s="56"/>
      <c r="W63" s="56"/>
      <c r="X63" s="56"/>
      <c r="Y63" s="56"/>
      <c r="Z63" s="56"/>
      <c r="AA63" s="56"/>
      <c r="AB63" s="56"/>
    </row>
    <row x14ac:dyDescent="0.25" r="64" customHeight="1" ht="18.75">
      <c r="A64" s="56"/>
      <c r="B64" s="56"/>
      <c r="C64" s="50" t="s">
        <v>16</v>
      </c>
      <c r="D64" s="50"/>
      <c r="E64" s="50"/>
      <c r="F64" s="50" t="s">
        <v>197</v>
      </c>
      <c r="G64" s="55">
        <v>10000000</v>
      </c>
      <c r="H64" s="55"/>
      <c r="I64" s="55"/>
      <c r="J64" s="51">
        <v>800000</v>
      </c>
      <c r="K64" s="51"/>
      <c r="L64" s="53">
        <v>46176</v>
      </c>
      <c r="M64" s="53">
        <v>46115</v>
      </c>
      <c r="N64" s="50" t="s">
        <v>161</v>
      </c>
      <c r="O64" s="50" t="s">
        <v>198</v>
      </c>
      <c r="P64" s="50" t="s">
        <v>197</v>
      </c>
      <c r="Q64" s="55" t="s">
        <v>199</v>
      </c>
      <c r="R64" s="55" t="s">
        <v>200</v>
      </c>
      <c r="S64" s="53">
        <v>47210</v>
      </c>
      <c r="T64" s="50" t="s">
        <v>201</v>
      </c>
      <c r="U64" s="50" t="s">
        <v>179</v>
      </c>
      <c r="V64" s="56"/>
      <c r="W64" s="56"/>
      <c r="X64" s="56"/>
      <c r="Y64" s="56"/>
      <c r="Z64" s="56"/>
      <c r="AA64" s="56"/>
      <c r="AB64" s="56"/>
    </row>
    <row x14ac:dyDescent="0.25" r="65" customHeight="1" ht="18.75">
      <c r="A65" s="100" t="s">
        <v>152</v>
      </c>
      <c r="B65" s="100" t="s">
        <v>3224</v>
      </c>
      <c r="C65" s="101" t="s">
        <v>16</v>
      </c>
      <c r="D65" s="101" t="s">
        <v>117</v>
      </c>
      <c r="E65" s="101" t="s">
        <v>117</v>
      </c>
      <c r="F65" s="101" t="s">
        <v>1050</v>
      </c>
      <c r="G65" s="104">
        <v>30000000</v>
      </c>
      <c r="H65" s="102">
        <v>5000000</v>
      </c>
      <c r="I65" s="103">
        <v>46055</v>
      </c>
      <c r="J65" s="104"/>
      <c r="K65" s="104"/>
      <c r="L65" s="103">
        <v>46115</v>
      </c>
      <c r="M65" s="103">
        <v>46115</v>
      </c>
      <c r="N65" s="101" t="s">
        <v>155</v>
      </c>
      <c r="O65" s="101" t="s">
        <v>1055</v>
      </c>
      <c r="P65" s="106">
        <f>IF(F65&gt;0,F65,"")</f>
      </c>
      <c r="Q65" s="102" t="s">
        <v>1056</v>
      </c>
      <c r="R65" s="102" t="s">
        <v>3235</v>
      </c>
      <c r="S65" s="103">
        <f>IF(ISNUMBER(M65), EDATE(M65,36)-1, "")</f>
        <v>25569.375</v>
      </c>
      <c r="T65" s="101"/>
      <c r="U65" s="101" t="s">
        <v>166</v>
      </c>
      <c r="V65" s="100" t="s">
        <v>3236</v>
      </c>
      <c r="W65" s="100"/>
      <c r="X65" s="100"/>
      <c r="Y65" s="100"/>
      <c r="Z65" s="100"/>
      <c r="AA65" s="100"/>
      <c r="AB65" s="100"/>
    </row>
    <row x14ac:dyDescent="0.25" r="66" customHeight="1" ht="18.75">
      <c r="A66" s="100" t="s">
        <v>152</v>
      </c>
      <c r="B66" s="100" t="s">
        <v>3224</v>
      </c>
      <c r="C66" s="101" t="s">
        <v>16</v>
      </c>
      <c r="D66" s="101" t="s">
        <v>117</v>
      </c>
      <c r="E66" s="101" t="s">
        <v>117</v>
      </c>
      <c r="F66" s="101" t="s">
        <v>1050</v>
      </c>
      <c r="G66" s="104">
        <v>30000000</v>
      </c>
      <c r="H66" s="102">
        <v>5000000</v>
      </c>
      <c r="I66" s="103">
        <v>46056</v>
      </c>
      <c r="J66" s="104"/>
      <c r="K66" s="104"/>
      <c r="L66" s="103">
        <v>46115</v>
      </c>
      <c r="M66" s="103">
        <v>46115</v>
      </c>
      <c r="N66" s="101" t="s">
        <v>155</v>
      </c>
      <c r="O66" s="101" t="s">
        <v>1055</v>
      </c>
      <c r="P66" s="106">
        <f>IF(F66&gt;0,F66,"")</f>
      </c>
      <c r="Q66" s="102" t="s">
        <v>1056</v>
      </c>
      <c r="R66" s="102" t="s">
        <v>3235</v>
      </c>
      <c r="S66" s="103">
        <f>IF(ISNUMBER(M66), EDATE(M66,36)-1, "")</f>
        <v>25569.375</v>
      </c>
      <c r="T66" s="101"/>
      <c r="U66" s="101" t="s">
        <v>166</v>
      </c>
      <c r="V66" s="100" t="s">
        <v>3236</v>
      </c>
      <c r="W66" s="100"/>
      <c r="X66" s="100"/>
      <c r="Y66" s="100"/>
      <c r="Z66" s="100"/>
      <c r="AA66" s="100"/>
      <c r="AB66" s="100"/>
    </row>
    <row x14ac:dyDescent="0.25" r="67" customHeight="1" ht="18.75">
      <c r="A67" s="100" t="s">
        <v>152</v>
      </c>
      <c r="B67" s="100" t="s">
        <v>3224</v>
      </c>
      <c r="C67" s="101" t="s">
        <v>16</v>
      </c>
      <c r="D67" s="101" t="s">
        <v>117</v>
      </c>
      <c r="E67" s="101" t="s">
        <v>117</v>
      </c>
      <c r="F67" s="101" t="s">
        <v>1050</v>
      </c>
      <c r="G67" s="104">
        <v>30000000</v>
      </c>
      <c r="H67" s="102">
        <v>10000000</v>
      </c>
      <c r="I67" s="103">
        <v>46125</v>
      </c>
      <c r="J67" s="104"/>
      <c r="K67" s="104"/>
      <c r="L67" s="103">
        <v>46186</v>
      </c>
      <c r="M67" s="103">
        <v>46115</v>
      </c>
      <c r="N67" s="101" t="s">
        <v>155</v>
      </c>
      <c r="O67" s="101" t="s">
        <v>1055</v>
      </c>
      <c r="P67" s="106">
        <f>IF(F67&gt;0,F67,"")</f>
      </c>
      <c r="Q67" s="102" t="s">
        <v>1056</v>
      </c>
      <c r="R67" s="102" t="s">
        <v>3235</v>
      </c>
      <c r="S67" s="103">
        <f>IF(ISNUMBER(M67), EDATE(M67,36)-1, "")</f>
        <v>25569.375</v>
      </c>
      <c r="T67" s="101"/>
      <c r="U67" s="101" t="s">
        <v>166</v>
      </c>
      <c r="V67" s="100" t="s">
        <v>3236</v>
      </c>
      <c r="W67" s="100"/>
      <c r="X67" s="100"/>
      <c r="Y67" s="100"/>
      <c r="Z67" s="100"/>
      <c r="AA67" s="100"/>
      <c r="AB67" s="100"/>
    </row>
    <row x14ac:dyDescent="0.25" r="68" customHeight="1" ht="18.75">
      <c r="A68" s="100" t="s">
        <v>152</v>
      </c>
      <c r="B68" s="100" t="s">
        <v>3224</v>
      </c>
      <c r="C68" s="101" t="s">
        <v>16</v>
      </c>
      <c r="D68" s="101" t="s">
        <v>117</v>
      </c>
      <c r="E68" s="101" t="s">
        <v>117</v>
      </c>
      <c r="F68" s="101" t="s">
        <v>1050</v>
      </c>
      <c r="G68" s="104">
        <v>30000000</v>
      </c>
      <c r="H68" s="102">
        <v>10000000</v>
      </c>
      <c r="I68" s="103">
        <v>46130</v>
      </c>
      <c r="J68" s="104"/>
      <c r="K68" s="104"/>
      <c r="L68" s="103">
        <v>46191</v>
      </c>
      <c r="M68" s="103">
        <v>46115</v>
      </c>
      <c r="N68" s="101" t="s">
        <v>155</v>
      </c>
      <c r="O68" s="101" t="s">
        <v>1055</v>
      </c>
      <c r="P68" s="106">
        <f>IF(F68&gt;0,F68,"")</f>
      </c>
      <c r="Q68" s="102" t="s">
        <v>1056</v>
      </c>
      <c r="R68" s="102" t="s">
        <v>3235</v>
      </c>
      <c r="S68" s="103">
        <f>IF(ISNUMBER(M68), EDATE(M68,36)-1, "")</f>
        <v>25569.375</v>
      </c>
      <c r="T68" s="101"/>
      <c r="U68" s="101" t="s">
        <v>166</v>
      </c>
      <c r="V68" s="100" t="s">
        <v>3236</v>
      </c>
      <c r="W68" s="100"/>
      <c r="X68" s="100"/>
      <c r="Y68" s="100"/>
      <c r="Z68" s="100"/>
      <c r="AA68" s="100"/>
      <c r="AB68" s="100"/>
    </row>
    <row x14ac:dyDescent="0.25" r="69" customHeight="1" ht="18.75">
      <c r="A69" s="100" t="s">
        <v>152</v>
      </c>
      <c r="B69" s="100" t="s">
        <v>3224</v>
      </c>
      <c r="C69" s="101" t="s">
        <v>16</v>
      </c>
      <c r="D69" s="101" t="s">
        <v>117</v>
      </c>
      <c r="E69" s="101" t="s">
        <v>117</v>
      </c>
      <c r="F69" s="101" t="s">
        <v>1050</v>
      </c>
      <c r="G69" s="104">
        <v>30000000</v>
      </c>
      <c r="H69" s="102">
        <v>30000000</v>
      </c>
      <c r="I69" s="103">
        <v>46122</v>
      </c>
      <c r="J69" s="104">
        <v>2028000</v>
      </c>
      <c r="K69" s="104">
        <v>10</v>
      </c>
      <c r="L69" s="103">
        <v>46183</v>
      </c>
      <c r="M69" s="103">
        <v>46115</v>
      </c>
      <c r="N69" s="101" t="s">
        <v>155</v>
      </c>
      <c r="O69" s="101" t="s">
        <v>1055</v>
      </c>
      <c r="P69" s="106">
        <f>IF(F69&gt;0,F69,"")</f>
      </c>
      <c r="Q69" s="102" t="s">
        <v>1056</v>
      </c>
      <c r="R69" s="102" t="s">
        <v>3235</v>
      </c>
      <c r="S69" s="103">
        <f>IF(ISNUMBER(M69), EDATE(M69,36)-1, "")</f>
        <v>25569.375</v>
      </c>
      <c r="T69" s="101"/>
      <c r="U69" s="101" t="s">
        <v>166</v>
      </c>
      <c r="V69" s="100" t="s">
        <v>3236</v>
      </c>
      <c r="W69" s="100"/>
      <c r="X69" s="100"/>
      <c r="Y69" s="100"/>
      <c r="Z69" s="100"/>
      <c r="AA69" s="100"/>
      <c r="AB69" s="100"/>
    </row>
    <row x14ac:dyDescent="0.25" r="70" customHeight="1" ht="18.75">
      <c r="A70" s="100" t="s">
        <v>708</v>
      </c>
      <c r="B70" s="100" t="s">
        <v>3224</v>
      </c>
      <c r="C70" s="101" t="s">
        <v>16</v>
      </c>
      <c r="D70" s="101" t="s">
        <v>2574</v>
      </c>
      <c r="E70" s="101" t="s">
        <v>2574</v>
      </c>
      <c r="F70" s="101" t="s">
        <v>51</v>
      </c>
      <c r="G70" s="102">
        <v>10000000</v>
      </c>
      <c r="H70" s="102">
        <v>10000000</v>
      </c>
      <c r="I70" s="103">
        <v>46115</v>
      </c>
      <c r="J70" s="104">
        <v>500000</v>
      </c>
      <c r="K70" s="104">
        <v>3</v>
      </c>
      <c r="L70" s="103">
        <v>46176</v>
      </c>
      <c r="M70" s="103">
        <v>46115</v>
      </c>
      <c r="N70" s="101" t="s">
        <v>182</v>
      </c>
      <c r="O70" s="101" t="s">
        <v>3237</v>
      </c>
      <c r="P70" s="101" t="s">
        <v>51</v>
      </c>
      <c r="Q70" s="102" t="s">
        <v>1464</v>
      </c>
      <c r="R70" s="102" t="s">
        <v>1465</v>
      </c>
      <c r="S70" s="103">
        <v>47210</v>
      </c>
      <c r="T70" s="101" t="s">
        <v>1466</v>
      </c>
      <c r="U70" s="101" t="s">
        <v>166</v>
      </c>
      <c r="V70" s="100"/>
      <c r="W70" s="100"/>
      <c r="X70" s="100"/>
      <c r="Y70" s="100"/>
      <c r="Z70" s="100"/>
      <c r="AA70" s="100"/>
      <c r="AB70" s="100"/>
    </row>
    <row x14ac:dyDescent="0.25" r="71" customHeight="1" ht="18.75">
      <c r="A71" s="56"/>
      <c r="B71" s="56"/>
      <c r="C71" s="50" t="s">
        <v>16</v>
      </c>
      <c r="D71" s="50"/>
      <c r="E71" s="50"/>
      <c r="F71" s="50" t="s">
        <v>400</v>
      </c>
      <c r="G71" s="55">
        <v>20000000</v>
      </c>
      <c r="H71" s="55"/>
      <c r="I71" s="55"/>
      <c r="J71" s="51">
        <v>1528000</v>
      </c>
      <c r="K71" s="51"/>
      <c r="L71" s="52">
        <v>46040</v>
      </c>
      <c r="M71" s="53">
        <v>45979</v>
      </c>
      <c r="N71" s="50" t="s">
        <v>212</v>
      </c>
      <c r="O71" s="50" t="s">
        <v>401</v>
      </c>
      <c r="P71" s="50" t="s">
        <v>400</v>
      </c>
      <c r="Q71" s="55" t="s">
        <v>402</v>
      </c>
      <c r="R71" s="55" t="s">
        <v>403</v>
      </c>
      <c r="S71" s="53">
        <v>47074</v>
      </c>
      <c r="T71" s="50"/>
      <c r="U71" s="50"/>
      <c r="V71" s="56"/>
      <c r="W71" s="56"/>
      <c r="X71" s="56"/>
      <c r="Y71" s="56"/>
      <c r="Z71" s="56"/>
      <c r="AA71" s="56"/>
      <c r="AB71" s="56"/>
    </row>
    <row x14ac:dyDescent="0.25" r="72" customHeight="1" ht="18.75">
      <c r="A72" s="71"/>
      <c r="B72" s="71"/>
      <c r="C72" s="72" t="s">
        <v>16</v>
      </c>
      <c r="D72" s="72"/>
      <c r="E72" s="72"/>
      <c r="F72" s="72" t="s">
        <v>255</v>
      </c>
      <c r="G72" s="73">
        <v>90000000</v>
      </c>
      <c r="H72" s="73"/>
      <c r="I72" s="73"/>
      <c r="J72" s="74"/>
      <c r="K72" s="74"/>
      <c r="L72" s="75">
        <v>45948</v>
      </c>
      <c r="M72" s="76">
        <v>45848</v>
      </c>
      <c r="N72" s="72" t="s">
        <v>155</v>
      </c>
      <c r="O72" s="72" t="s">
        <v>404</v>
      </c>
      <c r="P72" s="72" t="s">
        <v>255</v>
      </c>
      <c r="Q72" s="73" t="s">
        <v>219</v>
      </c>
      <c r="R72" s="73" t="s">
        <v>405</v>
      </c>
      <c r="S72" s="76">
        <v>46982</v>
      </c>
      <c r="T72" s="72"/>
      <c r="U72" s="72"/>
      <c r="V72" s="71"/>
      <c r="W72" s="56"/>
      <c r="X72" s="56"/>
      <c r="Y72" s="56"/>
      <c r="Z72" s="56"/>
      <c r="AA72" s="56"/>
      <c r="AB72" s="56"/>
    </row>
    <row x14ac:dyDescent="0.25" r="73" customHeight="1" ht="18.75">
      <c r="A73" s="56"/>
      <c r="B73" s="56"/>
      <c r="C73" s="50" t="s">
        <v>16</v>
      </c>
      <c r="D73" s="50"/>
      <c r="E73" s="50"/>
      <c r="F73" s="50" t="s">
        <v>406</v>
      </c>
      <c r="G73" s="55">
        <v>20000000</v>
      </c>
      <c r="H73" s="55"/>
      <c r="I73" s="55"/>
      <c r="J73" s="51">
        <v>1528000</v>
      </c>
      <c r="K73" s="51"/>
      <c r="L73" s="52">
        <v>46162</v>
      </c>
      <c r="M73" s="53">
        <v>46101</v>
      </c>
      <c r="N73" s="50" t="s">
        <v>161</v>
      </c>
      <c r="O73" s="50" t="s">
        <v>407</v>
      </c>
      <c r="P73" s="50" t="s">
        <v>406</v>
      </c>
      <c r="Q73" s="55" t="s">
        <v>408</v>
      </c>
      <c r="R73" s="55" t="s">
        <v>409</v>
      </c>
      <c r="S73" s="53">
        <v>47196</v>
      </c>
      <c r="T73" s="50"/>
      <c r="U73" s="50" t="s">
        <v>166</v>
      </c>
      <c r="V73" s="56"/>
      <c r="W73" s="56"/>
      <c r="X73" s="56"/>
      <c r="Y73" s="56"/>
      <c r="Z73" s="56"/>
      <c r="AA73" s="56"/>
      <c r="AB73" s="56"/>
    </row>
    <row x14ac:dyDescent="0.25" r="74" customHeight="1" ht="18.75">
      <c r="A74" s="100" t="s">
        <v>708</v>
      </c>
      <c r="B74" s="100" t="s">
        <v>3224</v>
      </c>
      <c r="C74" s="101" t="s">
        <v>16</v>
      </c>
      <c r="D74" s="101" t="s">
        <v>2574</v>
      </c>
      <c r="E74" s="101" t="s">
        <v>2574</v>
      </c>
      <c r="F74" s="101" t="s">
        <v>1885</v>
      </c>
      <c r="G74" s="102">
        <v>10000000</v>
      </c>
      <c r="H74" s="102">
        <v>10000000</v>
      </c>
      <c r="I74" s="103">
        <v>46115</v>
      </c>
      <c r="J74" s="104">
        <v>500000</v>
      </c>
      <c r="K74" s="104">
        <v>3</v>
      </c>
      <c r="L74" s="103">
        <v>46176</v>
      </c>
      <c r="M74" s="103">
        <v>46115</v>
      </c>
      <c r="N74" s="101" t="s">
        <v>580</v>
      </c>
      <c r="O74" s="101" t="s">
        <v>1886</v>
      </c>
      <c r="P74" s="101" t="s">
        <v>1885</v>
      </c>
      <c r="Q74" s="102" t="s">
        <v>1887</v>
      </c>
      <c r="R74" s="102" t="s">
        <v>1888</v>
      </c>
      <c r="S74" s="103">
        <v>47210</v>
      </c>
      <c r="T74" s="101" t="s">
        <v>1889</v>
      </c>
      <c r="U74" s="101" t="s">
        <v>166</v>
      </c>
      <c r="V74" s="100"/>
      <c r="W74" s="100"/>
      <c r="X74" s="100"/>
      <c r="Y74" s="100"/>
      <c r="Z74" s="100"/>
      <c r="AA74" s="100"/>
      <c r="AB74" s="100"/>
    </row>
    <row x14ac:dyDescent="0.25" r="75" customHeight="1" ht="18.75">
      <c r="A75" s="48" t="s">
        <v>418</v>
      </c>
      <c r="B75" s="48"/>
      <c r="C75" s="50" t="s">
        <v>16</v>
      </c>
      <c r="D75" s="50"/>
      <c r="E75" s="50"/>
      <c r="F75" s="50" t="s">
        <v>415</v>
      </c>
      <c r="G75" s="55">
        <v>10000000</v>
      </c>
      <c r="H75" s="55"/>
      <c r="I75" s="55"/>
      <c r="J75" s="51">
        <v>800000</v>
      </c>
      <c r="K75" s="51"/>
      <c r="L75" s="52">
        <v>46068</v>
      </c>
      <c r="M75" s="53">
        <v>46006</v>
      </c>
      <c r="N75" s="50" t="s">
        <v>205</v>
      </c>
      <c r="O75" s="50" t="s">
        <v>416</v>
      </c>
      <c r="P75" s="50" t="s">
        <v>415</v>
      </c>
      <c r="Q75" s="55" t="s">
        <v>417</v>
      </c>
      <c r="R75" s="55" t="s">
        <v>416</v>
      </c>
      <c r="S75" s="53">
        <v>47101</v>
      </c>
      <c r="T75" s="50"/>
      <c r="U75" s="50"/>
      <c r="V75" s="56"/>
      <c r="W75" s="56"/>
      <c r="X75" s="56"/>
      <c r="Y75" s="56"/>
      <c r="Z75" s="56"/>
      <c r="AA75" s="56"/>
      <c r="AB75" s="56"/>
    </row>
    <row x14ac:dyDescent="0.25" r="76" customHeight="1" ht="18.75">
      <c r="A76" s="56"/>
      <c r="B76" s="56"/>
      <c r="C76" s="50" t="s">
        <v>16</v>
      </c>
      <c r="D76" s="50" t="s">
        <v>419</v>
      </c>
      <c r="E76" s="50" t="s">
        <v>420</v>
      </c>
      <c r="F76" s="50" t="s">
        <v>421</v>
      </c>
      <c r="G76" s="55">
        <v>30000000</v>
      </c>
      <c r="H76" s="55"/>
      <c r="I76" s="55"/>
      <c r="J76" s="51">
        <v>2028000</v>
      </c>
      <c r="K76" s="51"/>
      <c r="L76" s="52">
        <v>46168</v>
      </c>
      <c r="M76" s="53">
        <v>46080</v>
      </c>
      <c r="N76" s="50" t="s">
        <v>155</v>
      </c>
      <c r="O76" s="50" t="s">
        <v>422</v>
      </c>
      <c r="P76" s="50" t="s">
        <v>421</v>
      </c>
      <c r="Q76" s="55" t="s">
        <v>423</v>
      </c>
      <c r="R76" s="85" t="s">
        <v>424</v>
      </c>
      <c r="S76" s="53">
        <v>47175</v>
      </c>
      <c r="T76" s="50" t="s">
        <v>425</v>
      </c>
      <c r="U76" s="50"/>
      <c r="V76" s="48" t="s">
        <v>426</v>
      </c>
      <c r="W76" s="56"/>
      <c r="X76" s="56"/>
      <c r="Y76" s="56"/>
      <c r="Z76" s="56"/>
      <c r="AA76" s="56"/>
      <c r="AB76" s="56"/>
    </row>
    <row x14ac:dyDescent="0.25" r="77" customHeight="1" ht="18.75">
      <c r="A77" s="56"/>
      <c r="B77" s="56"/>
      <c r="C77" s="50" t="s">
        <v>16</v>
      </c>
      <c r="D77" s="50" t="s">
        <v>427</v>
      </c>
      <c r="E77" s="50"/>
      <c r="F77" s="50" t="s">
        <v>421</v>
      </c>
      <c r="G77" s="55">
        <v>10000000</v>
      </c>
      <c r="H77" s="55"/>
      <c r="I77" s="55"/>
      <c r="J77" s="51">
        <v>800000</v>
      </c>
      <c r="K77" s="51"/>
      <c r="L77" s="52">
        <v>46156</v>
      </c>
      <c r="M77" s="53">
        <v>46095</v>
      </c>
      <c r="N77" s="50" t="s">
        <v>161</v>
      </c>
      <c r="O77" s="50" t="s">
        <v>428</v>
      </c>
      <c r="P77" s="50" t="s">
        <v>421</v>
      </c>
      <c r="Q77" s="55" t="s">
        <v>429</v>
      </c>
      <c r="R77" s="55" t="s">
        <v>430</v>
      </c>
      <c r="S77" s="53">
        <v>47190</v>
      </c>
      <c r="T77" s="50" t="s">
        <v>431</v>
      </c>
      <c r="U77" s="50" t="s">
        <v>166</v>
      </c>
      <c r="V77" s="48" t="s">
        <v>432</v>
      </c>
      <c r="W77" s="56"/>
      <c r="X77" s="56"/>
      <c r="Y77" s="56"/>
      <c r="Z77" s="56"/>
      <c r="AA77" s="56"/>
      <c r="AB77" s="56"/>
    </row>
    <row x14ac:dyDescent="0.25" r="78" customHeight="1" ht="18.75">
      <c r="A78" s="56"/>
      <c r="B78" s="56"/>
      <c r="C78" s="50" t="s">
        <v>16</v>
      </c>
      <c r="D78" s="50"/>
      <c r="E78" s="50"/>
      <c r="F78" s="50" t="s">
        <v>421</v>
      </c>
      <c r="G78" s="55">
        <v>30000000</v>
      </c>
      <c r="H78" s="55"/>
      <c r="I78" s="55"/>
      <c r="J78" s="51">
        <v>2028000</v>
      </c>
      <c r="K78" s="51"/>
      <c r="L78" s="52">
        <v>46168</v>
      </c>
      <c r="M78" s="53">
        <v>46107</v>
      </c>
      <c r="N78" s="50" t="s">
        <v>161</v>
      </c>
      <c r="O78" s="50" t="s">
        <v>422</v>
      </c>
      <c r="P78" s="50" t="s">
        <v>421</v>
      </c>
      <c r="Q78" s="55" t="s">
        <v>3239</v>
      </c>
      <c r="R78" s="55" t="s">
        <v>3240</v>
      </c>
      <c r="S78" s="53">
        <v>47202</v>
      </c>
      <c r="T78" s="50"/>
      <c r="U78" s="50" t="s">
        <v>166</v>
      </c>
      <c r="V78" s="48" t="s">
        <v>419</v>
      </c>
      <c r="W78" s="56"/>
      <c r="X78" s="56"/>
      <c r="Y78" s="56"/>
      <c r="Z78" s="56"/>
      <c r="AA78" s="56"/>
      <c r="AB78" s="56"/>
    </row>
    <row x14ac:dyDescent="0.25" r="79" customHeight="1" ht="18.75">
      <c r="A79" s="56"/>
      <c r="B79" s="56"/>
      <c r="C79" s="50" t="s">
        <v>16</v>
      </c>
      <c r="D79" s="50"/>
      <c r="E79" s="50" t="s">
        <v>18</v>
      </c>
      <c r="F79" s="50" t="s">
        <v>19</v>
      </c>
      <c r="G79" s="55">
        <v>60000000</v>
      </c>
      <c r="H79" s="55"/>
      <c r="I79" s="55"/>
      <c r="J79" s="51">
        <v>4056000</v>
      </c>
      <c r="K79" s="51"/>
      <c r="L79" s="52">
        <v>45408</v>
      </c>
      <c r="M79" s="53">
        <v>46079</v>
      </c>
      <c r="N79" s="50" t="s">
        <v>155</v>
      </c>
      <c r="O79" s="50" t="s">
        <v>433</v>
      </c>
      <c r="P79" s="50" t="s">
        <v>19</v>
      </c>
      <c r="Q79" s="55" t="s">
        <v>434</v>
      </c>
      <c r="R79" s="55" t="s">
        <v>435</v>
      </c>
      <c r="S79" s="53">
        <v>47233</v>
      </c>
      <c r="T79" s="50" t="s">
        <v>20</v>
      </c>
      <c r="U79" s="50"/>
      <c r="V79" s="56"/>
      <c r="W79" s="56"/>
      <c r="X79" s="56"/>
      <c r="Y79" s="56"/>
      <c r="Z79" s="56"/>
      <c r="AA79" s="56"/>
      <c r="AB79" s="56"/>
    </row>
    <row x14ac:dyDescent="0.25" r="80" customHeight="1" ht="18.75">
      <c r="A80" s="56"/>
      <c r="B80" s="56"/>
      <c r="C80" s="50" t="s">
        <v>16</v>
      </c>
      <c r="D80" s="50"/>
      <c r="E80" s="50" t="s">
        <v>22</v>
      </c>
      <c r="F80" s="50" t="s">
        <v>23</v>
      </c>
      <c r="G80" s="55">
        <v>20000000</v>
      </c>
      <c r="H80" s="55"/>
      <c r="I80" s="55"/>
      <c r="J80" s="51">
        <v>1528000</v>
      </c>
      <c r="K80" s="51"/>
      <c r="L80" s="52">
        <v>46152</v>
      </c>
      <c r="M80" s="53">
        <v>46091</v>
      </c>
      <c r="N80" s="50" t="s">
        <v>239</v>
      </c>
      <c r="O80" s="50" t="s">
        <v>436</v>
      </c>
      <c r="P80" s="50" t="s">
        <v>23</v>
      </c>
      <c r="Q80" s="55" t="s">
        <v>437</v>
      </c>
      <c r="R80" s="55" t="s">
        <v>438</v>
      </c>
      <c r="S80" s="53">
        <v>47186</v>
      </c>
      <c r="T80" s="50" t="s">
        <v>24</v>
      </c>
      <c r="U80" s="50" t="s">
        <v>293</v>
      </c>
      <c r="V80" s="56"/>
      <c r="W80" s="56"/>
      <c r="X80" s="56"/>
      <c r="Y80" s="56"/>
      <c r="Z80" s="56"/>
      <c r="AA80" s="56"/>
      <c r="AB80" s="56"/>
    </row>
    <row x14ac:dyDescent="0.25" r="81" customHeight="1" ht="18.75">
      <c r="A81" s="100" t="s">
        <v>708</v>
      </c>
      <c r="B81" s="100" t="s">
        <v>3224</v>
      </c>
      <c r="C81" s="101" t="s">
        <v>16</v>
      </c>
      <c r="D81" s="101" t="s">
        <v>2574</v>
      </c>
      <c r="E81" s="101" t="s">
        <v>2574</v>
      </c>
      <c r="F81" s="101" t="s">
        <v>2059</v>
      </c>
      <c r="G81" s="102">
        <v>10000000</v>
      </c>
      <c r="H81" s="102">
        <v>10000000</v>
      </c>
      <c r="I81" s="103">
        <v>46115</v>
      </c>
      <c r="J81" s="104"/>
      <c r="K81" s="104"/>
      <c r="L81" s="103">
        <v>46176</v>
      </c>
      <c r="M81" s="103">
        <v>46115</v>
      </c>
      <c r="N81" s="101" t="s">
        <v>161</v>
      </c>
      <c r="O81" s="101" t="s">
        <v>2094</v>
      </c>
      <c r="P81" s="101" t="s">
        <v>2059</v>
      </c>
      <c r="Q81" s="102" t="s">
        <v>2095</v>
      </c>
      <c r="R81" s="102" t="s">
        <v>2096</v>
      </c>
      <c r="S81" s="103">
        <v>47210</v>
      </c>
      <c r="T81" s="101"/>
      <c r="U81" s="101" t="s">
        <v>166</v>
      </c>
      <c r="V81" s="100" t="s">
        <v>2097</v>
      </c>
      <c r="W81" s="100"/>
      <c r="X81" s="100"/>
      <c r="Y81" s="100"/>
      <c r="Z81" s="100"/>
      <c r="AA81" s="100"/>
      <c r="AB81" s="100"/>
    </row>
    <row x14ac:dyDescent="0.25" r="82" customHeight="1" ht="18.75">
      <c r="A82" s="100" t="s">
        <v>708</v>
      </c>
      <c r="B82" s="100" t="s">
        <v>3224</v>
      </c>
      <c r="C82" s="101" t="s">
        <v>16</v>
      </c>
      <c r="D82" s="101" t="s">
        <v>2574</v>
      </c>
      <c r="E82" s="101" t="s">
        <v>2574</v>
      </c>
      <c r="F82" s="101" t="s">
        <v>2059</v>
      </c>
      <c r="G82" s="102">
        <v>10000000</v>
      </c>
      <c r="H82" s="102">
        <v>10000000</v>
      </c>
      <c r="I82" s="103">
        <v>46136</v>
      </c>
      <c r="J82" s="104"/>
      <c r="K82" s="104"/>
      <c r="L82" s="103">
        <v>46197</v>
      </c>
      <c r="M82" s="103">
        <v>46136</v>
      </c>
      <c r="N82" s="101" t="s">
        <v>161</v>
      </c>
      <c r="O82" s="101" t="s">
        <v>2094</v>
      </c>
      <c r="P82" s="101" t="s">
        <v>2059</v>
      </c>
      <c r="Q82" s="102" t="s">
        <v>2095</v>
      </c>
      <c r="R82" s="102" t="s">
        <v>2096</v>
      </c>
      <c r="S82" s="103">
        <v>47210</v>
      </c>
      <c r="T82" s="101"/>
      <c r="U82" s="101" t="s">
        <v>166</v>
      </c>
      <c r="V82" s="100" t="s">
        <v>2097</v>
      </c>
      <c r="W82" s="100"/>
      <c r="X82" s="100"/>
      <c r="Y82" s="100"/>
      <c r="Z82" s="100"/>
      <c r="AA82" s="100"/>
      <c r="AB82" s="100"/>
    </row>
    <row x14ac:dyDescent="0.25" r="83" customHeight="1" ht="18.75">
      <c r="A83" s="100" t="s">
        <v>708</v>
      </c>
      <c r="B83" s="100" t="s">
        <v>3224</v>
      </c>
      <c r="C83" s="101" t="s">
        <v>16</v>
      </c>
      <c r="D83" s="101" t="s">
        <v>2574</v>
      </c>
      <c r="E83" s="101" t="s">
        <v>2574</v>
      </c>
      <c r="F83" s="101" t="s">
        <v>2059</v>
      </c>
      <c r="G83" s="102">
        <v>20000000</v>
      </c>
      <c r="H83" s="102">
        <v>20000000</v>
      </c>
      <c r="I83" s="103">
        <v>46136</v>
      </c>
      <c r="J83" s="104">
        <v>1800000</v>
      </c>
      <c r="K83" s="104">
        <v>15</v>
      </c>
      <c r="L83" s="103">
        <v>46188</v>
      </c>
      <c r="M83" s="103">
        <v>46115</v>
      </c>
      <c r="N83" s="101" t="s">
        <v>161</v>
      </c>
      <c r="O83" s="101" t="s">
        <v>2094</v>
      </c>
      <c r="P83" s="101" t="s">
        <v>2059</v>
      </c>
      <c r="Q83" s="102" t="s">
        <v>2095</v>
      </c>
      <c r="R83" s="102" t="s">
        <v>2096</v>
      </c>
      <c r="S83" s="103">
        <v>47210</v>
      </c>
      <c r="T83" s="101"/>
      <c r="U83" s="101" t="s">
        <v>166</v>
      </c>
      <c r="V83" s="100" t="s">
        <v>2097</v>
      </c>
      <c r="W83" s="100"/>
      <c r="X83" s="100"/>
      <c r="Y83" s="100"/>
      <c r="Z83" s="100"/>
      <c r="AA83" s="100"/>
      <c r="AB83" s="100"/>
    </row>
    <row x14ac:dyDescent="0.25" r="84" customHeight="1" ht="18.75">
      <c r="A84" s="56"/>
      <c r="B84" s="56"/>
      <c r="C84" s="50" t="s">
        <v>16</v>
      </c>
      <c r="D84" s="50"/>
      <c r="E84" s="50" t="s">
        <v>22</v>
      </c>
      <c r="F84" s="50" t="s">
        <v>443</v>
      </c>
      <c r="G84" s="55">
        <v>10000000</v>
      </c>
      <c r="H84" s="55"/>
      <c r="I84" s="55"/>
      <c r="J84" s="51">
        <v>800000</v>
      </c>
      <c r="K84" s="51"/>
      <c r="L84" s="52">
        <v>46165</v>
      </c>
      <c r="M84" s="53">
        <v>46104</v>
      </c>
      <c r="N84" s="50" t="s">
        <v>217</v>
      </c>
      <c r="O84" s="50" t="s">
        <v>444</v>
      </c>
      <c r="P84" s="50" t="s">
        <v>443</v>
      </c>
      <c r="Q84" s="55" t="s">
        <v>445</v>
      </c>
      <c r="R84" s="55" t="s">
        <v>446</v>
      </c>
      <c r="S84" s="53">
        <v>47199</v>
      </c>
      <c r="T84" s="50" t="s">
        <v>447</v>
      </c>
      <c r="U84" s="50" t="s">
        <v>166</v>
      </c>
      <c r="V84" s="56"/>
      <c r="W84" s="56"/>
      <c r="X84" s="56"/>
      <c r="Y84" s="56"/>
      <c r="Z84" s="56"/>
      <c r="AA84" s="56"/>
      <c r="AB84" s="56"/>
    </row>
    <row x14ac:dyDescent="0.25" r="85" customHeight="1" ht="18.75">
      <c r="A85" s="71" t="s">
        <v>275</v>
      </c>
      <c r="B85" s="71"/>
      <c r="C85" s="72" t="s">
        <v>16</v>
      </c>
      <c r="D85" s="72"/>
      <c r="E85" s="72"/>
      <c r="F85" s="72" t="s">
        <v>443</v>
      </c>
      <c r="G85" s="73"/>
      <c r="H85" s="73"/>
      <c r="I85" s="73"/>
      <c r="J85" s="74"/>
      <c r="K85" s="74"/>
      <c r="L85" s="75" t="s">
        <v>449</v>
      </c>
      <c r="M85" s="76" t="s">
        <v>449</v>
      </c>
      <c r="N85" s="72"/>
      <c r="O85" s="72"/>
      <c r="P85" s="72" t="s">
        <v>443</v>
      </c>
      <c r="Q85" s="73" t="s">
        <v>445</v>
      </c>
      <c r="R85" s="73" t="s">
        <v>446</v>
      </c>
      <c r="S85" s="76" t="s">
        <v>449</v>
      </c>
      <c r="T85" s="72"/>
      <c r="U85" s="72"/>
      <c r="V85" s="71"/>
      <c r="W85" s="56"/>
      <c r="X85" s="56"/>
      <c r="Y85" s="56"/>
      <c r="Z85" s="56"/>
      <c r="AA85" s="56"/>
      <c r="AB85" s="56"/>
    </row>
    <row x14ac:dyDescent="0.25" r="86" customHeight="1" ht="18.75">
      <c r="A86" s="56"/>
      <c r="B86" s="56"/>
      <c r="C86" s="50" t="s">
        <v>16</v>
      </c>
      <c r="D86" s="50"/>
      <c r="E86" s="50"/>
      <c r="F86" s="50" t="s">
        <v>450</v>
      </c>
      <c r="G86" s="55">
        <v>10000000</v>
      </c>
      <c r="H86" s="55"/>
      <c r="I86" s="55"/>
      <c r="J86" s="51">
        <v>800000</v>
      </c>
      <c r="K86" s="51"/>
      <c r="L86" s="52">
        <v>46025</v>
      </c>
      <c r="M86" s="53">
        <v>45934</v>
      </c>
      <c r="N86" s="50" t="s">
        <v>239</v>
      </c>
      <c r="O86" s="50" t="s">
        <v>451</v>
      </c>
      <c r="P86" s="50" t="s">
        <v>450</v>
      </c>
      <c r="Q86" s="55" t="s">
        <v>452</v>
      </c>
      <c r="R86" s="55" t="s">
        <v>453</v>
      </c>
      <c r="S86" s="53">
        <v>47059</v>
      </c>
      <c r="T86" s="50"/>
      <c r="U86" s="50"/>
      <c r="V86" s="56"/>
      <c r="W86" s="56"/>
      <c r="X86" s="56"/>
      <c r="Y86" s="56"/>
      <c r="Z86" s="56"/>
      <c r="AA86" s="56"/>
      <c r="AB86" s="56"/>
    </row>
    <row x14ac:dyDescent="0.25" r="87" customHeight="1" ht="18.75">
      <c r="A87" s="100" t="s">
        <v>708</v>
      </c>
      <c r="B87" s="100" t="s">
        <v>3224</v>
      </c>
      <c r="C87" s="101" t="s">
        <v>16</v>
      </c>
      <c r="D87" s="101" t="s">
        <v>2574</v>
      </c>
      <c r="E87" s="101" t="s">
        <v>2574</v>
      </c>
      <c r="F87" s="101" t="s">
        <v>2103</v>
      </c>
      <c r="G87" s="102">
        <v>10000000</v>
      </c>
      <c r="H87" s="102">
        <v>10000000</v>
      </c>
      <c r="I87" s="103">
        <v>46115</v>
      </c>
      <c r="J87" s="104">
        <v>800000</v>
      </c>
      <c r="K87" s="104">
        <v>3</v>
      </c>
      <c r="L87" s="103">
        <v>46176</v>
      </c>
      <c r="M87" s="103">
        <v>46115</v>
      </c>
      <c r="N87" s="101" t="s">
        <v>2061</v>
      </c>
      <c r="O87" s="101" t="s">
        <v>2104</v>
      </c>
      <c r="P87" s="101" t="s">
        <v>2103</v>
      </c>
      <c r="Q87" s="102" t="s">
        <v>2105</v>
      </c>
      <c r="R87" s="102" t="s">
        <v>2106</v>
      </c>
      <c r="S87" s="103">
        <v>47210</v>
      </c>
      <c r="T87" s="101" t="s">
        <v>2107</v>
      </c>
      <c r="U87" s="101" t="s">
        <v>166</v>
      </c>
      <c r="V87" s="100"/>
      <c r="W87" s="100"/>
      <c r="X87" s="100"/>
      <c r="Y87" s="100"/>
      <c r="Z87" s="100"/>
      <c r="AA87" s="100"/>
      <c r="AB87" s="100"/>
    </row>
    <row x14ac:dyDescent="0.25" r="88" customHeight="1" ht="18.75">
      <c r="A88" s="63" t="s">
        <v>152</v>
      </c>
      <c r="B88" s="63"/>
      <c r="C88" s="49" t="s">
        <v>16</v>
      </c>
      <c r="D88" s="49" t="s">
        <v>454</v>
      </c>
      <c r="E88" s="49" t="s">
        <v>455</v>
      </c>
      <c r="F88" s="49" t="s">
        <v>456</v>
      </c>
      <c r="G88" s="64">
        <v>10000000</v>
      </c>
      <c r="H88" s="64"/>
      <c r="I88" s="64"/>
      <c r="J88" s="65">
        <f>IF(G88&gt;0,_xludf.IFS(G88=10000000,800000,G88=20000000,1528000,G88=30000000,2028000,G88=60000000,4056000),"")</f>
      </c>
      <c r="K88" s="64"/>
      <c r="L88" s="66">
        <v>46154</v>
      </c>
      <c r="M88" s="67">
        <f>IF(L88&gt;0,EDATE(L88,-2),"")</f>
        <v>25569.375</v>
      </c>
      <c r="N88" s="49" t="s">
        <v>155</v>
      </c>
      <c r="O88" s="49" t="s">
        <v>457</v>
      </c>
      <c r="P88" s="68">
        <f>IF(F88&gt;0,F88,"")</f>
      </c>
      <c r="Q88" s="69" t="s">
        <v>458</v>
      </c>
      <c r="R88" s="69">
        <v>75228985</v>
      </c>
      <c r="S88" s="67">
        <f>IF(ISNUMBER(M88), EDATE(M88,36)-1, "")</f>
        <v>25569.375</v>
      </c>
      <c r="T88" s="49"/>
      <c r="U88" s="49"/>
      <c r="V88" s="63" t="s">
        <v>459</v>
      </c>
      <c r="W88" s="56"/>
      <c r="X88" s="56"/>
      <c r="Y88" s="56"/>
      <c r="Z88" s="56"/>
      <c r="AA88" s="56"/>
      <c r="AB88" s="56"/>
    </row>
    <row x14ac:dyDescent="0.25" r="89" customHeight="1" ht="18.75">
      <c r="A89" s="56"/>
      <c r="B89" s="56"/>
      <c r="C89" s="50" t="s">
        <v>16</v>
      </c>
      <c r="D89" s="50" t="s">
        <v>454</v>
      </c>
      <c r="E89" s="50"/>
      <c r="F89" s="50" t="s">
        <v>460</v>
      </c>
      <c r="G89" s="55">
        <v>10000000</v>
      </c>
      <c r="H89" s="55"/>
      <c r="I89" s="55"/>
      <c r="J89" s="51">
        <v>800000</v>
      </c>
      <c r="K89" s="51"/>
      <c r="L89" s="52">
        <v>46154</v>
      </c>
      <c r="M89" s="53">
        <v>46093</v>
      </c>
      <c r="N89" s="50" t="s">
        <v>155</v>
      </c>
      <c r="O89" s="50" t="s">
        <v>461</v>
      </c>
      <c r="P89" s="50" t="s">
        <v>460</v>
      </c>
      <c r="Q89" s="55" t="s">
        <v>462</v>
      </c>
      <c r="R89" s="55" t="s">
        <v>463</v>
      </c>
      <c r="S89" s="53">
        <v>47188</v>
      </c>
      <c r="T89" s="50"/>
      <c r="U89" s="50"/>
      <c r="V89" s="56"/>
      <c r="W89" s="56"/>
      <c r="X89" s="56"/>
      <c r="Y89" s="56"/>
      <c r="Z89" s="56"/>
      <c r="AA89" s="56"/>
      <c r="AB89" s="56"/>
    </row>
    <row x14ac:dyDescent="0.25" r="90" customHeight="1" ht="18.75">
      <c r="A90" s="56"/>
      <c r="B90" s="56"/>
      <c r="C90" s="50" t="s">
        <v>16</v>
      </c>
      <c r="D90" s="50" t="s">
        <v>143</v>
      </c>
      <c r="E90" s="50" t="s">
        <v>22</v>
      </c>
      <c r="F90" s="50" t="s">
        <v>464</v>
      </c>
      <c r="G90" s="55">
        <v>10000000</v>
      </c>
      <c r="H90" s="55"/>
      <c r="I90" s="55"/>
      <c r="J90" s="51">
        <v>800000</v>
      </c>
      <c r="K90" s="51"/>
      <c r="L90" s="52">
        <v>46166</v>
      </c>
      <c r="M90" s="53">
        <v>46105</v>
      </c>
      <c r="N90" s="50" t="s">
        <v>161</v>
      </c>
      <c r="O90" s="50" t="s">
        <v>465</v>
      </c>
      <c r="P90" s="50" t="s">
        <v>464</v>
      </c>
      <c r="Q90" s="55" t="s">
        <v>466</v>
      </c>
      <c r="R90" s="55" t="s">
        <v>467</v>
      </c>
      <c r="S90" s="53">
        <v>47200</v>
      </c>
      <c r="T90" s="50" t="s">
        <v>468</v>
      </c>
      <c r="U90" s="50" t="s">
        <v>469</v>
      </c>
      <c r="V90" s="56"/>
      <c r="W90" s="56"/>
      <c r="X90" s="56"/>
      <c r="Y90" s="56"/>
      <c r="Z90" s="56"/>
      <c r="AA90" s="56"/>
      <c r="AB90" s="56"/>
    </row>
    <row x14ac:dyDescent="0.25" r="91" customHeight="1" ht="18.75">
      <c r="A91" s="100" t="s">
        <v>708</v>
      </c>
      <c r="B91" s="100" t="s">
        <v>3224</v>
      </c>
      <c r="C91" s="101" t="s">
        <v>16</v>
      </c>
      <c r="D91" s="101" t="s">
        <v>14</v>
      </c>
      <c r="E91" s="101" t="s">
        <v>22</v>
      </c>
      <c r="F91" s="101" t="s">
        <v>2599</v>
      </c>
      <c r="G91" s="102">
        <v>10000000</v>
      </c>
      <c r="H91" s="102">
        <v>10000000</v>
      </c>
      <c r="I91" s="103">
        <v>46115</v>
      </c>
      <c r="J91" s="104">
        <v>800000</v>
      </c>
      <c r="K91" s="104">
        <v>3</v>
      </c>
      <c r="L91" s="103">
        <v>46176</v>
      </c>
      <c r="M91" s="103">
        <v>46115</v>
      </c>
      <c r="N91" s="101" t="s">
        <v>182</v>
      </c>
      <c r="O91" s="101" t="s">
        <v>3241</v>
      </c>
      <c r="P91" s="101" t="s">
        <v>2599</v>
      </c>
      <c r="Q91" s="102" t="s">
        <v>2601</v>
      </c>
      <c r="R91" s="102" t="s">
        <v>2602</v>
      </c>
      <c r="S91" s="103">
        <v>47210</v>
      </c>
      <c r="T91" s="101" t="s">
        <v>2603</v>
      </c>
      <c r="U91" s="101" t="s">
        <v>166</v>
      </c>
      <c r="V91" s="100"/>
      <c r="W91" s="100"/>
      <c r="X91" s="100"/>
      <c r="Y91" s="100"/>
      <c r="Z91" s="100"/>
      <c r="AA91" s="100"/>
      <c r="AB91" s="100"/>
    </row>
    <row x14ac:dyDescent="0.25" r="92" customHeight="1" ht="18.75">
      <c r="A92" s="100" t="s">
        <v>708</v>
      </c>
      <c r="B92" s="100" t="s">
        <v>3224</v>
      </c>
      <c r="C92" s="101" t="s">
        <v>16</v>
      </c>
      <c r="D92" s="101" t="s">
        <v>56</v>
      </c>
      <c r="E92" s="101" t="s">
        <v>57</v>
      </c>
      <c r="F92" s="101" t="s">
        <v>2986</v>
      </c>
      <c r="G92" s="102">
        <v>1000000</v>
      </c>
      <c r="H92" s="102">
        <v>1000000</v>
      </c>
      <c r="I92" s="103">
        <v>46098</v>
      </c>
      <c r="J92" s="104"/>
      <c r="K92" s="104"/>
      <c r="L92" s="103">
        <v>46174</v>
      </c>
      <c r="M92" s="103">
        <v>46115</v>
      </c>
      <c r="N92" s="101" t="s">
        <v>161</v>
      </c>
      <c r="O92" s="101" t="s">
        <v>2991</v>
      </c>
      <c r="P92" s="101" t="s">
        <v>2986</v>
      </c>
      <c r="Q92" s="102" t="s">
        <v>2988</v>
      </c>
      <c r="R92" s="102" t="s">
        <v>2989</v>
      </c>
      <c r="S92" s="103">
        <v>47209</v>
      </c>
      <c r="T92" s="101" t="s">
        <v>2992</v>
      </c>
      <c r="U92" s="101" t="s">
        <v>166</v>
      </c>
      <c r="V92" s="100"/>
      <c r="W92" s="100"/>
      <c r="X92" s="100"/>
      <c r="Y92" s="100"/>
      <c r="Z92" s="100"/>
      <c r="AA92" s="100"/>
      <c r="AB92" s="100"/>
    </row>
    <row x14ac:dyDescent="0.25" r="93" customHeight="1" ht="18.75">
      <c r="A93" s="100" t="s">
        <v>708</v>
      </c>
      <c r="B93" s="100" t="s">
        <v>3224</v>
      </c>
      <c r="C93" s="101" t="s">
        <v>16</v>
      </c>
      <c r="D93" s="101" t="s">
        <v>56</v>
      </c>
      <c r="E93" s="101" t="s">
        <v>57</v>
      </c>
      <c r="F93" s="101" t="s">
        <v>2986</v>
      </c>
      <c r="G93" s="102">
        <v>30000000</v>
      </c>
      <c r="H93" s="102">
        <v>30000000</v>
      </c>
      <c r="I93" s="103">
        <v>46111</v>
      </c>
      <c r="J93" s="104"/>
      <c r="K93" s="104"/>
      <c r="L93" s="103">
        <v>46174</v>
      </c>
      <c r="M93" s="103">
        <v>46115</v>
      </c>
      <c r="N93" s="101" t="s">
        <v>161</v>
      </c>
      <c r="O93" s="101" t="s">
        <v>2991</v>
      </c>
      <c r="P93" s="101" t="s">
        <v>2986</v>
      </c>
      <c r="Q93" s="102" t="s">
        <v>2988</v>
      </c>
      <c r="R93" s="102" t="s">
        <v>2989</v>
      </c>
      <c r="S93" s="103">
        <v>47209</v>
      </c>
      <c r="T93" s="101" t="s">
        <v>2992</v>
      </c>
      <c r="U93" s="101" t="s">
        <v>166</v>
      </c>
      <c r="V93" s="100"/>
      <c r="W93" s="100"/>
      <c r="X93" s="100"/>
      <c r="Y93" s="100"/>
      <c r="Z93" s="100"/>
      <c r="AA93" s="100"/>
      <c r="AB93" s="100"/>
    </row>
    <row x14ac:dyDescent="0.25" r="94" customHeight="1" ht="18.75">
      <c r="A94" s="100" t="s">
        <v>708</v>
      </c>
      <c r="B94" s="100" t="s">
        <v>3224</v>
      </c>
      <c r="C94" s="101" t="s">
        <v>16</v>
      </c>
      <c r="D94" s="101" t="s">
        <v>56</v>
      </c>
      <c r="E94" s="101" t="s">
        <v>57</v>
      </c>
      <c r="F94" s="101" t="s">
        <v>2986</v>
      </c>
      <c r="G94" s="102">
        <v>20000000</v>
      </c>
      <c r="H94" s="102">
        <v>9000000</v>
      </c>
      <c r="I94" s="103">
        <v>46114</v>
      </c>
      <c r="J94" s="104"/>
      <c r="K94" s="104"/>
      <c r="L94" s="103">
        <v>46174</v>
      </c>
      <c r="M94" s="103">
        <v>46115</v>
      </c>
      <c r="N94" s="101" t="s">
        <v>161</v>
      </c>
      <c r="O94" s="101" t="s">
        <v>2991</v>
      </c>
      <c r="P94" s="101" t="s">
        <v>2986</v>
      </c>
      <c r="Q94" s="102" t="s">
        <v>2988</v>
      </c>
      <c r="R94" s="102" t="s">
        <v>2989</v>
      </c>
      <c r="S94" s="103">
        <v>47209</v>
      </c>
      <c r="T94" s="101" t="s">
        <v>2992</v>
      </c>
      <c r="U94" s="101" t="s">
        <v>166</v>
      </c>
      <c r="V94" s="100"/>
      <c r="W94" s="100"/>
      <c r="X94" s="100"/>
      <c r="Y94" s="100"/>
      <c r="Z94" s="100"/>
      <c r="AA94" s="100"/>
      <c r="AB94" s="100"/>
    </row>
    <row x14ac:dyDescent="0.25" r="95" customHeight="1" ht="18.75">
      <c r="A95" s="100" t="s">
        <v>708</v>
      </c>
      <c r="B95" s="100" t="s">
        <v>3224</v>
      </c>
      <c r="C95" s="101" t="s">
        <v>16</v>
      </c>
      <c r="D95" s="101" t="s">
        <v>56</v>
      </c>
      <c r="E95" s="101" t="s">
        <v>57</v>
      </c>
      <c r="F95" s="101" t="s">
        <v>2986</v>
      </c>
      <c r="G95" s="102">
        <v>9000000</v>
      </c>
      <c r="H95" s="102">
        <v>20000000</v>
      </c>
      <c r="I95" s="103">
        <v>46115</v>
      </c>
      <c r="J95" s="104"/>
      <c r="K95" s="104"/>
      <c r="L95" s="103">
        <v>46174</v>
      </c>
      <c r="M95" s="103">
        <v>46115</v>
      </c>
      <c r="N95" s="101" t="s">
        <v>161</v>
      </c>
      <c r="O95" s="101" t="s">
        <v>2991</v>
      </c>
      <c r="P95" s="101" t="s">
        <v>2986</v>
      </c>
      <c r="Q95" s="102" t="s">
        <v>2988</v>
      </c>
      <c r="R95" s="102" t="s">
        <v>2989</v>
      </c>
      <c r="S95" s="103">
        <v>47209</v>
      </c>
      <c r="T95" s="101" t="s">
        <v>2992</v>
      </c>
      <c r="U95" s="101" t="s">
        <v>166</v>
      </c>
      <c r="V95" s="100"/>
      <c r="W95" s="100"/>
      <c r="X95" s="100"/>
      <c r="Y95" s="100"/>
      <c r="Z95" s="100"/>
      <c r="AA95" s="100"/>
      <c r="AB95" s="100"/>
    </row>
    <row x14ac:dyDescent="0.25" r="96" customHeight="1" ht="18.75">
      <c r="A96" s="100" t="s">
        <v>708</v>
      </c>
      <c r="B96" s="100" t="s">
        <v>3224</v>
      </c>
      <c r="C96" s="101" t="s">
        <v>16</v>
      </c>
      <c r="D96" s="101" t="s">
        <v>56</v>
      </c>
      <c r="E96" s="101" t="s">
        <v>57</v>
      </c>
      <c r="F96" s="101" t="s">
        <v>2986</v>
      </c>
      <c r="G96" s="102">
        <v>60000000</v>
      </c>
      <c r="H96" s="102">
        <v>60000000</v>
      </c>
      <c r="I96" s="103">
        <v>46115</v>
      </c>
      <c r="J96" s="104">
        <v>4056000</v>
      </c>
      <c r="K96" s="104">
        <v>2</v>
      </c>
      <c r="L96" s="103">
        <v>46174</v>
      </c>
      <c r="M96" s="103">
        <v>46115</v>
      </c>
      <c r="N96" s="101" t="s">
        <v>161</v>
      </c>
      <c r="O96" s="101" t="s">
        <v>2991</v>
      </c>
      <c r="P96" s="101" t="s">
        <v>2986</v>
      </c>
      <c r="Q96" s="102" t="s">
        <v>2988</v>
      </c>
      <c r="R96" s="102" t="s">
        <v>2989</v>
      </c>
      <c r="S96" s="103">
        <v>47209</v>
      </c>
      <c r="T96" s="101" t="s">
        <v>2992</v>
      </c>
      <c r="U96" s="101" t="s">
        <v>166</v>
      </c>
      <c r="V96" s="100"/>
      <c r="W96" s="100"/>
      <c r="X96" s="100"/>
      <c r="Y96" s="100"/>
      <c r="Z96" s="100"/>
      <c r="AA96" s="100"/>
      <c r="AB96" s="100"/>
    </row>
    <row x14ac:dyDescent="0.25" r="97" customHeight="1" ht="18.75">
      <c r="A97" s="56"/>
      <c r="B97" s="56"/>
      <c r="C97" s="50" t="s">
        <v>16</v>
      </c>
      <c r="D97" s="50"/>
      <c r="E97" s="50" t="s">
        <v>476</v>
      </c>
      <c r="F97" s="50" t="s">
        <v>477</v>
      </c>
      <c r="G97" s="55">
        <v>10000000</v>
      </c>
      <c r="H97" s="55"/>
      <c r="I97" s="55"/>
      <c r="J97" s="51">
        <v>800000</v>
      </c>
      <c r="K97" s="51"/>
      <c r="L97" s="52">
        <v>46102</v>
      </c>
      <c r="M97" s="53">
        <v>46043</v>
      </c>
      <c r="N97" s="50" t="s">
        <v>155</v>
      </c>
      <c r="O97" s="50" t="s">
        <v>478</v>
      </c>
      <c r="P97" s="50" t="s">
        <v>477</v>
      </c>
      <c r="Q97" s="55" t="s">
        <v>479</v>
      </c>
      <c r="R97" s="55" t="s">
        <v>480</v>
      </c>
      <c r="S97" s="53">
        <v>47138</v>
      </c>
      <c r="T97" s="50"/>
      <c r="U97" s="50" t="s">
        <v>332</v>
      </c>
      <c r="V97" s="56"/>
      <c r="W97" s="56"/>
      <c r="X97" s="56"/>
      <c r="Y97" s="56"/>
      <c r="Z97" s="56"/>
      <c r="AA97" s="56"/>
      <c r="AB97" s="56"/>
    </row>
    <row x14ac:dyDescent="0.25" r="98" customHeight="1" ht="18.75">
      <c r="A98" s="100" t="s">
        <v>708</v>
      </c>
      <c r="B98" s="100" t="s">
        <v>3224</v>
      </c>
      <c r="C98" s="101" t="s">
        <v>16</v>
      </c>
      <c r="D98" s="101" t="s">
        <v>3242</v>
      </c>
      <c r="E98" s="101" t="s">
        <v>2770</v>
      </c>
      <c r="F98" s="101" t="s">
        <v>29</v>
      </c>
      <c r="G98" s="102">
        <v>10000000</v>
      </c>
      <c r="H98" s="102">
        <v>10000000</v>
      </c>
      <c r="I98" s="103">
        <v>46116</v>
      </c>
      <c r="J98" s="104">
        <v>500000</v>
      </c>
      <c r="K98" s="104">
        <v>5</v>
      </c>
      <c r="L98" s="103">
        <v>46177</v>
      </c>
      <c r="M98" s="103">
        <v>46116</v>
      </c>
      <c r="N98" s="101" t="s">
        <v>3243</v>
      </c>
      <c r="O98" s="101" t="s">
        <v>3244</v>
      </c>
      <c r="P98" s="101" t="s">
        <v>29</v>
      </c>
      <c r="Q98" s="102" t="s">
        <v>3245</v>
      </c>
      <c r="R98" s="102" t="s">
        <v>558</v>
      </c>
      <c r="S98" s="103">
        <v>47211</v>
      </c>
      <c r="T98" s="101" t="s">
        <v>559</v>
      </c>
      <c r="U98" s="101" t="s">
        <v>166</v>
      </c>
      <c r="V98" s="100"/>
      <c r="W98" s="100"/>
      <c r="X98" s="100"/>
      <c r="Y98" s="100"/>
      <c r="Z98" s="100"/>
      <c r="AA98" s="100"/>
      <c r="AB98" s="100"/>
    </row>
    <row x14ac:dyDescent="0.25" r="99" customHeight="1" ht="18.75">
      <c r="A99" s="56"/>
      <c r="B99" s="56"/>
      <c r="C99" s="50" t="s">
        <v>16</v>
      </c>
      <c r="D99" s="50"/>
      <c r="E99" s="50"/>
      <c r="F99" s="50" t="s">
        <v>487</v>
      </c>
      <c r="G99" s="55">
        <v>20000000</v>
      </c>
      <c r="H99" s="55"/>
      <c r="I99" s="55"/>
      <c r="J99" s="51">
        <v>1528000</v>
      </c>
      <c r="K99" s="51"/>
      <c r="L99" s="52">
        <v>46074</v>
      </c>
      <c r="M99" s="53">
        <v>46012</v>
      </c>
      <c r="N99" s="50" t="s">
        <v>168</v>
      </c>
      <c r="O99" s="50" t="s">
        <v>488</v>
      </c>
      <c r="P99" s="50" t="s">
        <v>487</v>
      </c>
      <c r="Q99" s="55" t="s">
        <v>489</v>
      </c>
      <c r="R99" s="55" t="s">
        <v>490</v>
      </c>
      <c r="S99" s="53">
        <v>47107</v>
      </c>
      <c r="T99" s="50"/>
      <c r="U99" s="50"/>
      <c r="V99" s="56"/>
      <c r="W99" s="56"/>
      <c r="X99" s="56"/>
      <c r="Y99" s="56"/>
      <c r="Z99" s="56"/>
      <c r="AA99" s="56"/>
      <c r="AB99" s="56"/>
    </row>
    <row x14ac:dyDescent="0.25" r="100" customHeight="1" ht="18.75">
      <c r="A100" s="56"/>
      <c r="B100" s="56"/>
      <c r="C100" s="50" t="s">
        <v>16</v>
      </c>
      <c r="D100" s="50"/>
      <c r="E100" s="50" t="s">
        <v>126</v>
      </c>
      <c r="F100" s="50" t="s">
        <v>491</v>
      </c>
      <c r="G100" s="55">
        <v>10000000</v>
      </c>
      <c r="H100" s="55"/>
      <c r="I100" s="55"/>
      <c r="J100" s="51">
        <v>800000</v>
      </c>
      <c r="K100" s="51"/>
      <c r="L100" s="52">
        <v>46130</v>
      </c>
      <c r="M100" s="53">
        <v>46071</v>
      </c>
      <c r="N100" s="50" t="s">
        <v>282</v>
      </c>
      <c r="O100" s="50" t="s">
        <v>492</v>
      </c>
      <c r="P100" s="50" t="s">
        <v>491</v>
      </c>
      <c r="Q100" s="55" t="s">
        <v>493</v>
      </c>
      <c r="R100" s="55" t="s">
        <v>494</v>
      </c>
      <c r="S100" s="53">
        <v>47166</v>
      </c>
      <c r="T100" s="50" t="s">
        <v>495</v>
      </c>
      <c r="U100" s="50" t="s">
        <v>166</v>
      </c>
      <c r="V100" s="48" t="s">
        <v>496</v>
      </c>
      <c r="W100" s="56"/>
      <c r="X100" s="56"/>
      <c r="Y100" s="56"/>
      <c r="Z100" s="56"/>
      <c r="AA100" s="56"/>
      <c r="AB100" s="56"/>
    </row>
    <row x14ac:dyDescent="0.25" r="101" customHeight="1" ht="18.75">
      <c r="A101" s="100" t="s">
        <v>708</v>
      </c>
      <c r="B101" s="100" t="s">
        <v>3224</v>
      </c>
      <c r="C101" s="101" t="s">
        <v>16</v>
      </c>
      <c r="D101" s="101" t="s">
        <v>14</v>
      </c>
      <c r="E101" s="101" t="s">
        <v>22</v>
      </c>
      <c r="F101" s="101" t="s">
        <v>776</v>
      </c>
      <c r="G101" s="102">
        <v>10000000</v>
      </c>
      <c r="H101" s="102">
        <v>10000000</v>
      </c>
      <c r="I101" s="103">
        <v>46116</v>
      </c>
      <c r="J101" s="104">
        <v>800000</v>
      </c>
      <c r="K101" s="104">
        <v>4</v>
      </c>
      <c r="L101" s="103">
        <v>46177</v>
      </c>
      <c r="M101" s="103">
        <v>46116</v>
      </c>
      <c r="N101" s="101" t="s">
        <v>940</v>
      </c>
      <c r="O101" s="101" t="s">
        <v>777</v>
      </c>
      <c r="P101" s="101" t="s">
        <v>776</v>
      </c>
      <c r="Q101" s="102" t="s">
        <v>493</v>
      </c>
      <c r="R101" s="102" t="s">
        <v>779</v>
      </c>
      <c r="S101" s="103">
        <v>47211</v>
      </c>
      <c r="T101" s="101" t="s">
        <v>780</v>
      </c>
      <c r="U101" s="101" t="s">
        <v>166</v>
      </c>
      <c r="V101" s="100"/>
      <c r="W101" s="100"/>
      <c r="X101" s="100"/>
      <c r="Y101" s="100"/>
      <c r="Z101" s="100"/>
      <c r="AA101" s="100"/>
      <c r="AB101" s="100"/>
    </row>
    <row x14ac:dyDescent="0.25" r="102" customHeight="1" ht="18.75">
      <c r="A102" s="56"/>
      <c r="B102" s="56"/>
      <c r="C102" s="50" t="s">
        <v>16</v>
      </c>
      <c r="D102" s="50"/>
      <c r="E102" s="50"/>
      <c r="F102" s="50" t="s">
        <v>500</v>
      </c>
      <c r="G102" s="55">
        <v>10000000</v>
      </c>
      <c r="H102" s="55"/>
      <c r="I102" s="55"/>
      <c r="J102" s="51">
        <v>800000</v>
      </c>
      <c r="K102" s="51"/>
      <c r="L102" s="52">
        <v>46017</v>
      </c>
      <c r="M102" s="53">
        <v>45956</v>
      </c>
      <c r="N102" s="50" t="s">
        <v>155</v>
      </c>
      <c r="O102" s="50" t="s">
        <v>3246</v>
      </c>
      <c r="P102" s="50" t="s">
        <v>500</v>
      </c>
      <c r="Q102" s="55" t="s">
        <v>502</v>
      </c>
      <c r="R102" s="55" t="s">
        <v>503</v>
      </c>
      <c r="S102" s="53">
        <v>47051</v>
      </c>
      <c r="T102" s="50"/>
      <c r="U102" s="50"/>
      <c r="V102" s="56"/>
      <c r="W102" s="56"/>
      <c r="X102" s="56"/>
      <c r="Y102" s="56"/>
      <c r="Z102" s="56"/>
      <c r="AA102" s="56"/>
      <c r="AB102" s="56"/>
    </row>
    <row x14ac:dyDescent="0.25" r="103" customHeight="1" ht="18.75">
      <c r="A103" s="100" t="s">
        <v>708</v>
      </c>
      <c r="B103" s="100" t="s">
        <v>3224</v>
      </c>
      <c r="C103" s="101" t="s">
        <v>16</v>
      </c>
      <c r="D103" s="101" t="s">
        <v>14</v>
      </c>
      <c r="E103" s="101" t="s">
        <v>22</v>
      </c>
      <c r="F103" s="101" t="s">
        <v>1534</v>
      </c>
      <c r="G103" s="102">
        <v>10000000</v>
      </c>
      <c r="H103" s="102">
        <v>10000000</v>
      </c>
      <c r="I103" s="103">
        <v>46116</v>
      </c>
      <c r="J103" s="104">
        <v>800000</v>
      </c>
      <c r="K103" s="104">
        <v>4</v>
      </c>
      <c r="L103" s="103">
        <v>46177</v>
      </c>
      <c r="M103" s="103">
        <v>46116</v>
      </c>
      <c r="N103" s="101" t="s">
        <v>155</v>
      </c>
      <c r="O103" s="101" t="s">
        <v>3247</v>
      </c>
      <c r="P103" s="101" t="s">
        <v>3248</v>
      </c>
      <c r="Q103" s="102" t="s">
        <v>1536</v>
      </c>
      <c r="R103" s="102" t="s">
        <v>1537</v>
      </c>
      <c r="S103" s="103">
        <v>47211</v>
      </c>
      <c r="T103" s="101" t="s">
        <v>1538</v>
      </c>
      <c r="U103" s="101" t="s">
        <v>166</v>
      </c>
      <c r="V103" s="100"/>
      <c r="W103" s="100"/>
      <c r="X103" s="100"/>
      <c r="Y103" s="100"/>
      <c r="Z103" s="100"/>
      <c r="AA103" s="100"/>
      <c r="AB103" s="100"/>
    </row>
    <row x14ac:dyDescent="0.25" r="104" customHeight="1" ht="18.75">
      <c r="A104" s="56"/>
      <c r="B104" s="56"/>
      <c r="C104" s="50" t="s">
        <v>16</v>
      </c>
      <c r="D104" s="50"/>
      <c r="E104" s="50"/>
      <c r="F104" s="50" t="s">
        <v>505</v>
      </c>
      <c r="G104" s="55">
        <v>60000000</v>
      </c>
      <c r="H104" s="55"/>
      <c r="I104" s="55"/>
      <c r="J104" s="51">
        <v>4056000</v>
      </c>
      <c r="K104" s="51"/>
      <c r="L104" s="52">
        <v>45961</v>
      </c>
      <c r="M104" s="53">
        <v>45900</v>
      </c>
      <c r="N104" s="50" t="s">
        <v>168</v>
      </c>
      <c r="O104" s="50" t="s">
        <v>506</v>
      </c>
      <c r="P104" s="50" t="s">
        <v>505</v>
      </c>
      <c r="Q104" s="55" t="s">
        <v>507</v>
      </c>
      <c r="R104" s="55" t="s">
        <v>508</v>
      </c>
      <c r="S104" s="53">
        <v>46995</v>
      </c>
      <c r="T104" s="50"/>
      <c r="U104" s="50"/>
      <c r="V104" s="56"/>
      <c r="W104" s="56"/>
      <c r="X104" s="56"/>
      <c r="Y104" s="56"/>
      <c r="Z104" s="56"/>
      <c r="AA104" s="56"/>
      <c r="AB104" s="56"/>
    </row>
    <row x14ac:dyDescent="0.25" r="105" customHeight="1" ht="18.75">
      <c r="A105" s="100" t="s">
        <v>708</v>
      </c>
      <c r="B105" s="100" t="s">
        <v>3224</v>
      </c>
      <c r="C105" s="101" t="s">
        <v>16</v>
      </c>
      <c r="D105" s="101" t="s">
        <v>45</v>
      </c>
      <c r="E105" s="101" t="s">
        <v>45</v>
      </c>
      <c r="F105" s="101" t="s">
        <v>389</v>
      </c>
      <c r="G105" s="104">
        <v>30000000</v>
      </c>
      <c r="H105" s="104">
        <v>30000000</v>
      </c>
      <c r="I105" s="103">
        <v>46117</v>
      </c>
      <c r="J105" s="104">
        <v>1500000</v>
      </c>
      <c r="K105" s="104">
        <v>5</v>
      </c>
      <c r="L105" s="103">
        <v>46178</v>
      </c>
      <c r="M105" s="103">
        <f>IF(L105&gt;0,EDATE(L105,-2),"")</f>
        <v>25569.375</v>
      </c>
      <c r="N105" s="101" t="s">
        <v>217</v>
      </c>
      <c r="O105" s="101" t="s">
        <v>390</v>
      </c>
      <c r="P105" s="101" t="s">
        <v>389</v>
      </c>
      <c r="Q105" s="102" t="s">
        <v>391</v>
      </c>
      <c r="R105" s="102">
        <v>67422169</v>
      </c>
      <c r="S105" s="103">
        <f>IF(M105&gt;0,EDATE(M105,36)-1,"")</f>
        <v>25569.375</v>
      </c>
      <c r="T105" s="101"/>
      <c r="U105" s="101" t="s">
        <v>166</v>
      </c>
      <c r="V105" s="100" t="s">
        <v>3249</v>
      </c>
      <c r="W105" s="100"/>
      <c r="X105" s="100"/>
      <c r="Y105" s="100"/>
      <c r="Z105" s="100"/>
      <c r="AA105" s="100"/>
      <c r="AB105" s="100"/>
    </row>
    <row x14ac:dyDescent="0.25" r="106" customHeight="1" ht="18.75">
      <c r="A106" s="100" t="s">
        <v>708</v>
      </c>
      <c r="B106" s="100" t="s">
        <v>3224</v>
      </c>
      <c r="C106" s="101" t="s">
        <v>16</v>
      </c>
      <c r="D106" s="101" t="s">
        <v>45</v>
      </c>
      <c r="E106" s="101" t="s">
        <v>45</v>
      </c>
      <c r="F106" s="101" t="s">
        <v>393</v>
      </c>
      <c r="G106" s="104">
        <v>30000000</v>
      </c>
      <c r="H106" s="104">
        <v>30000000</v>
      </c>
      <c r="I106" s="103">
        <v>46117</v>
      </c>
      <c r="J106" s="104">
        <v>1500000</v>
      </c>
      <c r="K106" s="104">
        <v>5</v>
      </c>
      <c r="L106" s="103">
        <v>46178</v>
      </c>
      <c r="M106" s="103">
        <f>IF(L106&gt;0,EDATE(L106,-2),"")</f>
        <v>25569.375</v>
      </c>
      <c r="N106" s="101" t="s">
        <v>282</v>
      </c>
      <c r="O106" s="101" t="s">
        <v>394</v>
      </c>
      <c r="P106" s="101" t="s">
        <v>393</v>
      </c>
      <c r="Q106" s="102" t="s">
        <v>395</v>
      </c>
      <c r="R106" s="102">
        <v>67412169</v>
      </c>
      <c r="S106" s="103">
        <f>IF(M106&gt;0,EDATE(M106,36)-1,"")</f>
        <v>25569.375</v>
      </c>
      <c r="T106" s="101"/>
      <c r="U106" s="101" t="s">
        <v>166</v>
      </c>
      <c r="V106" s="100" t="s">
        <v>3250</v>
      </c>
      <c r="W106" s="100"/>
      <c r="X106" s="100"/>
      <c r="Y106" s="100"/>
      <c r="Z106" s="100"/>
      <c r="AA106" s="100"/>
      <c r="AB106" s="100"/>
    </row>
    <row x14ac:dyDescent="0.25" r="107" customHeight="1" ht="18.75">
      <c r="A107" s="56"/>
      <c r="B107" s="56"/>
      <c r="C107" s="50" t="s">
        <v>16</v>
      </c>
      <c r="D107" s="50"/>
      <c r="E107" s="50"/>
      <c r="F107" s="50" t="s">
        <v>517</v>
      </c>
      <c r="G107" s="55">
        <v>30000000</v>
      </c>
      <c r="H107" s="55"/>
      <c r="I107" s="55"/>
      <c r="J107" s="51">
        <v>2400000</v>
      </c>
      <c r="K107" s="51"/>
      <c r="L107" s="52">
        <v>45924</v>
      </c>
      <c r="M107" s="53">
        <v>45848</v>
      </c>
      <c r="N107" s="50" t="s">
        <v>302</v>
      </c>
      <c r="O107" s="50" t="s">
        <v>518</v>
      </c>
      <c r="P107" s="50" t="s">
        <v>517</v>
      </c>
      <c r="Q107" s="55" t="s">
        <v>519</v>
      </c>
      <c r="R107" s="55" t="s">
        <v>520</v>
      </c>
      <c r="S107" s="53">
        <v>46943</v>
      </c>
      <c r="T107" s="50"/>
      <c r="U107" s="50"/>
      <c r="V107" s="56"/>
      <c r="W107" s="56"/>
      <c r="X107" s="56"/>
      <c r="Y107" s="56"/>
      <c r="Z107" s="56"/>
      <c r="AA107" s="56"/>
      <c r="AB107" s="56"/>
    </row>
    <row x14ac:dyDescent="0.25" r="108" customHeight="1" ht="18.75">
      <c r="A108" s="100" t="s">
        <v>708</v>
      </c>
      <c r="B108" s="100" t="s">
        <v>3224</v>
      </c>
      <c r="C108" s="101" t="s">
        <v>16</v>
      </c>
      <c r="D108" s="101" t="s">
        <v>3251</v>
      </c>
      <c r="E108" s="101" t="s">
        <v>726</v>
      </c>
      <c r="F108" s="101" t="s">
        <v>2336</v>
      </c>
      <c r="G108" s="102"/>
      <c r="H108" s="102">
        <v>5000000</v>
      </c>
      <c r="I108" s="103">
        <v>46112</v>
      </c>
      <c r="J108" s="104"/>
      <c r="K108" s="104"/>
      <c r="L108" s="103">
        <v>46178</v>
      </c>
      <c r="M108" s="103">
        <v>46117</v>
      </c>
      <c r="N108" s="101" t="s">
        <v>155</v>
      </c>
      <c r="O108" s="101" t="s">
        <v>2337</v>
      </c>
      <c r="P108" s="101" t="s">
        <v>2336</v>
      </c>
      <c r="Q108" s="102" t="s">
        <v>2338</v>
      </c>
      <c r="R108" s="102" t="s">
        <v>2339</v>
      </c>
      <c r="S108" s="103">
        <v>47212</v>
      </c>
      <c r="T108" s="101" t="s">
        <v>2340</v>
      </c>
      <c r="U108" s="101" t="s">
        <v>293</v>
      </c>
      <c r="V108" s="100"/>
      <c r="W108" s="100"/>
      <c r="X108" s="100"/>
      <c r="Y108" s="100"/>
      <c r="Z108" s="100"/>
      <c r="AA108" s="100"/>
      <c r="AB108" s="100"/>
    </row>
    <row x14ac:dyDescent="0.25" r="109" customHeight="1" ht="18.75">
      <c r="A109" s="100" t="s">
        <v>708</v>
      </c>
      <c r="B109" s="100" t="s">
        <v>3224</v>
      </c>
      <c r="C109" s="101" t="s">
        <v>16</v>
      </c>
      <c r="D109" s="101" t="s">
        <v>3251</v>
      </c>
      <c r="E109" s="101" t="s">
        <v>726</v>
      </c>
      <c r="F109" s="101" t="s">
        <v>2336</v>
      </c>
      <c r="G109" s="102"/>
      <c r="H109" s="102">
        <v>2000000</v>
      </c>
      <c r="I109" s="103">
        <v>46113</v>
      </c>
      <c r="J109" s="104"/>
      <c r="K109" s="104"/>
      <c r="L109" s="103">
        <v>46178</v>
      </c>
      <c r="M109" s="103">
        <v>46117</v>
      </c>
      <c r="N109" s="101" t="s">
        <v>155</v>
      </c>
      <c r="O109" s="101" t="s">
        <v>2337</v>
      </c>
      <c r="P109" s="101" t="s">
        <v>2336</v>
      </c>
      <c r="Q109" s="102" t="s">
        <v>2338</v>
      </c>
      <c r="R109" s="102" t="s">
        <v>2339</v>
      </c>
      <c r="S109" s="103">
        <v>47212</v>
      </c>
      <c r="T109" s="101" t="s">
        <v>2340</v>
      </c>
      <c r="U109" s="101" t="s">
        <v>293</v>
      </c>
      <c r="V109" s="100"/>
      <c r="W109" s="100"/>
      <c r="X109" s="100"/>
      <c r="Y109" s="100"/>
      <c r="Z109" s="100"/>
      <c r="AA109" s="100"/>
      <c r="AB109" s="100"/>
    </row>
    <row x14ac:dyDescent="0.25" r="110" customHeight="1" ht="18.75">
      <c r="A110" s="100" t="s">
        <v>708</v>
      </c>
      <c r="B110" s="100" t="s">
        <v>3224</v>
      </c>
      <c r="C110" s="101" t="s">
        <v>16</v>
      </c>
      <c r="D110" s="101" t="s">
        <v>3251</v>
      </c>
      <c r="E110" s="101" t="s">
        <v>726</v>
      </c>
      <c r="F110" s="101" t="s">
        <v>2336</v>
      </c>
      <c r="G110" s="102"/>
      <c r="H110" s="102">
        <v>175000</v>
      </c>
      <c r="I110" s="103">
        <v>46113</v>
      </c>
      <c r="J110" s="104"/>
      <c r="K110" s="104"/>
      <c r="L110" s="103">
        <v>46178</v>
      </c>
      <c r="M110" s="103">
        <v>46117</v>
      </c>
      <c r="N110" s="101" t="s">
        <v>155</v>
      </c>
      <c r="O110" s="101" t="s">
        <v>2337</v>
      </c>
      <c r="P110" s="101" t="s">
        <v>2336</v>
      </c>
      <c r="Q110" s="102" t="s">
        <v>2338</v>
      </c>
      <c r="R110" s="102" t="s">
        <v>2339</v>
      </c>
      <c r="S110" s="103">
        <v>47212</v>
      </c>
      <c r="T110" s="101" t="s">
        <v>2340</v>
      </c>
      <c r="U110" s="101" t="s">
        <v>3225</v>
      </c>
      <c r="V110" s="100"/>
      <c r="W110" s="100"/>
      <c r="X110" s="100"/>
      <c r="Y110" s="100"/>
      <c r="Z110" s="100"/>
      <c r="AA110" s="100"/>
      <c r="AB110" s="100"/>
    </row>
    <row x14ac:dyDescent="0.25" r="111" customHeight="1" ht="18.75">
      <c r="A111" s="100" t="s">
        <v>708</v>
      </c>
      <c r="B111" s="100" t="s">
        <v>3224</v>
      </c>
      <c r="C111" s="101" t="s">
        <v>16</v>
      </c>
      <c r="D111" s="101" t="s">
        <v>3251</v>
      </c>
      <c r="E111" s="101" t="s">
        <v>726</v>
      </c>
      <c r="F111" s="101" t="s">
        <v>2336</v>
      </c>
      <c r="G111" s="102"/>
      <c r="H111" s="102">
        <v>3000000</v>
      </c>
      <c r="I111" s="103">
        <v>46117</v>
      </c>
      <c r="J111" s="104"/>
      <c r="K111" s="104"/>
      <c r="L111" s="103">
        <v>46178</v>
      </c>
      <c r="M111" s="103">
        <v>46117</v>
      </c>
      <c r="N111" s="101" t="s">
        <v>155</v>
      </c>
      <c r="O111" s="101" t="s">
        <v>2337</v>
      </c>
      <c r="P111" s="101" t="s">
        <v>2336</v>
      </c>
      <c r="Q111" s="102" t="s">
        <v>2338</v>
      </c>
      <c r="R111" s="102" t="s">
        <v>2339</v>
      </c>
      <c r="S111" s="103">
        <v>47212</v>
      </c>
      <c r="T111" s="101" t="s">
        <v>2340</v>
      </c>
      <c r="U111" s="101" t="s">
        <v>166</v>
      </c>
      <c r="V111" s="100"/>
      <c r="W111" s="100"/>
      <c r="X111" s="100"/>
      <c r="Y111" s="100"/>
      <c r="Z111" s="100"/>
      <c r="AA111" s="100"/>
      <c r="AB111" s="100"/>
    </row>
    <row x14ac:dyDescent="0.25" r="112" customHeight="1" ht="18.75">
      <c r="A112" s="100" t="s">
        <v>708</v>
      </c>
      <c r="B112" s="100" t="s">
        <v>3224</v>
      </c>
      <c r="C112" s="101" t="s">
        <v>16</v>
      </c>
      <c r="D112" s="101" t="s">
        <v>3251</v>
      </c>
      <c r="E112" s="101" t="s">
        <v>726</v>
      </c>
      <c r="F112" s="101" t="s">
        <v>2336</v>
      </c>
      <c r="G112" s="102">
        <v>10000000</v>
      </c>
      <c r="H112" s="102">
        <v>10000000</v>
      </c>
      <c r="I112" s="103">
        <v>46117</v>
      </c>
      <c r="J112" s="104">
        <v>800000</v>
      </c>
      <c r="K112" s="104">
        <v>5</v>
      </c>
      <c r="L112" s="103">
        <v>46178</v>
      </c>
      <c r="M112" s="103">
        <v>46117</v>
      </c>
      <c r="N112" s="101" t="s">
        <v>155</v>
      </c>
      <c r="O112" s="101" t="s">
        <v>2337</v>
      </c>
      <c r="P112" s="101" t="s">
        <v>2336</v>
      </c>
      <c r="Q112" s="102" t="s">
        <v>2338</v>
      </c>
      <c r="R112" s="102" t="s">
        <v>2339</v>
      </c>
      <c r="S112" s="103">
        <v>47212</v>
      </c>
      <c r="T112" s="101" t="s">
        <v>2340</v>
      </c>
      <c r="U112" s="101" t="s">
        <v>179</v>
      </c>
      <c r="V112" s="100"/>
      <c r="W112" s="100"/>
      <c r="X112" s="100"/>
      <c r="Y112" s="100"/>
      <c r="Z112" s="100"/>
      <c r="AA112" s="100"/>
      <c r="AB112" s="100"/>
    </row>
    <row x14ac:dyDescent="0.25" r="113" customHeight="1" ht="18.75">
      <c r="A113" s="100" t="s">
        <v>708</v>
      </c>
      <c r="B113" s="100" t="s">
        <v>3224</v>
      </c>
      <c r="C113" s="101" t="s">
        <v>16</v>
      </c>
      <c r="D113" s="101" t="s">
        <v>357</v>
      </c>
      <c r="E113" s="101" t="s">
        <v>357</v>
      </c>
      <c r="F113" s="101" t="s">
        <v>358</v>
      </c>
      <c r="G113" s="102">
        <v>10000000</v>
      </c>
      <c r="H113" s="102">
        <v>10000000</v>
      </c>
      <c r="I113" s="103">
        <v>46118</v>
      </c>
      <c r="J113" s="104">
        <v>800000</v>
      </c>
      <c r="K113" s="104">
        <v>6</v>
      </c>
      <c r="L113" s="103">
        <v>46179</v>
      </c>
      <c r="M113" s="103">
        <v>46118</v>
      </c>
      <c r="N113" s="101" t="s">
        <v>282</v>
      </c>
      <c r="O113" s="101" t="s">
        <v>359</v>
      </c>
      <c r="P113" s="101" t="s">
        <v>358</v>
      </c>
      <c r="Q113" s="102" t="s">
        <v>360</v>
      </c>
      <c r="R113" s="102" t="s">
        <v>361</v>
      </c>
      <c r="S113" s="103">
        <v>47213</v>
      </c>
      <c r="T113" s="101" t="s">
        <v>362</v>
      </c>
      <c r="U113" s="101" t="s">
        <v>166</v>
      </c>
      <c r="V113" s="100"/>
      <c r="W113" s="100"/>
      <c r="X113" s="100"/>
      <c r="Y113" s="100"/>
      <c r="Z113" s="100"/>
      <c r="AA113" s="100"/>
      <c r="AB113" s="100"/>
    </row>
    <row x14ac:dyDescent="0.25" r="114" customHeight="1" ht="18.75">
      <c r="A114" s="63"/>
      <c r="B114" s="63"/>
      <c r="C114" s="49" t="s">
        <v>16</v>
      </c>
      <c r="D114" s="49" t="s">
        <v>454</v>
      </c>
      <c r="E114" s="49" t="s">
        <v>455</v>
      </c>
      <c r="F114" s="49" t="s">
        <v>530</v>
      </c>
      <c r="G114" s="64">
        <v>10000000</v>
      </c>
      <c r="H114" s="64"/>
      <c r="I114" s="64"/>
      <c r="J114" s="65">
        <f>IF(G114&gt;0,_xludf.IFS(G114=10000000,800000,G114=20000000,1528000,G114=30000000,2028000,G114=60000000,4056000),"")</f>
      </c>
      <c r="K114" s="64"/>
      <c r="L114" s="66">
        <v>46154</v>
      </c>
      <c r="M114" s="67">
        <f>IF(L114&gt;0,EDATE(L114,-2),"")</f>
        <v>25569.375</v>
      </c>
      <c r="N114" s="49" t="s">
        <v>155</v>
      </c>
      <c r="O114" s="49" t="s">
        <v>531</v>
      </c>
      <c r="P114" s="68">
        <f>IF(F114&gt;0,F114,"")</f>
      </c>
      <c r="Q114" s="69" t="s">
        <v>532</v>
      </c>
      <c r="R114" s="69">
        <v>44999721</v>
      </c>
      <c r="S114" s="67">
        <f>IF(ISNUMBER(M114), EDATE(M114,36)-1, "")</f>
        <v>25569.375</v>
      </c>
      <c r="T114" s="49"/>
      <c r="U114" s="49"/>
      <c r="V114" s="63"/>
      <c r="W114" s="56"/>
      <c r="X114" s="56"/>
      <c r="Y114" s="56"/>
      <c r="Z114" s="56"/>
      <c r="AA114" s="56"/>
      <c r="AB114" s="56"/>
    </row>
    <row x14ac:dyDescent="0.25" r="115" customHeight="1" ht="18.75">
      <c r="A115" s="100" t="s">
        <v>275</v>
      </c>
      <c r="B115" s="100" t="s">
        <v>3224</v>
      </c>
      <c r="C115" s="101" t="s">
        <v>16</v>
      </c>
      <c r="D115" s="101" t="s">
        <v>357</v>
      </c>
      <c r="E115" s="101" t="s">
        <v>357</v>
      </c>
      <c r="F115" s="101" t="s">
        <v>29</v>
      </c>
      <c r="G115" s="102">
        <v>20000000</v>
      </c>
      <c r="H115" s="102">
        <v>20000000</v>
      </c>
      <c r="I115" s="103">
        <v>46118</v>
      </c>
      <c r="J115" s="104">
        <v>1528000</v>
      </c>
      <c r="K115" s="104">
        <v>6</v>
      </c>
      <c r="L115" s="103">
        <v>46179</v>
      </c>
      <c r="M115" s="103">
        <v>46118</v>
      </c>
      <c r="N115" s="101" t="s">
        <v>212</v>
      </c>
      <c r="O115" s="101" t="s">
        <v>3252</v>
      </c>
      <c r="P115" s="101" t="s">
        <v>29</v>
      </c>
      <c r="Q115" s="102" t="s">
        <v>3253</v>
      </c>
      <c r="R115" s="102" t="s">
        <v>1142</v>
      </c>
      <c r="S115" s="103">
        <v>47213</v>
      </c>
      <c r="T115" s="101" t="s">
        <v>1143</v>
      </c>
      <c r="U115" s="101" t="s">
        <v>166</v>
      </c>
      <c r="V115" s="100" t="s">
        <v>3254</v>
      </c>
      <c r="W115" s="100"/>
      <c r="X115" s="100"/>
      <c r="Y115" s="100"/>
      <c r="Z115" s="100"/>
      <c r="AA115" s="100"/>
      <c r="AB115" s="100"/>
    </row>
    <row x14ac:dyDescent="0.25" r="116" customHeight="1" ht="18.75">
      <c r="A116" s="100" t="s">
        <v>708</v>
      </c>
      <c r="B116" s="100" t="s">
        <v>3224</v>
      </c>
      <c r="C116" s="101" t="s">
        <v>16</v>
      </c>
      <c r="D116" s="101" t="s">
        <v>357</v>
      </c>
      <c r="E116" s="101" t="s">
        <v>357</v>
      </c>
      <c r="F116" s="101" t="s">
        <v>2162</v>
      </c>
      <c r="G116" s="104">
        <v>10000000</v>
      </c>
      <c r="H116" s="102">
        <v>10000000</v>
      </c>
      <c r="I116" s="103">
        <v>46118</v>
      </c>
      <c r="J116" s="104">
        <v>800000</v>
      </c>
      <c r="K116" s="104">
        <v>6</v>
      </c>
      <c r="L116" s="103">
        <v>46179</v>
      </c>
      <c r="M116" s="103">
        <f>IF(L116&gt;0,EDATE(L116,-2),"")</f>
        <v>25569.375</v>
      </c>
      <c r="N116" s="101" t="s">
        <v>182</v>
      </c>
      <c r="O116" s="101" t="s">
        <v>2163</v>
      </c>
      <c r="P116" s="101" t="s">
        <v>2162</v>
      </c>
      <c r="Q116" s="102" t="s">
        <v>3255</v>
      </c>
      <c r="R116" s="102">
        <v>56789801</v>
      </c>
      <c r="S116" s="103">
        <f>IF(ISNUMBER(M116), EDATE(M116,36)-1, "")</f>
        <v>25569.375</v>
      </c>
      <c r="T116" s="101"/>
      <c r="U116" s="101" t="s">
        <v>166</v>
      </c>
      <c r="V116" s="101"/>
      <c r="W116" s="100"/>
      <c r="X116" s="100"/>
      <c r="Y116" s="100"/>
      <c r="Z116" s="100"/>
      <c r="AA116" s="100"/>
      <c r="AB116" s="100"/>
    </row>
    <row x14ac:dyDescent="0.25" r="117" customHeight="1" ht="18.75">
      <c r="A117" s="48" t="s">
        <v>275</v>
      </c>
      <c r="B117" s="48"/>
      <c r="C117" s="49" t="s">
        <v>16</v>
      </c>
      <c r="D117" s="50"/>
      <c r="E117" s="50"/>
      <c r="F117" s="50" t="s">
        <v>542</v>
      </c>
      <c r="G117" s="51">
        <v>10000000</v>
      </c>
      <c r="H117" s="51"/>
      <c r="I117" s="51"/>
      <c r="J117" s="87">
        <f>IF(G117&gt;0,_xludf.IFS(G117=10000000,800000,G117=20000000,1528000,G117=30000000,2028000,G117=60000000,4056000),"")</f>
      </c>
      <c r="K117" s="51"/>
      <c r="L117" s="52">
        <v>46104</v>
      </c>
      <c r="M117" s="53">
        <f>IF(L117&gt;0,EDATE(L117,-2),"")</f>
        <v>25569.375</v>
      </c>
      <c r="N117" s="50" t="s">
        <v>155</v>
      </c>
      <c r="O117" s="50" t="s">
        <v>543</v>
      </c>
      <c r="P117" s="54">
        <f>IF(F117&gt;0,F117,"")</f>
      </c>
      <c r="Q117" s="55" t="s">
        <v>544</v>
      </c>
      <c r="R117" s="55">
        <v>20839456</v>
      </c>
      <c r="S117" s="53">
        <v>47199</v>
      </c>
      <c r="T117" s="50"/>
      <c r="U117" s="50"/>
      <c r="V117" s="48" t="s">
        <v>252</v>
      </c>
      <c r="W117" s="56"/>
      <c r="X117" s="56"/>
      <c r="Y117" s="56"/>
      <c r="Z117" s="56"/>
      <c r="AA117" s="56"/>
      <c r="AB117" s="56"/>
    </row>
    <row x14ac:dyDescent="0.25" r="118" customHeight="1" ht="18.75">
      <c r="A118" s="56"/>
      <c r="B118" s="56"/>
      <c r="C118" s="50" t="s">
        <v>16</v>
      </c>
      <c r="D118" s="50"/>
      <c r="E118" s="50"/>
      <c r="F118" s="50" t="s">
        <v>542</v>
      </c>
      <c r="G118" s="51">
        <v>10000000</v>
      </c>
      <c r="H118" s="51"/>
      <c r="I118" s="51"/>
      <c r="J118" s="51">
        <v>800000</v>
      </c>
      <c r="K118" s="51"/>
      <c r="L118" s="52">
        <v>46104</v>
      </c>
      <c r="M118" s="53">
        <f>IF(L118&gt;0,EDATE(L118,-2),"")</f>
        <v>25569.375</v>
      </c>
      <c r="N118" s="50" t="s">
        <v>155</v>
      </c>
      <c r="O118" s="50" t="s">
        <v>543</v>
      </c>
      <c r="P118" s="50" t="s">
        <v>542</v>
      </c>
      <c r="Q118" s="55">
        <v>7312062019131</v>
      </c>
      <c r="R118" s="55">
        <v>20839456</v>
      </c>
      <c r="S118" s="53">
        <f>IF(ISNUMBER(M118), EDATE(M118,36)-1, "")</f>
        <v>25569.375</v>
      </c>
      <c r="T118" s="50"/>
      <c r="U118" s="50"/>
      <c r="V118" s="48" t="s">
        <v>546</v>
      </c>
      <c r="W118" s="56"/>
      <c r="X118" s="56"/>
      <c r="Y118" s="56"/>
      <c r="Z118" s="56"/>
      <c r="AA118" s="56"/>
      <c r="AB118" s="56"/>
    </row>
    <row x14ac:dyDescent="0.25" r="119" customHeight="1" ht="18.75">
      <c r="A119" s="56"/>
      <c r="B119" s="56"/>
      <c r="C119" s="50" t="s">
        <v>16</v>
      </c>
      <c r="D119" s="50"/>
      <c r="E119" s="50"/>
      <c r="F119" s="50" t="s">
        <v>29</v>
      </c>
      <c r="G119" s="55">
        <v>60000000</v>
      </c>
      <c r="H119" s="55"/>
      <c r="I119" s="55"/>
      <c r="J119" s="51">
        <v>4056000</v>
      </c>
      <c r="K119" s="51"/>
      <c r="L119" s="52">
        <v>46086</v>
      </c>
      <c r="M119" s="53">
        <v>46022</v>
      </c>
      <c r="N119" s="50" t="s">
        <v>239</v>
      </c>
      <c r="O119" s="50" t="s">
        <v>547</v>
      </c>
      <c r="P119" s="50" t="s">
        <v>29</v>
      </c>
      <c r="Q119" s="55" t="s">
        <v>548</v>
      </c>
      <c r="R119" s="55" t="s">
        <v>549</v>
      </c>
      <c r="S119" s="53">
        <v>47117</v>
      </c>
      <c r="T119" s="50"/>
      <c r="U119" s="50"/>
      <c r="V119" s="56"/>
      <c r="W119" s="56"/>
      <c r="X119" s="56"/>
      <c r="Y119" s="56"/>
      <c r="Z119" s="56"/>
      <c r="AA119" s="56"/>
      <c r="AB119" s="56"/>
    </row>
    <row x14ac:dyDescent="0.25" r="120" customHeight="1" ht="18.75">
      <c r="A120" s="56"/>
      <c r="B120" s="56"/>
      <c r="C120" s="50" t="s">
        <v>16</v>
      </c>
      <c r="D120" s="50"/>
      <c r="E120" s="50" t="s">
        <v>244</v>
      </c>
      <c r="F120" s="50" t="s">
        <v>29</v>
      </c>
      <c r="G120" s="55">
        <v>10000000</v>
      </c>
      <c r="H120" s="55"/>
      <c r="I120" s="55"/>
      <c r="J120" s="51">
        <v>800000</v>
      </c>
      <c r="K120" s="51"/>
      <c r="L120" s="52">
        <v>46132</v>
      </c>
      <c r="M120" s="53">
        <v>46073</v>
      </c>
      <c r="N120" s="50" t="s">
        <v>182</v>
      </c>
      <c r="O120" s="50" t="s">
        <v>550</v>
      </c>
      <c r="P120" s="50" t="s">
        <v>29</v>
      </c>
      <c r="Q120" s="55" t="s">
        <v>548</v>
      </c>
      <c r="R120" s="55" t="s">
        <v>549</v>
      </c>
      <c r="S120" s="53">
        <v>47168</v>
      </c>
      <c r="T120" s="50" t="s">
        <v>551</v>
      </c>
      <c r="U120" s="50" t="s">
        <v>166</v>
      </c>
      <c r="V120" s="56"/>
      <c r="W120" s="56"/>
      <c r="X120" s="56"/>
      <c r="Y120" s="56"/>
      <c r="Z120" s="56"/>
      <c r="AA120" s="56"/>
      <c r="AB120" s="56"/>
    </row>
    <row x14ac:dyDescent="0.25" r="121" customHeight="1" ht="18.75">
      <c r="A121" s="56"/>
      <c r="B121" s="56"/>
      <c r="C121" s="50" t="s">
        <v>16</v>
      </c>
      <c r="D121" s="50" t="s">
        <v>454</v>
      </c>
      <c r="E121" s="50"/>
      <c r="F121" s="50" t="s">
        <v>29</v>
      </c>
      <c r="G121" s="55">
        <v>10000000</v>
      </c>
      <c r="H121" s="55"/>
      <c r="I121" s="55"/>
      <c r="J121" s="51">
        <v>500000</v>
      </c>
      <c r="K121" s="51"/>
      <c r="L121" s="52">
        <v>46148</v>
      </c>
      <c r="M121" s="53">
        <v>46087</v>
      </c>
      <c r="N121" s="50" t="s">
        <v>302</v>
      </c>
      <c r="O121" s="50" t="s">
        <v>552</v>
      </c>
      <c r="P121" s="50" t="s">
        <v>29</v>
      </c>
      <c r="Q121" s="55" t="s">
        <v>553</v>
      </c>
      <c r="R121" s="55" t="s">
        <v>554</v>
      </c>
      <c r="S121" s="53">
        <v>47182</v>
      </c>
      <c r="T121" s="50"/>
      <c r="U121" s="50"/>
      <c r="V121" s="56"/>
      <c r="W121" s="56"/>
      <c r="X121" s="56"/>
      <c r="Y121" s="56"/>
      <c r="Z121" s="56"/>
      <c r="AA121" s="56"/>
      <c r="AB121" s="56"/>
    </row>
    <row x14ac:dyDescent="0.25" r="122" customHeight="1" ht="18.75">
      <c r="A122" s="100" t="s">
        <v>708</v>
      </c>
      <c r="B122" s="100" t="s">
        <v>3224</v>
      </c>
      <c r="C122" s="101" t="s">
        <v>16</v>
      </c>
      <c r="D122" s="101" t="s">
        <v>14</v>
      </c>
      <c r="E122" s="101" t="s">
        <v>14</v>
      </c>
      <c r="F122" s="101" t="s">
        <v>2348</v>
      </c>
      <c r="G122" s="102">
        <v>10000000</v>
      </c>
      <c r="H122" s="102">
        <v>10000000</v>
      </c>
      <c r="I122" s="103">
        <v>46118</v>
      </c>
      <c r="J122" s="104">
        <v>800000</v>
      </c>
      <c r="K122" s="104">
        <v>6</v>
      </c>
      <c r="L122" s="103">
        <v>46179</v>
      </c>
      <c r="M122" s="103">
        <v>46118</v>
      </c>
      <c r="N122" s="101" t="s">
        <v>168</v>
      </c>
      <c r="O122" s="101" t="s">
        <v>2349</v>
      </c>
      <c r="P122" s="101" t="s">
        <v>2348</v>
      </c>
      <c r="Q122" s="102" t="s">
        <v>2350</v>
      </c>
      <c r="R122" s="102" t="s">
        <v>2351</v>
      </c>
      <c r="S122" s="103">
        <v>47213</v>
      </c>
      <c r="T122" s="101" t="s">
        <v>2352</v>
      </c>
      <c r="U122" s="101" t="s">
        <v>166</v>
      </c>
      <c r="V122" s="100"/>
      <c r="W122" s="100"/>
      <c r="X122" s="100"/>
      <c r="Y122" s="100"/>
      <c r="Z122" s="100"/>
      <c r="AA122" s="100"/>
      <c r="AB122" s="100"/>
    </row>
    <row x14ac:dyDescent="0.25" r="123" customHeight="1" ht="18.75">
      <c r="A123" s="48" t="s">
        <v>252</v>
      </c>
      <c r="B123" s="48"/>
      <c r="C123" s="49" t="s">
        <v>16</v>
      </c>
      <c r="D123" s="50"/>
      <c r="E123" s="50"/>
      <c r="F123" s="50" t="s">
        <v>29</v>
      </c>
      <c r="G123" s="51">
        <v>10000000</v>
      </c>
      <c r="H123" s="51"/>
      <c r="I123" s="51"/>
      <c r="J123" s="87">
        <f>IF(G123&gt;0,_xludf.IFS(G123=10000000,800000,G123=20000000,1528000,G123=30000000,2028000,G123=60000000,4056000),"")</f>
      </c>
      <c r="K123" s="51"/>
      <c r="L123" s="52">
        <v>46132</v>
      </c>
      <c r="M123" s="53">
        <f>IF(L123&gt;0,EDATE(L123,-2),"")</f>
        <v>25569.375</v>
      </c>
      <c r="N123" s="50" t="s">
        <v>239</v>
      </c>
      <c r="O123" s="50" t="s">
        <v>550</v>
      </c>
      <c r="P123" s="54">
        <f>IF(F123&gt;0,F123,"")</f>
      </c>
      <c r="Q123" s="55" t="s">
        <v>548</v>
      </c>
      <c r="R123" s="55">
        <v>27103311</v>
      </c>
      <c r="S123" s="53">
        <f>IF(ISNUMBER(M123), EDATE(M123,36)-1, "")</f>
        <v>25569.375</v>
      </c>
      <c r="T123" s="50"/>
      <c r="U123" s="50"/>
      <c r="V123" s="56"/>
      <c r="W123" s="56"/>
      <c r="X123" s="56"/>
      <c r="Y123" s="56"/>
      <c r="Z123" s="56"/>
      <c r="AA123" s="56"/>
      <c r="AB123" s="56"/>
    </row>
    <row x14ac:dyDescent="0.25" r="124" customHeight="1" ht="18.75">
      <c r="A124" s="100" t="s">
        <v>708</v>
      </c>
      <c r="B124" s="100" t="s">
        <v>3224</v>
      </c>
      <c r="C124" s="101" t="s">
        <v>16</v>
      </c>
      <c r="D124" s="101" t="s">
        <v>1301</v>
      </c>
      <c r="E124" s="101" t="s">
        <v>1186</v>
      </c>
      <c r="F124" s="101" t="s">
        <v>1186</v>
      </c>
      <c r="G124" s="104">
        <v>10000000</v>
      </c>
      <c r="H124" s="102">
        <v>10000000</v>
      </c>
      <c r="I124" s="103">
        <v>46119</v>
      </c>
      <c r="J124" s="104">
        <v>800000</v>
      </c>
      <c r="K124" s="104">
        <v>7</v>
      </c>
      <c r="L124" s="103">
        <v>46180</v>
      </c>
      <c r="M124" s="103">
        <f>IF(L124&gt;0,EDATE(L124,-2),"")</f>
        <v>25569.375</v>
      </c>
      <c r="N124" s="101" t="s">
        <v>155</v>
      </c>
      <c r="O124" s="101" t="s">
        <v>1187</v>
      </c>
      <c r="P124" s="106">
        <f>IF(F124&gt;0,F124,"")</f>
      </c>
      <c r="Q124" s="102" t="s">
        <v>1188</v>
      </c>
      <c r="R124" s="102">
        <v>72407060</v>
      </c>
      <c r="S124" s="103">
        <f>IF(ISNUMBER(M124), EDATE(M124,36)-1, "")</f>
        <v>25569.375</v>
      </c>
      <c r="T124" s="101"/>
      <c r="U124" s="101" t="s">
        <v>166</v>
      </c>
      <c r="V124" s="100"/>
      <c r="W124" s="100"/>
      <c r="X124" s="100"/>
      <c r="Y124" s="100"/>
      <c r="Z124" s="100"/>
      <c r="AA124" s="100"/>
      <c r="AB124" s="100"/>
    </row>
    <row x14ac:dyDescent="0.25" r="125" customHeight="1" ht="18.75">
      <c r="A125" s="100" t="s">
        <v>708</v>
      </c>
      <c r="B125" s="100" t="s">
        <v>3224</v>
      </c>
      <c r="C125" s="101" t="s">
        <v>16</v>
      </c>
      <c r="D125" s="101" t="s">
        <v>373</v>
      </c>
      <c r="E125" s="101" t="s">
        <v>373</v>
      </c>
      <c r="F125" s="101" t="s">
        <v>1403</v>
      </c>
      <c r="G125" s="104"/>
      <c r="H125" s="102">
        <v>10000000</v>
      </c>
      <c r="I125" s="103">
        <v>46129</v>
      </c>
      <c r="J125" s="104"/>
      <c r="K125" s="104"/>
      <c r="L125" s="103">
        <v>46188</v>
      </c>
      <c r="M125" s="103">
        <f>IF(L125&gt;0,EDATE(L125,-2),"")</f>
        <v>25569.375</v>
      </c>
      <c r="N125" s="101" t="s">
        <v>940</v>
      </c>
      <c r="O125" s="101" t="s">
        <v>1407</v>
      </c>
      <c r="P125" s="101" t="s">
        <v>1403</v>
      </c>
      <c r="Q125" s="102" t="s">
        <v>1408</v>
      </c>
      <c r="R125" s="102">
        <v>77492484</v>
      </c>
      <c r="S125" s="103">
        <f>IF(ISNUMBER(M125), EDATE(M125,36)-1, "")</f>
        <v>25569.375</v>
      </c>
      <c r="T125" s="101"/>
      <c r="U125" s="101" t="s">
        <v>166</v>
      </c>
      <c r="V125" s="100"/>
      <c r="W125" s="100"/>
      <c r="X125" s="100"/>
      <c r="Y125" s="100"/>
      <c r="Z125" s="100"/>
      <c r="AA125" s="100"/>
      <c r="AB125" s="100"/>
    </row>
    <row x14ac:dyDescent="0.25" r="126" customHeight="1" ht="18.75">
      <c r="A126" s="100" t="s">
        <v>708</v>
      </c>
      <c r="B126" s="100" t="s">
        <v>3224</v>
      </c>
      <c r="C126" s="101" t="s">
        <v>16</v>
      </c>
      <c r="D126" s="101" t="s">
        <v>373</v>
      </c>
      <c r="E126" s="101" t="s">
        <v>373</v>
      </c>
      <c r="F126" s="101" t="s">
        <v>1403</v>
      </c>
      <c r="G126" s="104"/>
      <c r="H126" s="102">
        <v>10000000</v>
      </c>
      <c r="I126" s="103">
        <v>46155</v>
      </c>
      <c r="J126" s="104"/>
      <c r="K126" s="104"/>
      <c r="L126" s="103">
        <v>46218</v>
      </c>
      <c r="M126" s="103">
        <f>IF(L126&gt;0,EDATE(L126,-2),"")</f>
        <v>25569.375</v>
      </c>
      <c r="N126" s="101" t="s">
        <v>940</v>
      </c>
      <c r="O126" s="101" t="s">
        <v>1407</v>
      </c>
      <c r="P126" s="101" t="s">
        <v>1403</v>
      </c>
      <c r="Q126" s="102" t="s">
        <v>1408</v>
      </c>
      <c r="R126" s="102">
        <v>77492484</v>
      </c>
      <c r="S126" s="103">
        <f>IF(ISNUMBER(M126), EDATE(M126,36)-1, "")</f>
        <v>25569.375</v>
      </c>
      <c r="T126" s="101"/>
      <c r="U126" s="101" t="s">
        <v>166</v>
      </c>
      <c r="V126" s="100"/>
      <c r="W126" s="100"/>
      <c r="X126" s="100"/>
      <c r="Y126" s="100"/>
      <c r="Z126" s="100"/>
      <c r="AA126" s="100"/>
      <c r="AB126" s="100"/>
    </row>
    <row x14ac:dyDescent="0.25" r="127" customHeight="1" ht="18.75">
      <c r="A127" s="100" t="s">
        <v>708</v>
      </c>
      <c r="B127" s="100" t="s">
        <v>3224</v>
      </c>
      <c r="C127" s="101" t="s">
        <v>16</v>
      </c>
      <c r="D127" s="101" t="s">
        <v>373</v>
      </c>
      <c r="E127" s="101" t="s">
        <v>373</v>
      </c>
      <c r="F127" s="101" t="s">
        <v>1403</v>
      </c>
      <c r="G127" s="104">
        <v>20000000</v>
      </c>
      <c r="H127" s="104">
        <v>20000000</v>
      </c>
      <c r="I127" s="103">
        <v>46129</v>
      </c>
      <c r="J127" s="104">
        <v>1800000</v>
      </c>
      <c r="K127" s="104">
        <v>15</v>
      </c>
      <c r="L127" s="103">
        <v>46218</v>
      </c>
      <c r="M127" s="103">
        <f>IF(L127&gt;0,EDATE(L127,-2),"")</f>
        <v>25569.375</v>
      </c>
      <c r="N127" s="101" t="s">
        <v>940</v>
      </c>
      <c r="O127" s="101" t="s">
        <v>1407</v>
      </c>
      <c r="P127" s="101" t="s">
        <v>1403</v>
      </c>
      <c r="Q127" s="102" t="s">
        <v>1408</v>
      </c>
      <c r="R127" s="102">
        <v>77492484</v>
      </c>
      <c r="S127" s="103">
        <f>IF(ISNUMBER(M127), EDATE(M127,36)-1, "")</f>
        <v>25569.375</v>
      </c>
      <c r="T127" s="101"/>
      <c r="U127" s="101" t="s">
        <v>166</v>
      </c>
      <c r="V127" s="100"/>
      <c r="W127" s="100"/>
      <c r="X127" s="100"/>
      <c r="Y127" s="100"/>
      <c r="Z127" s="100"/>
      <c r="AA127" s="100"/>
      <c r="AB127" s="100"/>
    </row>
    <row x14ac:dyDescent="0.25" r="128" customHeight="1" ht="18.75">
      <c r="A128" s="48" t="s">
        <v>568</v>
      </c>
      <c r="B128" s="48"/>
      <c r="C128" s="50" t="s">
        <v>16</v>
      </c>
      <c r="D128" s="50"/>
      <c r="E128" s="50"/>
      <c r="F128" s="50" t="s">
        <v>569</v>
      </c>
      <c r="G128" s="55">
        <v>60000000</v>
      </c>
      <c r="H128" s="55"/>
      <c r="I128" s="55"/>
      <c r="J128" s="51">
        <v>2400000</v>
      </c>
      <c r="K128" s="51"/>
      <c r="L128" s="52">
        <v>45940</v>
      </c>
      <c r="M128" s="53">
        <v>45818</v>
      </c>
      <c r="N128" s="50" t="s">
        <v>570</v>
      </c>
      <c r="O128" s="50" t="s">
        <v>571</v>
      </c>
      <c r="P128" s="50" t="s">
        <v>569</v>
      </c>
      <c r="Q128" s="55" t="s">
        <v>572</v>
      </c>
      <c r="R128" s="55" t="s">
        <v>573</v>
      </c>
      <c r="S128" s="53">
        <v>46913</v>
      </c>
      <c r="T128" s="50"/>
      <c r="U128" s="50"/>
      <c r="V128" s="56"/>
      <c r="W128" s="56"/>
      <c r="X128" s="56"/>
      <c r="Y128" s="56"/>
      <c r="Z128" s="56"/>
      <c r="AA128" s="56"/>
      <c r="AB128" s="56"/>
    </row>
    <row x14ac:dyDescent="0.25" r="129" customHeight="1" ht="18.75">
      <c r="A129" s="100" t="s">
        <v>708</v>
      </c>
      <c r="B129" s="100" t="s">
        <v>3224</v>
      </c>
      <c r="C129" s="101" t="s">
        <v>16</v>
      </c>
      <c r="D129" s="101" t="s">
        <v>3371</v>
      </c>
      <c r="E129" s="101" t="s">
        <v>477</v>
      </c>
      <c r="F129" s="101" t="s">
        <v>1664</v>
      </c>
      <c r="G129" s="102">
        <v>10000000</v>
      </c>
      <c r="H129" s="102">
        <v>10000000</v>
      </c>
      <c r="I129" s="103">
        <v>46119</v>
      </c>
      <c r="J129" s="104">
        <v>500000</v>
      </c>
      <c r="K129" s="104">
        <v>7</v>
      </c>
      <c r="L129" s="103">
        <v>46180</v>
      </c>
      <c r="M129" s="103">
        <v>46119</v>
      </c>
      <c r="N129" s="101" t="s">
        <v>182</v>
      </c>
      <c r="O129" s="101" t="s">
        <v>3372</v>
      </c>
      <c r="P129" s="101" t="s">
        <v>1664</v>
      </c>
      <c r="Q129" s="102" t="s">
        <v>1666</v>
      </c>
      <c r="R129" s="102" t="s">
        <v>1667</v>
      </c>
      <c r="S129" s="103">
        <v>47214</v>
      </c>
      <c r="T129" s="101" t="s">
        <v>1668</v>
      </c>
      <c r="U129" s="101" t="s">
        <v>166</v>
      </c>
      <c r="V129" s="100"/>
      <c r="W129" s="100"/>
      <c r="X129" s="100"/>
      <c r="Y129" s="100"/>
      <c r="Z129" s="100"/>
      <c r="AA129" s="100"/>
      <c r="AB129" s="100"/>
    </row>
    <row x14ac:dyDescent="0.25" r="130" customHeight="1" ht="18.75">
      <c r="A130" s="48" t="s">
        <v>3256</v>
      </c>
      <c r="B130" s="48"/>
      <c r="C130" s="50" t="s">
        <v>16</v>
      </c>
      <c r="D130" s="50"/>
      <c r="E130" s="50"/>
      <c r="F130" s="50" t="s">
        <v>25</v>
      </c>
      <c r="G130" s="55">
        <v>20000000</v>
      </c>
      <c r="H130" s="55"/>
      <c r="I130" s="55"/>
      <c r="J130" s="51">
        <v>1600000</v>
      </c>
      <c r="K130" s="51"/>
      <c r="L130" s="52">
        <v>46358</v>
      </c>
      <c r="M130" s="53">
        <v>45848</v>
      </c>
      <c r="N130" s="50" t="s">
        <v>239</v>
      </c>
      <c r="O130" s="50" t="s">
        <v>582</v>
      </c>
      <c r="P130" s="50" t="s">
        <v>25</v>
      </c>
      <c r="Q130" s="55" t="s">
        <v>583</v>
      </c>
      <c r="R130" s="55" t="s">
        <v>584</v>
      </c>
      <c r="S130" s="53">
        <v>46943</v>
      </c>
      <c r="T130" s="50"/>
      <c r="U130" s="50"/>
      <c r="V130" s="56"/>
      <c r="W130" s="56"/>
      <c r="X130" s="56"/>
      <c r="Y130" s="56"/>
      <c r="Z130" s="56"/>
      <c r="AA130" s="56"/>
      <c r="AB130" s="56"/>
    </row>
    <row x14ac:dyDescent="0.25" r="131" customHeight="1" ht="18.75">
      <c r="A131" s="56"/>
      <c r="B131" s="56"/>
      <c r="C131" s="50" t="s">
        <v>16</v>
      </c>
      <c r="D131" s="50"/>
      <c r="E131" s="50"/>
      <c r="F131" s="50" t="s">
        <v>585</v>
      </c>
      <c r="G131" s="55">
        <v>10000000</v>
      </c>
      <c r="H131" s="55"/>
      <c r="I131" s="55"/>
      <c r="J131" s="51">
        <v>800000</v>
      </c>
      <c r="K131" s="51"/>
      <c r="L131" s="52">
        <v>46081</v>
      </c>
      <c r="M131" s="53">
        <v>46022</v>
      </c>
      <c r="N131" s="50" t="s">
        <v>168</v>
      </c>
      <c r="O131" s="50" t="s">
        <v>586</v>
      </c>
      <c r="P131" s="50" t="s">
        <v>585</v>
      </c>
      <c r="Q131" s="55" t="s">
        <v>587</v>
      </c>
      <c r="R131" s="55" t="s">
        <v>588</v>
      </c>
      <c r="S131" s="53">
        <v>47117</v>
      </c>
      <c r="T131" s="50"/>
      <c r="U131" s="50"/>
      <c r="V131" s="56"/>
      <c r="W131" s="56"/>
      <c r="X131" s="56"/>
      <c r="Y131" s="56"/>
      <c r="Z131" s="56"/>
      <c r="AA131" s="56"/>
      <c r="AB131" s="56"/>
    </row>
    <row x14ac:dyDescent="0.25" r="132" customHeight="1" ht="18.75">
      <c r="A132" s="56"/>
      <c r="B132" s="56"/>
      <c r="C132" s="50" t="s">
        <v>27</v>
      </c>
      <c r="D132" s="50"/>
      <c r="E132" s="50"/>
      <c r="F132" s="50" t="s">
        <v>28</v>
      </c>
      <c r="G132" s="51">
        <v>3000000</v>
      </c>
      <c r="H132" s="51"/>
      <c r="I132" s="51"/>
      <c r="J132" s="51">
        <v>300000</v>
      </c>
      <c r="K132" s="51"/>
      <c r="L132" s="52">
        <v>46030</v>
      </c>
      <c r="M132" s="53">
        <v>45999</v>
      </c>
      <c r="N132" s="50" t="s">
        <v>212</v>
      </c>
      <c r="O132" s="50" t="s">
        <v>589</v>
      </c>
      <c r="P132" s="50" t="s">
        <v>28</v>
      </c>
      <c r="Q132" s="55">
        <v>8311252803223</v>
      </c>
      <c r="R132" s="55">
        <v>45196070</v>
      </c>
      <c r="S132" s="53">
        <f>IF(ISNUMBER(M132), EDATE(M132,36)-1, "")</f>
        <v>25569.375</v>
      </c>
      <c r="T132" s="50"/>
      <c r="U132" s="50"/>
      <c r="V132" s="56"/>
      <c r="W132" s="56"/>
      <c r="X132" s="56"/>
      <c r="Y132" s="56"/>
      <c r="Z132" s="56"/>
      <c r="AA132" s="56"/>
      <c r="AB132" s="56"/>
    </row>
    <row x14ac:dyDescent="0.25" r="133" customHeight="1" ht="18.75">
      <c r="A133" s="56"/>
      <c r="B133" s="56"/>
      <c r="C133" s="50" t="s">
        <v>16</v>
      </c>
      <c r="D133" s="50"/>
      <c r="E133" s="50"/>
      <c r="F133" s="50" t="s">
        <v>592</v>
      </c>
      <c r="G133" s="55">
        <v>10000000</v>
      </c>
      <c r="H133" s="55"/>
      <c r="I133" s="55"/>
      <c r="J133" s="51">
        <v>800000</v>
      </c>
      <c r="K133" s="51"/>
      <c r="L133" s="52">
        <v>46030</v>
      </c>
      <c r="M133" s="53">
        <v>45969</v>
      </c>
      <c r="N133" s="50" t="s">
        <v>379</v>
      </c>
      <c r="O133" s="50" t="s">
        <v>593</v>
      </c>
      <c r="P133" s="50" t="s">
        <v>592</v>
      </c>
      <c r="Q133" s="55" t="s">
        <v>594</v>
      </c>
      <c r="R133" s="55" t="s">
        <v>595</v>
      </c>
      <c r="S133" s="53">
        <v>47064</v>
      </c>
      <c r="T133" s="50"/>
      <c r="U133" s="50"/>
      <c r="V133" s="56"/>
      <c r="W133" s="56"/>
      <c r="X133" s="56"/>
      <c r="Y133" s="56"/>
      <c r="Z133" s="56"/>
      <c r="AA133" s="56"/>
      <c r="AB133" s="56"/>
    </row>
    <row x14ac:dyDescent="0.25" r="134" customHeight="1" ht="18.75">
      <c r="A134" s="56"/>
      <c r="B134" s="56"/>
      <c r="C134" s="50" t="s">
        <v>16</v>
      </c>
      <c r="D134" s="50"/>
      <c r="E134" s="50"/>
      <c r="F134" s="50" t="s">
        <v>596</v>
      </c>
      <c r="G134" s="55">
        <v>10000000</v>
      </c>
      <c r="H134" s="55"/>
      <c r="I134" s="55"/>
      <c r="J134" s="51">
        <v>800000</v>
      </c>
      <c r="K134" s="51"/>
      <c r="L134" s="52">
        <v>46131</v>
      </c>
      <c r="M134" s="53">
        <v>46072</v>
      </c>
      <c r="N134" s="50" t="s">
        <v>306</v>
      </c>
      <c r="O134" s="50" t="s">
        <v>597</v>
      </c>
      <c r="P134" s="50" t="s">
        <v>596</v>
      </c>
      <c r="Q134" s="55" t="s">
        <v>598</v>
      </c>
      <c r="R134" s="55" t="s">
        <v>599</v>
      </c>
      <c r="S134" s="53">
        <v>47167</v>
      </c>
      <c r="T134" s="50" t="s">
        <v>600</v>
      </c>
      <c r="U134" s="50" t="s">
        <v>166</v>
      </c>
      <c r="V134" s="56"/>
      <c r="W134" s="56"/>
      <c r="X134" s="56"/>
      <c r="Y134" s="56"/>
      <c r="Z134" s="56"/>
      <c r="AA134" s="56"/>
      <c r="AB134" s="56"/>
    </row>
    <row x14ac:dyDescent="0.25" r="135" customHeight="1" ht="18.75">
      <c r="A135" s="56"/>
      <c r="B135" s="56"/>
      <c r="C135" s="50" t="s">
        <v>113</v>
      </c>
      <c r="D135" s="50"/>
      <c r="E135" s="50"/>
      <c r="F135" s="50" t="s">
        <v>357</v>
      </c>
      <c r="G135" s="55">
        <v>30000000</v>
      </c>
      <c r="H135" s="55"/>
      <c r="I135" s="55"/>
      <c r="J135" s="51">
        <v>1500000</v>
      </c>
      <c r="K135" s="51"/>
      <c r="L135" s="52">
        <v>45593</v>
      </c>
      <c r="M135" s="53">
        <v>45532</v>
      </c>
      <c r="N135" s="50" t="s">
        <v>306</v>
      </c>
      <c r="O135" s="50" t="s">
        <v>601</v>
      </c>
      <c r="P135" s="50" t="s">
        <v>357</v>
      </c>
      <c r="Q135" s="55" t="s">
        <v>602</v>
      </c>
      <c r="R135" s="55" t="s">
        <v>603</v>
      </c>
      <c r="S135" s="53">
        <v>47357</v>
      </c>
      <c r="T135" s="50"/>
      <c r="U135" s="50"/>
      <c r="V135" s="56"/>
      <c r="W135" s="56"/>
      <c r="X135" s="56"/>
      <c r="Y135" s="56"/>
      <c r="Z135" s="56"/>
      <c r="AA135" s="56"/>
      <c r="AB135" s="56"/>
    </row>
    <row x14ac:dyDescent="0.25" r="136" customHeight="1" ht="18.75">
      <c r="A136" s="56"/>
      <c r="B136" s="56"/>
      <c r="C136" s="50" t="s">
        <v>16</v>
      </c>
      <c r="D136" s="50"/>
      <c r="E136" s="50"/>
      <c r="F136" s="50" t="s">
        <v>357</v>
      </c>
      <c r="G136" s="55">
        <v>30000000</v>
      </c>
      <c r="H136" s="55"/>
      <c r="I136" s="55"/>
      <c r="J136" s="51">
        <v>2400000</v>
      </c>
      <c r="K136" s="51"/>
      <c r="L136" s="52">
        <v>45898</v>
      </c>
      <c r="M136" s="53">
        <v>45837</v>
      </c>
      <c r="N136" s="50" t="s">
        <v>306</v>
      </c>
      <c r="O136" s="50" t="s">
        <v>601</v>
      </c>
      <c r="P136" s="50" t="s">
        <v>357</v>
      </c>
      <c r="Q136" s="55" t="s">
        <v>602</v>
      </c>
      <c r="R136" s="55" t="s">
        <v>603</v>
      </c>
      <c r="S136" s="53">
        <v>46932</v>
      </c>
      <c r="T136" s="50"/>
      <c r="U136" s="50"/>
      <c r="V136" s="56"/>
      <c r="W136" s="56"/>
      <c r="X136" s="56"/>
      <c r="Y136" s="56"/>
      <c r="Z136" s="56"/>
      <c r="AA136" s="56"/>
      <c r="AB136" s="56"/>
    </row>
    <row x14ac:dyDescent="0.25" r="137" customHeight="1" ht="18.75">
      <c r="A137" s="56"/>
      <c r="B137" s="56"/>
      <c r="C137" s="50" t="s">
        <v>16</v>
      </c>
      <c r="D137" s="50"/>
      <c r="E137" s="50"/>
      <c r="F137" s="50" t="s">
        <v>357</v>
      </c>
      <c r="G137" s="55">
        <v>30000000</v>
      </c>
      <c r="H137" s="55"/>
      <c r="I137" s="55"/>
      <c r="J137" s="51">
        <v>2400000</v>
      </c>
      <c r="K137" s="51"/>
      <c r="L137" s="52">
        <v>45909</v>
      </c>
      <c r="M137" s="53">
        <v>45847</v>
      </c>
      <c r="N137" s="50" t="s">
        <v>306</v>
      </c>
      <c r="O137" s="50" t="s">
        <v>601</v>
      </c>
      <c r="P137" s="50" t="s">
        <v>357</v>
      </c>
      <c r="Q137" s="55" t="s">
        <v>602</v>
      </c>
      <c r="R137" s="55" t="s">
        <v>603</v>
      </c>
      <c r="S137" s="53">
        <v>46942</v>
      </c>
      <c r="T137" s="50"/>
      <c r="U137" s="50"/>
      <c r="V137" s="56"/>
      <c r="W137" s="56"/>
      <c r="X137" s="56"/>
      <c r="Y137" s="56"/>
      <c r="Z137" s="56"/>
      <c r="AA137" s="56"/>
      <c r="AB137" s="56"/>
    </row>
    <row x14ac:dyDescent="0.25" r="138" customHeight="1" ht="18.75">
      <c r="A138" s="56"/>
      <c r="B138" s="56"/>
      <c r="C138" s="50" t="s">
        <v>16</v>
      </c>
      <c r="D138" s="50"/>
      <c r="E138" s="50"/>
      <c r="F138" s="50" t="s">
        <v>604</v>
      </c>
      <c r="G138" s="55">
        <v>30000000</v>
      </c>
      <c r="H138" s="55"/>
      <c r="I138" s="55"/>
      <c r="J138" s="51">
        <v>2028000</v>
      </c>
      <c r="K138" s="51"/>
      <c r="L138" s="52">
        <v>46044</v>
      </c>
      <c r="M138" s="53">
        <v>45983</v>
      </c>
      <c r="N138" s="50" t="s">
        <v>212</v>
      </c>
      <c r="O138" s="50" t="s">
        <v>605</v>
      </c>
      <c r="P138" s="50" t="s">
        <v>604</v>
      </c>
      <c r="Q138" s="55" t="s">
        <v>606</v>
      </c>
      <c r="R138" s="55" t="s">
        <v>607</v>
      </c>
      <c r="S138" s="53">
        <v>47078</v>
      </c>
      <c r="T138" s="50"/>
      <c r="U138" s="50"/>
      <c r="V138" s="56"/>
      <c r="W138" s="56"/>
      <c r="X138" s="56"/>
      <c r="Y138" s="56"/>
      <c r="Z138" s="56"/>
      <c r="AA138" s="56"/>
      <c r="AB138" s="56"/>
    </row>
    <row x14ac:dyDescent="0.25" r="139" customHeight="1" ht="18.75">
      <c r="A139" s="56"/>
      <c r="B139" s="56"/>
      <c r="C139" s="50" t="s">
        <v>16</v>
      </c>
      <c r="D139" s="50" t="s">
        <v>143</v>
      </c>
      <c r="E139" s="50"/>
      <c r="F139" s="50" t="s">
        <v>608</v>
      </c>
      <c r="G139" s="55">
        <v>10000000</v>
      </c>
      <c r="H139" s="55"/>
      <c r="I139" s="55"/>
      <c r="J139" s="51">
        <v>800000</v>
      </c>
      <c r="K139" s="51"/>
      <c r="L139" s="52">
        <v>46146</v>
      </c>
      <c r="M139" s="53">
        <v>46085</v>
      </c>
      <c r="N139" s="50" t="s">
        <v>609</v>
      </c>
      <c r="O139" s="50" t="s">
        <v>610</v>
      </c>
      <c r="P139" s="50" t="s">
        <v>608</v>
      </c>
      <c r="Q139" s="55" t="s">
        <v>611</v>
      </c>
      <c r="R139" s="55" t="s">
        <v>612</v>
      </c>
      <c r="S139" s="53">
        <v>47180</v>
      </c>
      <c r="T139" s="50"/>
      <c r="U139" s="50"/>
      <c r="V139" s="56"/>
      <c r="W139" s="56"/>
      <c r="X139" s="56"/>
      <c r="Y139" s="56"/>
      <c r="Z139" s="56"/>
      <c r="AA139" s="56"/>
      <c r="AB139" s="56"/>
    </row>
    <row x14ac:dyDescent="0.25" r="140" customHeight="1" ht="18.75">
      <c r="A140" s="56"/>
      <c r="B140" s="56"/>
      <c r="C140" s="50" t="s">
        <v>16</v>
      </c>
      <c r="D140" s="50"/>
      <c r="E140" s="50" t="s">
        <v>22</v>
      </c>
      <c r="F140" s="50" t="s">
        <v>608</v>
      </c>
      <c r="G140" s="55">
        <v>10000000</v>
      </c>
      <c r="H140" s="55"/>
      <c r="I140" s="55"/>
      <c r="J140" s="51">
        <v>800000</v>
      </c>
      <c r="K140" s="51"/>
      <c r="L140" s="52">
        <v>46146</v>
      </c>
      <c r="M140" s="53">
        <v>46085</v>
      </c>
      <c r="N140" s="50" t="s">
        <v>609</v>
      </c>
      <c r="O140" s="50" t="s">
        <v>610</v>
      </c>
      <c r="P140" s="50" t="s">
        <v>608</v>
      </c>
      <c r="Q140" s="55" t="s">
        <v>611</v>
      </c>
      <c r="R140" s="55" t="s">
        <v>612</v>
      </c>
      <c r="S140" s="53">
        <v>47180</v>
      </c>
      <c r="T140" s="50"/>
      <c r="U140" s="50" t="s">
        <v>166</v>
      </c>
      <c r="V140" s="56"/>
      <c r="W140" s="56"/>
      <c r="X140" s="56"/>
      <c r="Y140" s="56"/>
      <c r="Z140" s="56"/>
      <c r="AA140" s="56"/>
      <c r="AB140" s="56"/>
    </row>
    <row x14ac:dyDescent="0.25" r="141" customHeight="1" ht="18.75">
      <c r="A141" s="56"/>
      <c r="B141" s="56"/>
      <c r="C141" s="50" t="s">
        <v>16</v>
      </c>
      <c r="D141" s="50"/>
      <c r="E141" s="50" t="s">
        <v>477</v>
      </c>
      <c r="F141" s="50" t="s">
        <v>613</v>
      </c>
      <c r="G141" s="55">
        <v>10000000</v>
      </c>
      <c r="H141" s="55"/>
      <c r="I141" s="55"/>
      <c r="J141" s="51">
        <v>800000</v>
      </c>
      <c r="K141" s="51"/>
      <c r="L141" s="52">
        <v>46139</v>
      </c>
      <c r="M141" s="53">
        <v>46080</v>
      </c>
      <c r="N141" s="50" t="s">
        <v>282</v>
      </c>
      <c r="O141" s="50" t="s">
        <v>614</v>
      </c>
      <c r="P141" s="50" t="s">
        <v>613</v>
      </c>
      <c r="Q141" s="55" t="s">
        <v>615</v>
      </c>
      <c r="R141" s="55" t="s">
        <v>616</v>
      </c>
      <c r="S141" s="53">
        <v>47175</v>
      </c>
      <c r="T141" s="50" t="s">
        <v>617</v>
      </c>
      <c r="U141" s="50"/>
      <c r="V141" s="56"/>
      <c r="W141" s="56"/>
      <c r="X141" s="56"/>
      <c r="Y141" s="56"/>
      <c r="Z141" s="56"/>
      <c r="AA141" s="56"/>
      <c r="AB141" s="56"/>
    </row>
    <row x14ac:dyDescent="0.25" r="142" customHeight="1" ht="18.75">
      <c r="A142" s="56"/>
      <c r="B142" s="56"/>
      <c r="C142" s="50" t="s">
        <v>16</v>
      </c>
      <c r="D142" s="50"/>
      <c r="E142" s="50"/>
      <c r="F142" s="50" t="s">
        <v>618</v>
      </c>
      <c r="G142" s="55">
        <v>10000000</v>
      </c>
      <c r="H142" s="55"/>
      <c r="I142" s="55"/>
      <c r="J142" s="51">
        <v>800000</v>
      </c>
      <c r="K142" s="51"/>
      <c r="L142" s="52">
        <v>46047</v>
      </c>
      <c r="M142" s="53">
        <v>45986</v>
      </c>
      <c r="N142" s="50" t="s">
        <v>217</v>
      </c>
      <c r="O142" s="50" t="s">
        <v>619</v>
      </c>
      <c r="P142" s="50" t="s">
        <v>618</v>
      </c>
      <c r="Q142" s="55" t="s">
        <v>620</v>
      </c>
      <c r="R142" s="55" t="s">
        <v>621</v>
      </c>
      <c r="S142" s="53">
        <v>47081</v>
      </c>
      <c r="T142" s="50"/>
      <c r="U142" s="50"/>
      <c r="V142" s="56"/>
      <c r="W142" s="56"/>
      <c r="X142" s="56"/>
      <c r="Y142" s="56"/>
      <c r="Z142" s="56"/>
      <c r="AA142" s="56"/>
      <c r="AB142" s="56"/>
    </row>
    <row x14ac:dyDescent="0.25" r="143" customHeight="1" ht="18.75">
      <c r="A143" s="56"/>
      <c r="B143" s="56"/>
      <c r="C143" s="50" t="s">
        <v>16</v>
      </c>
      <c r="D143" s="50"/>
      <c r="E143" s="50"/>
      <c r="F143" s="50" t="s">
        <v>622</v>
      </c>
      <c r="G143" s="55">
        <v>10000000</v>
      </c>
      <c r="H143" s="55"/>
      <c r="I143" s="55"/>
      <c r="J143" s="51">
        <v>800000</v>
      </c>
      <c r="K143" s="51"/>
      <c r="L143" s="52">
        <v>46165</v>
      </c>
      <c r="M143" s="53">
        <v>46104</v>
      </c>
      <c r="N143" s="50" t="s">
        <v>168</v>
      </c>
      <c r="O143" s="50" t="s">
        <v>623</v>
      </c>
      <c r="P143" s="50" t="s">
        <v>622</v>
      </c>
      <c r="Q143" s="55" t="s">
        <v>624</v>
      </c>
      <c r="R143" s="55" t="s">
        <v>625</v>
      </c>
      <c r="S143" s="53">
        <v>47199</v>
      </c>
      <c r="T143" s="50" t="s">
        <v>626</v>
      </c>
      <c r="U143" s="50" t="s">
        <v>166</v>
      </c>
      <c r="V143" s="56"/>
      <c r="W143" s="56"/>
      <c r="X143" s="56"/>
      <c r="Y143" s="56"/>
      <c r="Z143" s="56"/>
      <c r="AA143" s="56"/>
      <c r="AB143" s="56"/>
    </row>
    <row x14ac:dyDescent="0.25" r="144" customHeight="1" ht="18.75">
      <c r="A144" s="100" t="s">
        <v>708</v>
      </c>
      <c r="B144" s="100" t="s">
        <v>3224</v>
      </c>
      <c r="C144" s="101" t="s">
        <v>16</v>
      </c>
      <c r="D144" s="101" t="s">
        <v>75</v>
      </c>
      <c r="E144" s="101" t="s">
        <v>75</v>
      </c>
      <c r="F144" s="101" t="s">
        <v>1756</v>
      </c>
      <c r="G144" s="102">
        <v>10000000</v>
      </c>
      <c r="H144" s="102">
        <v>10000000</v>
      </c>
      <c r="I144" s="103">
        <v>46119</v>
      </c>
      <c r="J144" s="104">
        <v>500000</v>
      </c>
      <c r="K144" s="104">
        <v>7</v>
      </c>
      <c r="L144" s="103">
        <v>46180</v>
      </c>
      <c r="M144" s="103">
        <v>46119</v>
      </c>
      <c r="N144" s="101" t="s">
        <v>168</v>
      </c>
      <c r="O144" s="101" t="s">
        <v>1757</v>
      </c>
      <c r="P144" s="101" t="s">
        <v>1756</v>
      </c>
      <c r="Q144" s="102" t="s">
        <v>1758</v>
      </c>
      <c r="R144" s="102" t="s">
        <v>1759</v>
      </c>
      <c r="S144" s="103">
        <v>47214</v>
      </c>
      <c r="T144" s="101" t="s">
        <v>1760</v>
      </c>
      <c r="U144" s="101" t="s">
        <v>166</v>
      </c>
      <c r="V144" s="62"/>
      <c r="W144" s="100"/>
      <c r="X144" s="100"/>
      <c r="Y144" s="100"/>
      <c r="Z144" s="100"/>
      <c r="AA144" s="100"/>
      <c r="AB144" s="100"/>
    </row>
    <row x14ac:dyDescent="0.25" r="145" customHeight="1" ht="18.75">
      <c r="A145" s="100" t="s">
        <v>708</v>
      </c>
      <c r="B145" s="100" t="s">
        <v>3224</v>
      </c>
      <c r="C145" s="101" t="s">
        <v>16</v>
      </c>
      <c r="D145" s="101" t="s">
        <v>1978</v>
      </c>
      <c r="E145" s="101" t="s">
        <v>1978</v>
      </c>
      <c r="F145" s="101" t="s">
        <v>2411</v>
      </c>
      <c r="G145" s="102">
        <v>10000000</v>
      </c>
      <c r="H145" s="102">
        <v>10000000</v>
      </c>
      <c r="I145" s="103">
        <v>46119</v>
      </c>
      <c r="J145" s="104">
        <v>800000</v>
      </c>
      <c r="K145" s="104">
        <v>7</v>
      </c>
      <c r="L145" s="103">
        <v>46180</v>
      </c>
      <c r="M145" s="103">
        <v>46119</v>
      </c>
      <c r="N145" s="101" t="s">
        <v>217</v>
      </c>
      <c r="O145" s="101" t="s">
        <v>2412</v>
      </c>
      <c r="P145" s="101" t="s">
        <v>2411</v>
      </c>
      <c r="Q145" s="102" t="s">
        <v>2413</v>
      </c>
      <c r="R145" s="102" t="s">
        <v>2414</v>
      </c>
      <c r="S145" s="103">
        <v>47214</v>
      </c>
      <c r="T145" s="101" t="s">
        <v>2415</v>
      </c>
      <c r="U145" s="101" t="s">
        <v>166</v>
      </c>
      <c r="V145" s="100"/>
      <c r="W145" s="100"/>
      <c r="X145" s="100"/>
      <c r="Y145" s="100"/>
      <c r="Z145" s="100"/>
      <c r="AA145" s="100"/>
      <c r="AB145" s="100"/>
    </row>
    <row x14ac:dyDescent="0.25" r="146" customHeight="1" ht="18.75">
      <c r="A146" s="56"/>
      <c r="B146" s="56"/>
      <c r="C146" s="50" t="s">
        <v>16</v>
      </c>
      <c r="D146" s="50"/>
      <c r="E146" s="50" t="s">
        <v>636</v>
      </c>
      <c r="F146" s="50" t="s">
        <v>637</v>
      </c>
      <c r="G146" s="55">
        <v>10000000</v>
      </c>
      <c r="H146" s="55"/>
      <c r="I146" s="55"/>
      <c r="J146" s="51">
        <v>800000</v>
      </c>
      <c r="K146" s="51"/>
      <c r="L146" s="52">
        <v>46131</v>
      </c>
      <c r="M146" s="53">
        <v>46072</v>
      </c>
      <c r="N146" s="50" t="s">
        <v>282</v>
      </c>
      <c r="O146" s="50" t="s">
        <v>638</v>
      </c>
      <c r="P146" s="50" t="s">
        <v>637</v>
      </c>
      <c r="Q146" s="55" t="s">
        <v>639</v>
      </c>
      <c r="R146" s="55" t="s">
        <v>640</v>
      </c>
      <c r="S146" s="53">
        <v>47167</v>
      </c>
      <c r="T146" s="50" t="s">
        <v>641</v>
      </c>
      <c r="U146" s="50" t="s">
        <v>166</v>
      </c>
      <c r="V146" s="56"/>
      <c r="W146" s="56"/>
      <c r="X146" s="56"/>
      <c r="Y146" s="56"/>
      <c r="Z146" s="56"/>
      <c r="AA146" s="56"/>
      <c r="AB146" s="56"/>
    </row>
    <row x14ac:dyDescent="0.25" r="147" customHeight="1" ht="18.75">
      <c r="A147" s="63" t="s">
        <v>152</v>
      </c>
      <c r="B147" s="63"/>
      <c r="C147" s="49" t="s">
        <v>16</v>
      </c>
      <c r="D147" s="49" t="s">
        <v>642</v>
      </c>
      <c r="E147" s="49" t="s">
        <v>327</v>
      </c>
      <c r="F147" s="49" t="s">
        <v>643</v>
      </c>
      <c r="G147" s="64">
        <v>10000000</v>
      </c>
      <c r="H147" s="64"/>
      <c r="I147" s="64"/>
      <c r="J147" s="64">
        <v>500000</v>
      </c>
      <c r="K147" s="64"/>
      <c r="L147" s="66">
        <v>45992</v>
      </c>
      <c r="M147" s="67">
        <f>IF(L147&gt;0,EDATE(L147,-2),"")</f>
        <v>25569.375</v>
      </c>
      <c r="N147" s="49" t="s">
        <v>302</v>
      </c>
      <c r="O147" s="49" t="s">
        <v>644</v>
      </c>
      <c r="P147" s="68">
        <f>IF(F147&gt;0,F147,"")</f>
      </c>
      <c r="Q147" s="69" t="s">
        <v>645</v>
      </c>
      <c r="R147" s="69">
        <v>37736437</v>
      </c>
      <c r="S147" s="67">
        <f>IF(M147&gt;0,EDATE(M147,36)-1,"")</f>
        <v>25569.375</v>
      </c>
      <c r="T147" s="49"/>
      <c r="U147" s="49"/>
      <c r="V147" s="63" t="s">
        <v>646</v>
      </c>
      <c r="W147" s="56"/>
      <c r="X147" s="56"/>
      <c r="Y147" s="56"/>
      <c r="Z147" s="56"/>
      <c r="AA147" s="56"/>
      <c r="AB147" s="56"/>
    </row>
    <row x14ac:dyDescent="0.25" r="148" customHeight="1" ht="18.75">
      <c r="A148" s="100" t="s">
        <v>708</v>
      </c>
      <c r="B148" s="100" t="s">
        <v>3224</v>
      </c>
      <c r="C148" s="101" t="s">
        <v>16</v>
      </c>
      <c r="D148" s="101" t="s">
        <v>14</v>
      </c>
      <c r="E148" s="101" t="s">
        <v>14</v>
      </c>
      <c r="F148" s="101" t="s">
        <v>2869</v>
      </c>
      <c r="G148" s="102">
        <v>10000000</v>
      </c>
      <c r="H148" s="102">
        <v>10000000</v>
      </c>
      <c r="I148" s="103">
        <v>46119</v>
      </c>
      <c r="J148" s="104">
        <v>800000</v>
      </c>
      <c r="K148" s="104">
        <v>7</v>
      </c>
      <c r="L148" s="103">
        <v>46180</v>
      </c>
      <c r="M148" s="103">
        <v>46119</v>
      </c>
      <c r="N148" s="101" t="s">
        <v>1688</v>
      </c>
      <c r="O148" s="101" t="s">
        <v>2870</v>
      </c>
      <c r="P148" s="101" t="s">
        <v>2869</v>
      </c>
      <c r="Q148" s="102" t="s">
        <v>2871</v>
      </c>
      <c r="R148" s="102" t="s">
        <v>2872</v>
      </c>
      <c r="S148" s="103">
        <v>47214</v>
      </c>
      <c r="T148" s="101" t="s">
        <v>2873</v>
      </c>
      <c r="U148" s="101" t="s">
        <v>166</v>
      </c>
      <c r="V148" s="100" t="s">
        <v>772</v>
      </c>
      <c r="W148" s="100"/>
      <c r="X148" s="100"/>
      <c r="Y148" s="100"/>
      <c r="Z148" s="100"/>
      <c r="AA148" s="100"/>
      <c r="AB148" s="100"/>
    </row>
    <row x14ac:dyDescent="0.25" r="149" customHeight="1" ht="18.75">
      <c r="A149" s="56"/>
      <c r="B149" s="56"/>
      <c r="C149" s="50" t="s">
        <v>16</v>
      </c>
      <c r="D149" s="50"/>
      <c r="E149" s="50"/>
      <c r="F149" s="50" t="s">
        <v>2908</v>
      </c>
      <c r="G149" s="55">
        <v>10000000</v>
      </c>
      <c r="H149" s="55"/>
      <c r="I149" s="55"/>
      <c r="J149" s="51">
        <v>800000</v>
      </c>
      <c r="K149" s="51"/>
      <c r="L149" s="52">
        <v>46180</v>
      </c>
      <c r="M149" s="53">
        <v>46119</v>
      </c>
      <c r="N149" s="50"/>
      <c r="O149" s="50" t="s">
        <v>2909</v>
      </c>
      <c r="P149" s="50" t="s">
        <v>2908</v>
      </c>
      <c r="Q149" s="55" t="s">
        <v>2910</v>
      </c>
      <c r="R149" s="55" t="s">
        <v>2911</v>
      </c>
      <c r="S149" s="53">
        <v>47214</v>
      </c>
      <c r="T149" s="50" t="s">
        <v>2912</v>
      </c>
      <c r="U149" s="50" t="s">
        <v>166</v>
      </c>
      <c r="V149" s="48" t="s">
        <v>656</v>
      </c>
      <c r="W149" s="56"/>
      <c r="X149" s="56"/>
      <c r="Y149" s="56"/>
      <c r="Z149" s="56"/>
      <c r="AA149" s="56"/>
      <c r="AB149" s="56"/>
    </row>
    <row x14ac:dyDescent="0.25" r="150" customHeight="1" ht="18.75">
      <c r="A150" s="56"/>
      <c r="B150" s="56"/>
      <c r="C150" s="50" t="s">
        <v>16</v>
      </c>
      <c r="D150" s="50"/>
      <c r="E150" s="50" t="s">
        <v>720</v>
      </c>
      <c r="F150" s="50" t="s">
        <v>721</v>
      </c>
      <c r="G150" s="55">
        <v>10000000</v>
      </c>
      <c r="H150" s="55"/>
      <c r="I150" s="55"/>
      <c r="J150" s="51">
        <v>500000</v>
      </c>
      <c r="K150" s="51"/>
      <c r="L150" s="52">
        <v>46181</v>
      </c>
      <c r="M150" s="53">
        <v>46120</v>
      </c>
      <c r="N150" s="50" t="s">
        <v>168</v>
      </c>
      <c r="O150" s="50" t="s">
        <v>722</v>
      </c>
      <c r="P150" s="50" t="s">
        <v>721</v>
      </c>
      <c r="Q150" s="55" t="s">
        <v>723</v>
      </c>
      <c r="R150" s="55" t="s">
        <v>724</v>
      </c>
      <c r="S150" s="53">
        <v>47215</v>
      </c>
      <c r="T150" s="50" t="s">
        <v>725</v>
      </c>
      <c r="U150" s="50" t="s">
        <v>166</v>
      </c>
      <c r="V150" s="56"/>
      <c r="W150" s="56"/>
      <c r="X150" s="56"/>
      <c r="Y150" s="56"/>
      <c r="Z150" s="56"/>
      <c r="AA150" s="56"/>
      <c r="AB150" s="56"/>
    </row>
    <row x14ac:dyDescent="0.25" r="151" customHeight="1" ht="18.75">
      <c r="A151" s="48" t="s">
        <v>3232</v>
      </c>
      <c r="B151" s="62"/>
      <c r="C151" s="50" t="s">
        <v>16</v>
      </c>
      <c r="D151" s="50" t="s">
        <v>143</v>
      </c>
      <c r="E151" s="50" t="s">
        <v>2259</v>
      </c>
      <c r="F151" s="50" t="s">
        <v>481</v>
      </c>
      <c r="G151" s="55">
        <v>60000000</v>
      </c>
      <c r="H151" s="55"/>
      <c r="I151" s="55"/>
      <c r="J151" s="51">
        <v>800000</v>
      </c>
      <c r="K151" s="51"/>
      <c r="L151" s="52">
        <v>46181</v>
      </c>
      <c r="M151" s="53">
        <v>46120</v>
      </c>
      <c r="N151" s="50" t="s">
        <v>168</v>
      </c>
      <c r="O151" s="50" t="s">
        <v>2003</v>
      </c>
      <c r="P151" s="50" t="s">
        <v>481</v>
      </c>
      <c r="Q151" s="55" t="s">
        <v>2004</v>
      </c>
      <c r="R151" s="55" t="s">
        <v>3257</v>
      </c>
      <c r="S151" s="53">
        <v>47215</v>
      </c>
      <c r="T151" s="50"/>
      <c r="U151" s="50" t="s">
        <v>166</v>
      </c>
      <c r="V151" s="48" t="s">
        <v>3258</v>
      </c>
      <c r="W151" s="56"/>
      <c r="X151" s="56"/>
      <c r="Y151" s="56"/>
      <c r="Z151" s="56"/>
      <c r="AA151" s="56"/>
      <c r="AB151" s="56"/>
    </row>
    <row x14ac:dyDescent="0.25" r="152" customHeight="1" ht="18.75">
      <c r="A152" s="56"/>
      <c r="B152" s="56"/>
      <c r="C152" s="50" t="s">
        <v>16</v>
      </c>
      <c r="D152" s="50"/>
      <c r="E152" s="50"/>
      <c r="F152" s="50" t="s">
        <v>661</v>
      </c>
      <c r="G152" s="55">
        <v>10000000</v>
      </c>
      <c r="H152" s="55"/>
      <c r="I152" s="55"/>
      <c r="J152" s="51">
        <v>800000</v>
      </c>
      <c r="K152" s="51"/>
      <c r="L152" s="52">
        <v>46152</v>
      </c>
      <c r="M152" s="53">
        <v>46091</v>
      </c>
      <c r="N152" s="50" t="s">
        <v>239</v>
      </c>
      <c r="O152" s="50" t="s">
        <v>662</v>
      </c>
      <c r="P152" s="50" t="s">
        <v>661</v>
      </c>
      <c r="Q152" s="55" t="s">
        <v>663</v>
      </c>
      <c r="R152" s="55" t="s">
        <v>664</v>
      </c>
      <c r="S152" s="53">
        <v>47186</v>
      </c>
      <c r="T152" s="50"/>
      <c r="U152" s="50" t="s">
        <v>166</v>
      </c>
      <c r="V152" s="48" t="s">
        <v>83</v>
      </c>
      <c r="W152" s="56"/>
      <c r="X152" s="56"/>
      <c r="Y152" s="56"/>
      <c r="Z152" s="56"/>
      <c r="AA152" s="56"/>
      <c r="AB152" s="56"/>
    </row>
    <row x14ac:dyDescent="0.25" r="153" customHeight="1" ht="18.75">
      <c r="A153" s="56"/>
      <c r="B153" s="56"/>
      <c r="C153" s="50" t="s">
        <v>16</v>
      </c>
      <c r="D153" s="50"/>
      <c r="E153" s="50"/>
      <c r="F153" s="50" t="s">
        <v>665</v>
      </c>
      <c r="G153" s="55">
        <v>10000000</v>
      </c>
      <c r="H153" s="55"/>
      <c r="I153" s="55"/>
      <c r="J153" s="51">
        <v>800000</v>
      </c>
      <c r="K153" s="51"/>
      <c r="L153" s="52">
        <v>46100</v>
      </c>
      <c r="M153" s="53">
        <v>46041</v>
      </c>
      <c r="N153" s="50" t="s">
        <v>182</v>
      </c>
      <c r="O153" s="50" t="s">
        <v>666</v>
      </c>
      <c r="P153" s="50" t="s">
        <v>665</v>
      </c>
      <c r="Q153" s="55" t="s">
        <v>667</v>
      </c>
      <c r="R153" s="55" t="s">
        <v>668</v>
      </c>
      <c r="S153" s="53">
        <v>47136</v>
      </c>
      <c r="T153" s="50"/>
      <c r="U153" s="50" t="s">
        <v>166</v>
      </c>
      <c r="V153" s="56"/>
      <c r="W153" s="56"/>
      <c r="X153" s="56"/>
      <c r="Y153" s="56"/>
      <c r="Z153" s="56"/>
      <c r="AA153" s="56"/>
      <c r="AB153" s="56"/>
    </row>
    <row x14ac:dyDescent="0.25" r="154" customHeight="1" ht="18.75">
      <c r="A154" s="56"/>
      <c r="B154" s="56"/>
      <c r="C154" s="49" t="s">
        <v>16</v>
      </c>
      <c r="D154" s="50"/>
      <c r="E154" s="50"/>
      <c r="F154" s="50" t="s">
        <v>669</v>
      </c>
      <c r="G154" s="51">
        <v>30000000</v>
      </c>
      <c r="H154" s="51"/>
      <c r="I154" s="51"/>
      <c r="J154" s="51">
        <v>2400000</v>
      </c>
      <c r="K154" s="51"/>
      <c r="L154" s="52">
        <v>45840</v>
      </c>
      <c r="M154" s="53">
        <f>IF(L154&gt;0,EDATE(L154,-2),"")</f>
        <v>25569.375</v>
      </c>
      <c r="N154" s="50" t="s">
        <v>212</v>
      </c>
      <c r="O154" s="50" t="s">
        <v>670</v>
      </c>
      <c r="P154" s="54">
        <f>IF(F154&gt;0,F154,"")</f>
      </c>
      <c r="Q154" s="55" t="s">
        <v>671</v>
      </c>
      <c r="R154" s="55">
        <v>55325621</v>
      </c>
      <c r="S154" s="53">
        <f>IF(ISNUMBER(M154), EDATE(M154,36)-1, "")</f>
        <v>25569.375</v>
      </c>
      <c r="T154" s="50"/>
      <c r="U154" s="50"/>
      <c r="V154" s="56"/>
      <c r="W154" s="56"/>
      <c r="X154" s="56"/>
      <c r="Y154" s="56"/>
      <c r="Z154" s="56"/>
      <c r="AA154" s="56"/>
      <c r="AB154" s="56"/>
    </row>
    <row x14ac:dyDescent="0.25" r="155" customHeight="1" ht="18.75">
      <c r="A155" s="56"/>
      <c r="B155" s="56"/>
      <c r="C155" s="50" t="s">
        <v>16</v>
      </c>
      <c r="D155" s="50"/>
      <c r="E155" s="50"/>
      <c r="F155" s="50" t="s">
        <v>672</v>
      </c>
      <c r="G155" s="55">
        <v>30000000</v>
      </c>
      <c r="H155" s="55"/>
      <c r="I155" s="55"/>
      <c r="J155" s="51">
        <v>2400000</v>
      </c>
      <c r="K155" s="51"/>
      <c r="L155" s="52">
        <v>45869</v>
      </c>
      <c r="M155" s="53">
        <v>45805</v>
      </c>
      <c r="N155" s="50" t="s">
        <v>212</v>
      </c>
      <c r="O155" s="50" t="s">
        <v>673</v>
      </c>
      <c r="P155" s="50" t="s">
        <v>672</v>
      </c>
      <c r="Q155" s="55" t="s">
        <v>674</v>
      </c>
      <c r="R155" s="55" t="s">
        <v>675</v>
      </c>
      <c r="S155" s="53">
        <v>46903</v>
      </c>
      <c r="T155" s="50"/>
      <c r="U155" s="50"/>
      <c r="V155" s="56"/>
      <c r="W155" s="56"/>
      <c r="X155" s="56"/>
      <c r="Y155" s="56"/>
      <c r="Z155" s="56"/>
      <c r="AA155" s="56"/>
      <c r="AB155" s="56"/>
    </row>
    <row x14ac:dyDescent="0.25" r="156" customHeight="1" ht="18.75">
      <c r="A156" s="56"/>
      <c r="B156" s="56"/>
      <c r="C156" s="50" t="s">
        <v>16</v>
      </c>
      <c r="D156" s="50"/>
      <c r="E156" s="50" t="s">
        <v>2259</v>
      </c>
      <c r="F156" s="50" t="s">
        <v>481</v>
      </c>
      <c r="G156" s="55">
        <v>60000000</v>
      </c>
      <c r="H156" s="55"/>
      <c r="I156" s="55"/>
      <c r="J156" s="51">
        <v>800000</v>
      </c>
      <c r="K156" s="51"/>
      <c r="L156" s="52">
        <v>46181</v>
      </c>
      <c r="M156" s="53">
        <v>46120</v>
      </c>
      <c r="N156" s="50" t="s">
        <v>168</v>
      </c>
      <c r="O156" s="50" t="s">
        <v>2003</v>
      </c>
      <c r="P156" s="50" t="s">
        <v>481</v>
      </c>
      <c r="Q156" s="55" t="s">
        <v>2004</v>
      </c>
      <c r="R156" s="55" t="s">
        <v>3257</v>
      </c>
      <c r="S156" s="53">
        <v>47215</v>
      </c>
      <c r="T156" s="50" t="s">
        <v>3259</v>
      </c>
      <c r="U156" s="50" t="s">
        <v>166</v>
      </c>
      <c r="V156" s="48" t="s">
        <v>3260</v>
      </c>
      <c r="W156" s="56"/>
      <c r="X156" s="56"/>
      <c r="Y156" s="56"/>
      <c r="Z156" s="56"/>
      <c r="AA156" s="56"/>
      <c r="AB156" s="56"/>
    </row>
    <row x14ac:dyDescent="0.25" r="157" customHeight="1" ht="18.75">
      <c r="A157" s="56"/>
      <c r="B157" s="56"/>
      <c r="C157" s="50" t="s">
        <v>16</v>
      </c>
      <c r="D157" s="50"/>
      <c r="E157" s="50"/>
      <c r="F157" s="50" t="s">
        <v>681</v>
      </c>
      <c r="G157" s="55">
        <v>30000000</v>
      </c>
      <c r="H157" s="55"/>
      <c r="I157" s="55"/>
      <c r="J157" s="51">
        <v>2028000</v>
      </c>
      <c r="K157" s="51"/>
      <c r="L157" s="52">
        <v>46032</v>
      </c>
      <c r="M157" s="53">
        <v>45971</v>
      </c>
      <c r="N157" s="50" t="s">
        <v>239</v>
      </c>
      <c r="O157" s="50" t="s">
        <v>682</v>
      </c>
      <c r="P157" s="50" t="s">
        <v>681</v>
      </c>
      <c r="Q157" s="55" t="s">
        <v>683</v>
      </c>
      <c r="R157" s="55" t="s">
        <v>684</v>
      </c>
      <c r="S157" s="53">
        <v>47066</v>
      </c>
      <c r="T157" s="50"/>
      <c r="U157" s="50"/>
      <c r="V157" s="56"/>
      <c r="W157" s="56"/>
      <c r="X157" s="56"/>
      <c r="Y157" s="56"/>
      <c r="Z157" s="56"/>
      <c r="AA157" s="56"/>
      <c r="AB157" s="56"/>
    </row>
    <row x14ac:dyDescent="0.25" r="158" customHeight="1" ht="18.75">
      <c r="A158" s="63"/>
      <c r="B158" s="63"/>
      <c r="C158" s="49" t="s">
        <v>16</v>
      </c>
      <c r="D158" s="49" t="s">
        <v>143</v>
      </c>
      <c r="E158" s="49" t="s">
        <v>14</v>
      </c>
      <c r="F158" s="49" t="s">
        <v>481</v>
      </c>
      <c r="G158" s="64">
        <v>60000000</v>
      </c>
      <c r="H158" s="64"/>
      <c r="I158" s="64"/>
      <c r="J158" s="64">
        <v>4056000</v>
      </c>
      <c r="K158" s="64"/>
      <c r="L158" s="66">
        <v>46181</v>
      </c>
      <c r="M158" s="67">
        <f>IF(L158&gt;0,EDATE(L158,-2),"")</f>
        <v>25569.375</v>
      </c>
      <c r="N158" s="49" t="s">
        <v>168</v>
      </c>
      <c r="O158" s="49" t="s">
        <v>2003</v>
      </c>
      <c r="P158" s="68">
        <f>IF(F158&gt;0,F158,"")</f>
      </c>
      <c r="Q158" s="69" t="s">
        <v>2004</v>
      </c>
      <c r="R158" s="69">
        <v>37243299</v>
      </c>
      <c r="S158" s="67">
        <f>IF(ISNUMBER(M158), EDATE(M158,36)-1, "")</f>
        <v>25569.375</v>
      </c>
      <c r="T158" s="49"/>
      <c r="U158" s="49"/>
      <c r="V158" s="63"/>
      <c r="W158" s="56"/>
      <c r="X158" s="56"/>
      <c r="Y158" s="56"/>
      <c r="Z158" s="56"/>
      <c r="AA158" s="56"/>
      <c r="AB158" s="56"/>
    </row>
    <row x14ac:dyDescent="0.25" r="159" customHeight="1" ht="18.75">
      <c r="A159" s="56"/>
      <c r="B159" s="56"/>
      <c r="C159" s="50" t="s">
        <v>16</v>
      </c>
      <c r="D159" s="50" t="s">
        <v>48</v>
      </c>
      <c r="E159" s="50" t="s">
        <v>1044</v>
      </c>
      <c r="F159" s="50" t="s">
        <v>2219</v>
      </c>
      <c r="G159" s="55">
        <v>10000000</v>
      </c>
      <c r="H159" s="55"/>
      <c r="I159" s="55"/>
      <c r="J159" s="51">
        <v>500000</v>
      </c>
      <c r="K159" s="51"/>
      <c r="L159" s="52">
        <v>46181</v>
      </c>
      <c r="M159" s="53">
        <v>46120</v>
      </c>
      <c r="N159" s="50" t="s">
        <v>205</v>
      </c>
      <c r="O159" s="50" t="s">
        <v>2220</v>
      </c>
      <c r="P159" s="50" t="s">
        <v>2219</v>
      </c>
      <c r="Q159" s="55" t="s">
        <v>2221</v>
      </c>
      <c r="R159" s="55" t="s">
        <v>2222</v>
      </c>
      <c r="S159" s="53">
        <v>47215</v>
      </c>
      <c r="T159" s="50" t="s">
        <v>2223</v>
      </c>
      <c r="U159" s="50" t="s">
        <v>166</v>
      </c>
      <c r="V159" s="50" t="s">
        <v>2224</v>
      </c>
      <c r="W159" s="56"/>
      <c r="X159" s="56"/>
      <c r="Y159" s="56"/>
      <c r="Z159" s="56"/>
      <c r="AA159" s="56"/>
      <c r="AB159" s="56"/>
    </row>
    <row x14ac:dyDescent="0.25" r="160" customHeight="1" ht="18.75">
      <c r="A160" s="56"/>
      <c r="B160" s="56"/>
      <c r="C160" s="50" t="s">
        <v>16</v>
      </c>
      <c r="D160" s="50"/>
      <c r="E160" s="50"/>
      <c r="F160" s="50" t="s">
        <v>117</v>
      </c>
      <c r="G160" s="55">
        <v>60000000</v>
      </c>
      <c r="H160" s="55"/>
      <c r="I160" s="55"/>
      <c r="J160" s="51">
        <v>4056000</v>
      </c>
      <c r="K160" s="51"/>
      <c r="L160" s="52">
        <v>45987</v>
      </c>
      <c r="M160" s="53">
        <v>45926</v>
      </c>
      <c r="N160" s="50" t="s">
        <v>306</v>
      </c>
      <c r="O160" s="50" t="s">
        <v>693</v>
      </c>
      <c r="P160" s="50" t="s">
        <v>117</v>
      </c>
      <c r="Q160" s="55" t="s">
        <v>694</v>
      </c>
      <c r="R160" s="55" t="s">
        <v>695</v>
      </c>
      <c r="S160" s="53">
        <v>47021</v>
      </c>
      <c r="T160" s="50"/>
      <c r="U160" s="50"/>
      <c r="V160" s="56"/>
      <c r="W160" s="56"/>
      <c r="X160" s="56"/>
      <c r="Y160" s="56"/>
      <c r="Z160" s="56"/>
      <c r="AA160" s="56"/>
      <c r="AB160" s="56"/>
    </row>
    <row x14ac:dyDescent="0.25" r="161" customHeight="1" ht="18.75">
      <c r="A161" s="56"/>
      <c r="B161" s="56"/>
      <c r="C161" s="50" t="s">
        <v>16</v>
      </c>
      <c r="D161" s="50"/>
      <c r="E161" s="50"/>
      <c r="F161" s="50" t="s">
        <v>117</v>
      </c>
      <c r="G161" s="55">
        <v>60000000</v>
      </c>
      <c r="H161" s="55"/>
      <c r="I161" s="55"/>
      <c r="J161" s="51">
        <v>4056000</v>
      </c>
      <c r="K161" s="51"/>
      <c r="L161" s="52">
        <v>46008</v>
      </c>
      <c r="M161" s="53">
        <v>45947</v>
      </c>
      <c r="N161" s="50" t="s">
        <v>570</v>
      </c>
      <c r="O161" s="50" t="s">
        <v>697</v>
      </c>
      <c r="P161" s="50" t="s">
        <v>117</v>
      </c>
      <c r="Q161" s="55" t="s">
        <v>694</v>
      </c>
      <c r="R161" s="55" t="s">
        <v>695</v>
      </c>
      <c r="S161" s="53">
        <v>47042</v>
      </c>
      <c r="T161" s="50"/>
      <c r="U161" s="50"/>
      <c r="V161" s="56"/>
      <c r="W161" s="56"/>
      <c r="X161" s="56"/>
      <c r="Y161" s="56"/>
      <c r="Z161" s="56"/>
      <c r="AA161" s="56"/>
      <c r="AB161" s="56"/>
    </row>
    <row x14ac:dyDescent="0.25" r="162" customHeight="1" ht="18.75">
      <c r="A162" s="56"/>
      <c r="B162" s="56"/>
      <c r="C162" s="50" t="s">
        <v>16</v>
      </c>
      <c r="D162" s="50"/>
      <c r="E162" s="50"/>
      <c r="F162" s="50" t="s">
        <v>117</v>
      </c>
      <c r="G162" s="55">
        <v>10000000</v>
      </c>
      <c r="H162" s="55"/>
      <c r="I162" s="55"/>
      <c r="J162" s="51">
        <v>800000</v>
      </c>
      <c r="K162" s="51"/>
      <c r="L162" s="52">
        <v>46081</v>
      </c>
      <c r="M162" s="53">
        <v>46022</v>
      </c>
      <c r="N162" s="50" t="s">
        <v>699</v>
      </c>
      <c r="O162" s="50" t="s">
        <v>700</v>
      </c>
      <c r="P162" s="50" t="s">
        <v>117</v>
      </c>
      <c r="Q162" s="55" t="s">
        <v>701</v>
      </c>
      <c r="R162" s="55" t="s">
        <v>702</v>
      </c>
      <c r="S162" s="53">
        <v>47117</v>
      </c>
      <c r="T162" s="50"/>
      <c r="U162" s="50"/>
      <c r="V162" s="56"/>
      <c r="W162" s="56"/>
      <c r="X162" s="56"/>
      <c r="Y162" s="56"/>
      <c r="Z162" s="56"/>
      <c r="AA162" s="56"/>
      <c r="AB162" s="56"/>
    </row>
    <row x14ac:dyDescent="0.25" r="163" customHeight="1" ht="18.75">
      <c r="A163" s="63" t="s">
        <v>152</v>
      </c>
      <c r="B163" s="63"/>
      <c r="C163" s="49" t="s">
        <v>16</v>
      </c>
      <c r="D163" s="49" t="s">
        <v>80</v>
      </c>
      <c r="E163" s="49" t="s">
        <v>596</v>
      </c>
      <c r="F163" s="49" t="s">
        <v>117</v>
      </c>
      <c r="G163" s="64">
        <v>10000000</v>
      </c>
      <c r="H163" s="64"/>
      <c r="I163" s="64"/>
      <c r="J163" s="65">
        <f>IF(G163&gt;0,_xludf.IFS(G163=10000000,800000,G163=20000000,1528000,G163=30000000,2028000,G163=60000000,4056000),"")</f>
      </c>
      <c r="K163" s="64"/>
      <c r="L163" s="66">
        <v>46130</v>
      </c>
      <c r="M163" s="67">
        <f>IF(L163&gt;0,EDATE(L163,-2),"")</f>
        <v>25569.375</v>
      </c>
      <c r="N163" s="49" t="s">
        <v>217</v>
      </c>
      <c r="O163" s="49" t="s">
        <v>704</v>
      </c>
      <c r="P163" s="68">
        <f>IF(F163&gt;0,F163,"")</f>
      </c>
      <c r="Q163" s="69" t="s">
        <v>705</v>
      </c>
      <c r="R163" s="69">
        <v>94914154</v>
      </c>
      <c r="S163" s="67">
        <f>IF(ISNUMBER(M163), EDATE(M163,36)-1, "")</f>
        <v>25569.375</v>
      </c>
      <c r="T163" s="49"/>
      <c r="U163" s="49"/>
      <c r="V163" s="63" t="s">
        <v>707</v>
      </c>
      <c r="W163" s="56"/>
      <c r="X163" s="56"/>
      <c r="Y163" s="56"/>
      <c r="Z163" s="56"/>
      <c r="AA163" s="56"/>
      <c r="AB163" s="56"/>
    </row>
    <row x14ac:dyDescent="0.25" r="164" customHeight="1" ht="18.75">
      <c r="A164" s="56"/>
      <c r="B164" s="56"/>
      <c r="C164" s="50" t="s">
        <v>16</v>
      </c>
      <c r="D164" s="50"/>
      <c r="E164" s="50" t="s">
        <v>2384</v>
      </c>
      <c r="F164" s="50" t="s">
        <v>56</v>
      </c>
      <c r="G164" s="55">
        <v>10000000</v>
      </c>
      <c r="H164" s="55"/>
      <c r="I164" s="55"/>
      <c r="J164" s="51">
        <v>800000</v>
      </c>
      <c r="K164" s="51"/>
      <c r="L164" s="52">
        <v>46181</v>
      </c>
      <c r="M164" s="53">
        <v>46120</v>
      </c>
      <c r="N164" s="50" t="s">
        <v>168</v>
      </c>
      <c r="O164" s="50" t="s">
        <v>2385</v>
      </c>
      <c r="P164" s="50" t="s">
        <v>56</v>
      </c>
      <c r="Q164" s="55" t="s">
        <v>2386</v>
      </c>
      <c r="R164" s="55" t="s">
        <v>2387</v>
      </c>
      <c r="S164" s="53">
        <v>47215</v>
      </c>
      <c r="T164" s="50" t="s">
        <v>2388</v>
      </c>
      <c r="U164" s="50" t="s">
        <v>166</v>
      </c>
      <c r="V164" s="56"/>
      <c r="W164" s="56"/>
      <c r="X164" s="56"/>
      <c r="Y164" s="56"/>
      <c r="Z164" s="56"/>
      <c r="AA164" s="56"/>
      <c r="AB164" s="56"/>
    </row>
    <row x14ac:dyDescent="0.25" r="165" customHeight="1" ht="18.75">
      <c r="A165" s="71"/>
      <c r="B165" s="71"/>
      <c r="C165" s="72" t="s">
        <v>16</v>
      </c>
      <c r="D165" s="72"/>
      <c r="E165" s="72"/>
      <c r="F165" s="72" t="s">
        <v>2892</v>
      </c>
      <c r="G165" s="73">
        <v>10000000</v>
      </c>
      <c r="H165" s="73"/>
      <c r="I165" s="73"/>
      <c r="J165" s="74"/>
      <c r="K165" s="74"/>
      <c r="L165" s="75">
        <v>46181</v>
      </c>
      <c r="M165" s="76">
        <v>46120</v>
      </c>
      <c r="N165" s="72" t="s">
        <v>161</v>
      </c>
      <c r="O165" s="72" t="s">
        <v>2893</v>
      </c>
      <c r="P165" s="72" t="s">
        <v>2892</v>
      </c>
      <c r="Q165" s="73" t="s">
        <v>2894</v>
      </c>
      <c r="R165" s="73" t="s">
        <v>2895</v>
      </c>
      <c r="S165" s="76">
        <v>47215</v>
      </c>
      <c r="T165" s="72"/>
      <c r="U165" s="72" t="s">
        <v>166</v>
      </c>
      <c r="V165" s="71"/>
      <c r="W165" s="56"/>
      <c r="X165" s="56"/>
      <c r="Y165" s="56"/>
      <c r="Z165" s="56"/>
      <c r="AA165" s="56"/>
      <c r="AB165" s="56"/>
    </row>
    <row x14ac:dyDescent="0.25" r="166" customHeight="1" ht="18.75">
      <c r="A166" s="56"/>
      <c r="B166" s="56"/>
      <c r="C166" s="50" t="s">
        <v>16</v>
      </c>
      <c r="D166" s="50"/>
      <c r="E166" s="50"/>
      <c r="F166" s="50" t="s">
        <v>710</v>
      </c>
      <c r="G166" s="55">
        <v>10000000</v>
      </c>
      <c r="H166" s="55"/>
      <c r="I166" s="55"/>
      <c r="J166" s="51">
        <v>800000</v>
      </c>
      <c r="K166" s="51"/>
      <c r="L166" s="52">
        <v>46166</v>
      </c>
      <c r="M166" s="53">
        <v>46105</v>
      </c>
      <c r="N166" s="50" t="s">
        <v>205</v>
      </c>
      <c r="O166" s="50" t="s">
        <v>711</v>
      </c>
      <c r="P166" s="50" t="s">
        <v>710</v>
      </c>
      <c r="Q166" s="55" t="s">
        <v>712</v>
      </c>
      <c r="R166" s="55" t="s">
        <v>713</v>
      </c>
      <c r="S166" s="53">
        <v>47200</v>
      </c>
      <c r="T166" s="50" t="s">
        <v>714</v>
      </c>
      <c r="U166" s="50" t="s">
        <v>166</v>
      </c>
      <c r="V166" s="56" t="s">
        <v>1856</v>
      </c>
      <c r="W166" s="56"/>
      <c r="X166" s="56"/>
      <c r="Y166" s="56"/>
      <c r="Z166" s="56"/>
      <c r="AA166" s="56"/>
      <c r="AB166" s="56"/>
    </row>
    <row x14ac:dyDescent="0.25" r="167" customHeight="1" ht="18.75">
      <c r="A167" s="48" t="s">
        <v>275</v>
      </c>
      <c r="B167" s="48"/>
      <c r="C167" s="49" t="s">
        <v>16</v>
      </c>
      <c r="D167" s="50"/>
      <c r="E167" s="50"/>
      <c r="F167" s="50" t="s">
        <v>710</v>
      </c>
      <c r="G167" s="51">
        <v>10000000</v>
      </c>
      <c r="H167" s="51"/>
      <c r="I167" s="51"/>
      <c r="J167" s="87">
        <f>IF(G167&gt;0,_xludf.IFS(G167=10000000,800000,G167=20000000,1528000,G167=30000000,2028000,G167=60000000,4056000),"")</f>
      </c>
      <c r="K167" s="51"/>
      <c r="L167" s="52">
        <v>46166</v>
      </c>
      <c r="M167" s="53">
        <f>IF(L167&gt;0,EDATE(L167,-2),"")</f>
        <v>25569.375</v>
      </c>
      <c r="N167" s="50" t="s">
        <v>205</v>
      </c>
      <c r="O167" s="50" t="s">
        <v>711</v>
      </c>
      <c r="P167" s="50" t="s">
        <v>2156</v>
      </c>
      <c r="Q167" s="55" t="s">
        <v>712</v>
      </c>
      <c r="R167" s="55">
        <v>52226307</v>
      </c>
      <c r="S167" s="53">
        <f>IF(ISNUMBER(M167), EDATE(M167,36)-1, "")</f>
        <v>25569.375</v>
      </c>
      <c r="T167" s="50"/>
      <c r="U167" s="50"/>
      <c r="V167" s="48" t="s">
        <v>715</v>
      </c>
      <c r="W167" s="56"/>
      <c r="X167" s="56"/>
      <c r="Y167" s="56"/>
      <c r="Z167" s="56"/>
      <c r="AA167" s="56"/>
      <c r="AB167" s="56"/>
    </row>
    <row x14ac:dyDescent="0.25" r="168" customHeight="1" ht="18.75">
      <c r="A168" s="56"/>
      <c r="B168" s="56"/>
      <c r="C168" s="50" t="s">
        <v>16</v>
      </c>
      <c r="D168" s="50"/>
      <c r="E168" s="50"/>
      <c r="F168" s="50" t="s">
        <v>716</v>
      </c>
      <c r="G168" s="55">
        <v>10000000</v>
      </c>
      <c r="H168" s="55"/>
      <c r="I168" s="55"/>
      <c r="J168" s="51">
        <v>800000</v>
      </c>
      <c r="K168" s="51"/>
      <c r="L168" s="52">
        <v>46029</v>
      </c>
      <c r="M168" s="53">
        <v>45968</v>
      </c>
      <c r="N168" s="50" t="s">
        <v>306</v>
      </c>
      <c r="O168" s="50" t="s">
        <v>717</v>
      </c>
      <c r="P168" s="50" t="s">
        <v>716</v>
      </c>
      <c r="Q168" s="55" t="s">
        <v>718</v>
      </c>
      <c r="R168" s="55" t="s">
        <v>719</v>
      </c>
      <c r="S168" s="53">
        <v>47063</v>
      </c>
      <c r="T168" s="50"/>
      <c r="U168" s="50"/>
      <c r="V168" s="56"/>
      <c r="W168" s="56"/>
      <c r="X168" s="56"/>
      <c r="Y168" s="56"/>
      <c r="Z168" s="56"/>
      <c r="AA168" s="56"/>
      <c r="AB168" s="56"/>
    </row>
    <row x14ac:dyDescent="0.25" r="169" customHeight="1" ht="18.75">
      <c r="A169" s="48" t="s">
        <v>152</v>
      </c>
      <c r="B169" s="62"/>
      <c r="C169" s="50" t="s">
        <v>16</v>
      </c>
      <c r="D169" s="50" t="s">
        <v>900</v>
      </c>
      <c r="E169" s="50" t="s">
        <v>1393</v>
      </c>
      <c r="F169" s="50" t="s">
        <v>3087</v>
      </c>
      <c r="G169" s="51">
        <v>20000000</v>
      </c>
      <c r="H169" s="51"/>
      <c r="I169" s="51"/>
      <c r="J169" s="51">
        <v>1528000</v>
      </c>
      <c r="K169" s="51"/>
      <c r="L169" s="52">
        <v>46188</v>
      </c>
      <c r="M169" s="53">
        <v>46120</v>
      </c>
      <c r="N169" s="50" t="s">
        <v>155</v>
      </c>
      <c r="O169" s="50" t="s">
        <v>3088</v>
      </c>
      <c r="P169" s="54">
        <f>IF(F169&gt;0,F169,"")</f>
      </c>
      <c r="Q169" s="55">
        <v>3034169229</v>
      </c>
      <c r="R169" s="55">
        <v>22669229</v>
      </c>
      <c r="S169" s="53">
        <f>IF(ISNUMBER(M169), EDATE(M169,36)-1, "")</f>
        <v>25569.375</v>
      </c>
      <c r="T169" s="50"/>
      <c r="U169" s="50"/>
      <c r="V169" s="56" t="s">
        <v>3089</v>
      </c>
      <c r="W169" s="56"/>
      <c r="X169" s="56"/>
      <c r="Y169" s="56"/>
      <c r="Z169" s="56"/>
      <c r="AA169" s="56"/>
      <c r="AB169" s="56"/>
    </row>
    <row x14ac:dyDescent="0.25" r="170" customHeight="1" ht="18.75">
      <c r="A170" s="48" t="s">
        <v>347</v>
      </c>
      <c r="B170" s="48"/>
      <c r="C170" s="50" t="s">
        <v>16</v>
      </c>
      <c r="D170" s="50" t="s">
        <v>55</v>
      </c>
      <c r="E170" s="50" t="s">
        <v>726</v>
      </c>
      <c r="F170" s="50" t="s">
        <v>727</v>
      </c>
      <c r="G170" s="55">
        <v>30000000</v>
      </c>
      <c r="H170" s="55"/>
      <c r="I170" s="55"/>
      <c r="J170" s="51">
        <v>1528000</v>
      </c>
      <c r="K170" s="51"/>
      <c r="L170" s="52">
        <v>46159</v>
      </c>
      <c r="M170" s="53">
        <v>46098</v>
      </c>
      <c r="N170" s="50" t="s">
        <v>161</v>
      </c>
      <c r="O170" s="50" t="s">
        <v>728</v>
      </c>
      <c r="P170" s="50" t="s">
        <v>727</v>
      </c>
      <c r="Q170" s="55" t="s">
        <v>729</v>
      </c>
      <c r="R170" s="55" t="s">
        <v>730</v>
      </c>
      <c r="S170" s="53">
        <v>47193</v>
      </c>
      <c r="T170" s="50"/>
      <c r="U170" s="50" t="s">
        <v>166</v>
      </c>
      <c r="V170" s="56"/>
      <c r="W170" s="56"/>
      <c r="X170" s="56"/>
      <c r="Y170" s="56"/>
      <c r="Z170" s="56"/>
      <c r="AA170" s="56"/>
      <c r="AB170" s="56"/>
    </row>
    <row x14ac:dyDescent="0.25" r="171" customHeight="1" ht="18.75">
      <c r="A171" s="71"/>
      <c r="B171" s="71"/>
      <c r="C171" s="72" t="s">
        <v>16</v>
      </c>
      <c r="D171" s="72"/>
      <c r="E171" s="72"/>
      <c r="F171" s="72" t="s">
        <v>801</v>
      </c>
      <c r="G171" s="73">
        <v>10000000</v>
      </c>
      <c r="H171" s="73"/>
      <c r="I171" s="73"/>
      <c r="J171" s="74"/>
      <c r="K171" s="74"/>
      <c r="L171" s="75">
        <v>46182</v>
      </c>
      <c r="M171" s="76">
        <v>46121</v>
      </c>
      <c r="N171" s="72" t="s">
        <v>217</v>
      </c>
      <c r="O171" s="72" t="s">
        <v>802</v>
      </c>
      <c r="P171" s="72" t="s">
        <v>801</v>
      </c>
      <c r="Q171" s="73" t="s">
        <v>803</v>
      </c>
      <c r="R171" s="73" t="s">
        <v>804</v>
      </c>
      <c r="S171" s="76">
        <v>47216</v>
      </c>
      <c r="T171" s="72"/>
      <c r="U171" s="72" t="s">
        <v>166</v>
      </c>
      <c r="V171" s="71"/>
      <c r="W171" s="56"/>
      <c r="X171" s="56"/>
      <c r="Y171" s="56"/>
      <c r="Z171" s="56"/>
      <c r="AA171" s="56"/>
      <c r="AB171" s="56"/>
    </row>
    <row x14ac:dyDescent="0.25" r="172" customHeight="1" ht="18.75">
      <c r="A172" s="56"/>
      <c r="B172" s="56"/>
      <c r="C172" s="49" t="s">
        <v>16</v>
      </c>
      <c r="D172" s="50"/>
      <c r="E172" s="50"/>
      <c r="F172" s="50" t="s">
        <v>733</v>
      </c>
      <c r="G172" s="51">
        <v>10000000</v>
      </c>
      <c r="H172" s="51"/>
      <c r="I172" s="51"/>
      <c r="J172" s="87">
        <f>IF(G172&gt;0,_xludf.IFS(G172=10000000,800000,G172=20000000,1528000,G172=30000000,2028000,G172=60000000,4056000),"")</f>
      </c>
      <c r="K172" s="51"/>
      <c r="L172" s="52">
        <v>46081</v>
      </c>
      <c r="M172" s="53">
        <v>46022</v>
      </c>
      <c r="N172" s="50" t="s">
        <v>699</v>
      </c>
      <c r="O172" s="50" t="s">
        <v>734</v>
      </c>
      <c r="P172" s="54">
        <f>IF(F172&gt;0,F172,"")</f>
      </c>
      <c r="Q172" s="55" t="s">
        <v>735</v>
      </c>
      <c r="R172" s="55">
        <v>22213859</v>
      </c>
      <c r="S172" s="53">
        <f>IF(ISNUMBER(M172), EDATE(M172,36)-1, "")</f>
        <v>25569.375</v>
      </c>
      <c r="T172" s="50"/>
      <c r="U172" s="50"/>
      <c r="V172" s="56"/>
      <c r="W172" s="56"/>
      <c r="X172" s="56"/>
      <c r="Y172" s="56"/>
      <c r="Z172" s="56"/>
      <c r="AA172" s="56"/>
      <c r="AB172" s="56"/>
    </row>
    <row x14ac:dyDescent="0.25" r="173" customHeight="1" ht="18.75">
      <c r="A173" s="71" t="s">
        <v>800</v>
      </c>
      <c r="B173" s="71"/>
      <c r="C173" s="72" t="s">
        <v>16</v>
      </c>
      <c r="D173" s="72"/>
      <c r="E173" s="72"/>
      <c r="F173" s="72" t="s">
        <v>3261</v>
      </c>
      <c r="G173" s="73">
        <v>10000000</v>
      </c>
      <c r="H173" s="73"/>
      <c r="I173" s="73"/>
      <c r="J173" s="74"/>
      <c r="K173" s="74"/>
      <c r="L173" s="75">
        <v>46182</v>
      </c>
      <c r="M173" s="76">
        <v>46121</v>
      </c>
      <c r="N173" s="72" t="s">
        <v>217</v>
      </c>
      <c r="O173" s="72" t="s">
        <v>802</v>
      </c>
      <c r="P173" s="72" t="s">
        <v>2716</v>
      </c>
      <c r="Q173" s="73" t="s">
        <v>803</v>
      </c>
      <c r="R173" s="73" t="s">
        <v>804</v>
      </c>
      <c r="S173" s="76">
        <v>47216</v>
      </c>
      <c r="T173" s="72" t="s">
        <v>805</v>
      </c>
      <c r="U173" s="72" t="s">
        <v>166</v>
      </c>
      <c r="V173" s="71"/>
      <c r="W173" s="56"/>
      <c r="X173" s="56"/>
      <c r="Y173" s="56"/>
      <c r="Z173" s="56"/>
      <c r="AA173" s="56"/>
      <c r="AB173" s="56"/>
    </row>
    <row x14ac:dyDescent="0.25" r="174" customHeight="1" ht="18.75">
      <c r="A174" s="56"/>
      <c r="B174" s="56"/>
      <c r="C174" s="50" t="s">
        <v>16</v>
      </c>
      <c r="D174" s="50" t="s">
        <v>143</v>
      </c>
      <c r="E174" s="50" t="s">
        <v>22</v>
      </c>
      <c r="F174" s="50" t="s">
        <v>1189</v>
      </c>
      <c r="G174" s="55">
        <v>10000000</v>
      </c>
      <c r="H174" s="55"/>
      <c r="I174" s="55"/>
      <c r="J174" s="51">
        <v>800000</v>
      </c>
      <c r="K174" s="51"/>
      <c r="L174" s="52">
        <v>46182</v>
      </c>
      <c r="M174" s="53">
        <v>46121</v>
      </c>
      <c r="N174" s="50" t="s">
        <v>168</v>
      </c>
      <c r="O174" s="50" t="s">
        <v>1190</v>
      </c>
      <c r="P174" s="50" t="s">
        <v>1189</v>
      </c>
      <c r="Q174" s="55" t="s">
        <v>1191</v>
      </c>
      <c r="R174" s="55" t="s">
        <v>1192</v>
      </c>
      <c r="S174" s="53">
        <v>47216</v>
      </c>
      <c r="T174" s="50" t="s">
        <v>1193</v>
      </c>
      <c r="U174" s="50" t="s">
        <v>166</v>
      </c>
      <c r="V174" s="56"/>
      <c r="W174" s="56"/>
      <c r="X174" s="56"/>
      <c r="Y174" s="56"/>
      <c r="Z174" s="56"/>
      <c r="AA174" s="56"/>
      <c r="AB174" s="56"/>
    </row>
    <row x14ac:dyDescent="0.25" r="175" customHeight="1" ht="18.75">
      <c r="A175" s="56"/>
      <c r="B175" s="56"/>
      <c r="C175" s="50" t="s">
        <v>16</v>
      </c>
      <c r="D175" s="50"/>
      <c r="E175" s="50"/>
      <c r="F175" s="50" t="s">
        <v>746</v>
      </c>
      <c r="G175" s="55">
        <v>10000000</v>
      </c>
      <c r="H175" s="55"/>
      <c r="I175" s="55"/>
      <c r="J175" s="51">
        <v>800000</v>
      </c>
      <c r="K175" s="51"/>
      <c r="L175" s="52">
        <v>46151</v>
      </c>
      <c r="M175" s="53">
        <v>46090</v>
      </c>
      <c r="N175" s="50" t="s">
        <v>239</v>
      </c>
      <c r="O175" s="50" t="s">
        <v>662</v>
      </c>
      <c r="P175" s="50" t="s">
        <v>746</v>
      </c>
      <c r="Q175" s="55" t="s">
        <v>747</v>
      </c>
      <c r="R175" s="55" t="s">
        <v>748</v>
      </c>
      <c r="S175" s="53">
        <v>47185</v>
      </c>
      <c r="T175" s="50"/>
      <c r="U175" s="50" t="s">
        <v>166</v>
      </c>
      <c r="V175" s="56"/>
      <c r="W175" s="56"/>
      <c r="X175" s="56"/>
      <c r="Y175" s="56"/>
      <c r="Z175" s="56"/>
      <c r="AA175" s="56"/>
      <c r="AB175" s="56"/>
    </row>
    <row x14ac:dyDescent="0.25" r="176" customHeight="1" ht="18.75">
      <c r="A176" s="63"/>
      <c r="B176" s="63"/>
      <c r="C176" s="49" t="s">
        <v>16</v>
      </c>
      <c r="D176" s="49" t="s">
        <v>153</v>
      </c>
      <c r="E176" s="50" t="s">
        <v>318</v>
      </c>
      <c r="F176" s="49" t="s">
        <v>746</v>
      </c>
      <c r="G176" s="64">
        <v>20000000</v>
      </c>
      <c r="H176" s="64"/>
      <c r="I176" s="64"/>
      <c r="J176" s="65">
        <f>IF(G176&gt;0,_xludf.IFS(G176=10000000,800000,G176=20000000,1528000,G176=30000000,2028000,G176=60000000,4056000),"")</f>
      </c>
      <c r="K176" s="64"/>
      <c r="L176" s="66">
        <v>46152</v>
      </c>
      <c r="M176" s="67">
        <f>IF(L176&gt;0,EDATE(L176,-2),"")</f>
        <v>25569.375</v>
      </c>
      <c r="N176" s="49" t="s">
        <v>239</v>
      </c>
      <c r="O176" s="49" t="s">
        <v>662</v>
      </c>
      <c r="P176" s="68">
        <f>IF(F176&gt;0,F176,"")</f>
      </c>
      <c r="Q176" s="69" t="s">
        <v>747</v>
      </c>
      <c r="R176" s="69">
        <v>84657237</v>
      </c>
      <c r="S176" s="67">
        <f>IF(ISNUMBER(M176), EDATE(M176,36)-1, "")</f>
        <v>25569.375</v>
      </c>
      <c r="T176" s="49"/>
      <c r="U176" s="49"/>
      <c r="V176" s="63" t="s">
        <v>750</v>
      </c>
      <c r="W176" s="56"/>
      <c r="X176" s="56"/>
      <c r="Y176" s="56"/>
      <c r="Z176" s="56"/>
      <c r="AA176" s="56"/>
      <c r="AB176" s="56"/>
    </row>
    <row x14ac:dyDescent="0.25" r="177" customHeight="1" ht="18.75">
      <c r="A177" s="56"/>
      <c r="B177" s="56"/>
      <c r="C177" s="50" t="s">
        <v>16</v>
      </c>
      <c r="D177" s="50"/>
      <c r="E177" s="50"/>
      <c r="F177" s="50" t="s">
        <v>751</v>
      </c>
      <c r="G177" s="55">
        <v>30000000</v>
      </c>
      <c r="H177" s="55"/>
      <c r="I177" s="55"/>
      <c r="J177" s="51">
        <v>2028000</v>
      </c>
      <c r="K177" s="51"/>
      <c r="L177" s="52">
        <v>46028</v>
      </c>
      <c r="M177" s="53">
        <v>45967</v>
      </c>
      <c r="N177" s="50" t="s">
        <v>306</v>
      </c>
      <c r="O177" s="50" t="s">
        <v>752</v>
      </c>
      <c r="P177" s="50" t="s">
        <v>3262</v>
      </c>
      <c r="Q177" s="55" t="s">
        <v>753</v>
      </c>
      <c r="R177" s="55" t="s">
        <v>754</v>
      </c>
      <c r="S177" s="53">
        <v>47062</v>
      </c>
      <c r="T177" s="50"/>
      <c r="U177" s="50" t="s">
        <v>293</v>
      </c>
      <c r="V177" s="56"/>
      <c r="W177" s="56"/>
      <c r="X177" s="56"/>
      <c r="Y177" s="56"/>
      <c r="Z177" s="56"/>
      <c r="AA177" s="56"/>
      <c r="AB177" s="56"/>
    </row>
    <row x14ac:dyDescent="0.25" r="178" customHeight="1" ht="18.75">
      <c r="A178" s="71" t="s">
        <v>3232</v>
      </c>
      <c r="B178" s="71"/>
      <c r="C178" s="72" t="s">
        <v>16</v>
      </c>
      <c r="D178" s="72"/>
      <c r="E178" s="72"/>
      <c r="F178" s="72" t="s">
        <v>1189</v>
      </c>
      <c r="G178" s="73">
        <v>10000000</v>
      </c>
      <c r="H178" s="73"/>
      <c r="I178" s="73"/>
      <c r="J178" s="74"/>
      <c r="K178" s="74"/>
      <c r="L178" s="75">
        <v>46182</v>
      </c>
      <c r="M178" s="76">
        <v>46121</v>
      </c>
      <c r="N178" s="72" t="s">
        <v>217</v>
      </c>
      <c r="O178" s="72" t="s">
        <v>1194</v>
      </c>
      <c r="P178" s="72" t="s">
        <v>1189</v>
      </c>
      <c r="Q178" s="73" t="s">
        <v>1191</v>
      </c>
      <c r="R178" s="73" t="s">
        <v>1192</v>
      </c>
      <c r="S178" s="76">
        <v>47216</v>
      </c>
      <c r="T178" s="72"/>
      <c r="U178" s="72" t="s">
        <v>166</v>
      </c>
      <c r="V178" s="71"/>
      <c r="W178" s="56"/>
      <c r="X178" s="56"/>
      <c r="Y178" s="56"/>
      <c r="Z178" s="56"/>
      <c r="AA178" s="56"/>
      <c r="AB178" s="56"/>
    </row>
    <row x14ac:dyDescent="0.25" r="179" customHeight="1" ht="18.75">
      <c r="A179" s="71"/>
      <c r="B179" s="71"/>
      <c r="C179" s="72" t="s">
        <v>16</v>
      </c>
      <c r="D179" s="72"/>
      <c r="E179" s="72"/>
      <c r="F179" s="72" t="s">
        <v>759</v>
      </c>
      <c r="G179" s="73">
        <v>20000000</v>
      </c>
      <c r="H179" s="73"/>
      <c r="I179" s="73"/>
      <c r="J179" s="88"/>
      <c r="K179" s="88"/>
      <c r="L179" s="75">
        <v>46138</v>
      </c>
      <c r="M179" s="76">
        <v>46079</v>
      </c>
      <c r="N179" s="72" t="s">
        <v>217</v>
      </c>
      <c r="O179" s="72" t="s">
        <v>760</v>
      </c>
      <c r="P179" s="72" t="s">
        <v>759</v>
      </c>
      <c r="Q179" s="73" t="s">
        <v>761</v>
      </c>
      <c r="R179" s="73" t="s">
        <v>762</v>
      </c>
      <c r="S179" s="76">
        <v>47174</v>
      </c>
      <c r="T179" s="72"/>
      <c r="U179" s="72" t="s">
        <v>166</v>
      </c>
      <c r="V179" s="71" t="s">
        <v>70</v>
      </c>
      <c r="W179" s="56"/>
      <c r="X179" s="56"/>
      <c r="Y179" s="56"/>
      <c r="Z179" s="56"/>
      <c r="AA179" s="56"/>
      <c r="AB179" s="56"/>
    </row>
    <row x14ac:dyDescent="0.25" r="180" customHeight="1" ht="18.75">
      <c r="A180" s="56"/>
      <c r="B180" s="56"/>
      <c r="C180" s="50" t="s">
        <v>16</v>
      </c>
      <c r="D180" s="50"/>
      <c r="E180" s="50" t="s">
        <v>22</v>
      </c>
      <c r="F180" s="50" t="s">
        <v>759</v>
      </c>
      <c r="G180" s="55">
        <v>60000000</v>
      </c>
      <c r="H180" s="55"/>
      <c r="I180" s="55"/>
      <c r="J180" s="51">
        <v>4056000</v>
      </c>
      <c r="K180" s="51"/>
      <c r="L180" s="52">
        <v>46147</v>
      </c>
      <c r="M180" s="53">
        <v>46086</v>
      </c>
      <c r="N180" s="50" t="s">
        <v>217</v>
      </c>
      <c r="O180" s="50" t="s">
        <v>760</v>
      </c>
      <c r="P180" s="50" t="s">
        <v>759</v>
      </c>
      <c r="Q180" s="55" t="s">
        <v>761</v>
      </c>
      <c r="R180" s="55" t="s">
        <v>762</v>
      </c>
      <c r="S180" s="53">
        <v>47181</v>
      </c>
      <c r="T180" s="50"/>
      <c r="U180" s="50" t="s">
        <v>166</v>
      </c>
      <c r="V180" s="56"/>
      <c r="W180" s="56"/>
      <c r="X180" s="56"/>
      <c r="Y180" s="56"/>
      <c r="Z180" s="56"/>
      <c r="AA180" s="56"/>
      <c r="AB180" s="56"/>
    </row>
    <row x14ac:dyDescent="0.25" r="181" customHeight="1" ht="18.75">
      <c r="A181" s="63" t="s">
        <v>252</v>
      </c>
      <c r="B181" s="63"/>
      <c r="C181" s="49" t="s">
        <v>16</v>
      </c>
      <c r="D181" s="49" t="s">
        <v>143</v>
      </c>
      <c r="E181" s="49" t="s">
        <v>22</v>
      </c>
      <c r="F181" s="49" t="s">
        <v>1189</v>
      </c>
      <c r="G181" s="64">
        <v>10000000</v>
      </c>
      <c r="H181" s="64"/>
      <c r="I181" s="64"/>
      <c r="J181" s="65">
        <f>IF(G181&gt;0,_xludf.IFS(G181=10000000,800000,G181=20000000,1528000,G181=30000000,2028000,G181=60000000,4056000),"")</f>
      </c>
      <c r="K181" s="64"/>
      <c r="L181" s="66">
        <v>46182</v>
      </c>
      <c r="M181" s="67">
        <f>IF(L181&gt;0,EDATE(L181,-2),"")</f>
        <v>25569.375</v>
      </c>
      <c r="N181" s="49" t="s">
        <v>217</v>
      </c>
      <c r="O181" s="49" t="s">
        <v>1194</v>
      </c>
      <c r="P181" s="49" t="s">
        <v>3263</v>
      </c>
      <c r="Q181" s="69" t="s">
        <v>1191</v>
      </c>
      <c r="R181" s="69">
        <v>86341255</v>
      </c>
      <c r="S181" s="67">
        <f>IF(ISNUMBER(M181), EDATE(M181,36)-1, "")</f>
        <v>25569.375</v>
      </c>
      <c r="T181" s="49"/>
      <c r="U181" s="49"/>
      <c r="V181" s="63"/>
      <c r="W181" s="56"/>
      <c r="X181" s="56"/>
      <c r="Y181" s="56"/>
      <c r="Z181" s="56"/>
      <c r="AA181" s="56"/>
      <c r="AB181" s="56"/>
    </row>
    <row x14ac:dyDescent="0.25" r="182" customHeight="1" ht="18.75">
      <c r="A182" s="56"/>
      <c r="B182" s="56"/>
      <c r="C182" s="50" t="s">
        <v>16</v>
      </c>
      <c r="D182" s="50"/>
      <c r="E182" s="50" t="s">
        <v>22</v>
      </c>
      <c r="F182" s="50" t="s">
        <v>1669</v>
      </c>
      <c r="G182" s="55">
        <v>10000000</v>
      </c>
      <c r="H182" s="55"/>
      <c r="I182" s="55"/>
      <c r="J182" s="51">
        <v>800000</v>
      </c>
      <c r="K182" s="51"/>
      <c r="L182" s="52">
        <v>46182</v>
      </c>
      <c r="M182" s="53">
        <v>46121</v>
      </c>
      <c r="N182" s="50" t="s">
        <v>217</v>
      </c>
      <c r="O182" s="50" t="s">
        <v>1670</v>
      </c>
      <c r="P182" s="50" t="s">
        <v>1669</v>
      </c>
      <c r="Q182" s="55" t="s">
        <v>1671</v>
      </c>
      <c r="R182" s="55" t="s">
        <v>1672</v>
      </c>
      <c r="S182" s="53">
        <v>47216</v>
      </c>
      <c r="T182" s="50" t="s">
        <v>1673</v>
      </c>
      <c r="U182" s="50" t="s">
        <v>166</v>
      </c>
      <c r="V182" s="56"/>
      <c r="W182" s="56"/>
      <c r="X182" s="56"/>
      <c r="Y182" s="56"/>
      <c r="Z182" s="56"/>
      <c r="AA182" s="56"/>
      <c r="AB182" s="56"/>
    </row>
    <row x14ac:dyDescent="0.25" r="183" customHeight="1" ht="18.75">
      <c r="A183" s="63"/>
      <c r="B183" s="63"/>
      <c r="C183" s="49" t="s">
        <v>16</v>
      </c>
      <c r="D183" s="49" t="s">
        <v>454</v>
      </c>
      <c r="E183" s="49" t="s">
        <v>574</v>
      </c>
      <c r="F183" s="49" t="s">
        <v>773</v>
      </c>
      <c r="G183" s="64">
        <v>10000000</v>
      </c>
      <c r="H183" s="64"/>
      <c r="I183" s="64"/>
      <c r="J183" s="64">
        <v>500000</v>
      </c>
      <c r="K183" s="64"/>
      <c r="L183" s="66">
        <v>46147</v>
      </c>
      <c r="M183" s="67">
        <f>IF(L183&gt;0,EDATE(L183,-2),"")</f>
        <v>25569.375</v>
      </c>
      <c r="N183" s="49" t="s">
        <v>155</v>
      </c>
      <c r="O183" s="49" t="s">
        <v>774</v>
      </c>
      <c r="P183" s="68">
        <f>IF(F183&gt;0,F183,"")</f>
      </c>
      <c r="Q183" s="69" t="s">
        <v>775</v>
      </c>
      <c r="R183" s="69">
        <v>72567538</v>
      </c>
      <c r="S183" s="67">
        <f>IF(ISNUMBER(M183), EDATE(M183,36)-1, "")</f>
        <v>25569.375</v>
      </c>
      <c r="T183" s="49"/>
      <c r="U183" s="49"/>
      <c r="V183" s="63"/>
      <c r="W183" s="56"/>
      <c r="X183" s="56"/>
      <c r="Y183" s="56"/>
      <c r="Z183" s="56"/>
      <c r="AA183" s="56"/>
      <c r="AB183" s="56"/>
    </row>
    <row x14ac:dyDescent="0.25" r="184" customHeight="1" ht="18.75">
      <c r="A184" s="71"/>
      <c r="B184" s="71"/>
      <c r="C184" s="72" t="s">
        <v>16</v>
      </c>
      <c r="D184" s="72"/>
      <c r="E184" s="72"/>
      <c r="F184" s="72" t="s">
        <v>108</v>
      </c>
      <c r="G184" s="73">
        <v>10000000</v>
      </c>
      <c r="H184" s="73"/>
      <c r="I184" s="73"/>
      <c r="J184" s="74"/>
      <c r="K184" s="74"/>
      <c r="L184" s="75">
        <v>46182</v>
      </c>
      <c r="M184" s="76">
        <v>46121</v>
      </c>
      <c r="N184" s="72" t="s">
        <v>161</v>
      </c>
      <c r="O184" s="72" t="s">
        <v>2393</v>
      </c>
      <c r="P184" s="72" t="s">
        <v>108</v>
      </c>
      <c r="Q184" s="73" t="s">
        <v>2394</v>
      </c>
      <c r="R184" s="73" t="s">
        <v>2395</v>
      </c>
      <c r="S184" s="76">
        <v>47216</v>
      </c>
      <c r="T184" s="72" t="s">
        <v>2396</v>
      </c>
      <c r="U184" s="72" t="s">
        <v>166</v>
      </c>
      <c r="V184" s="71"/>
      <c r="W184" s="56"/>
      <c r="X184" s="56"/>
      <c r="Y184" s="56"/>
      <c r="Z184" s="56"/>
      <c r="AA184" s="56"/>
      <c r="AB184" s="56"/>
    </row>
    <row x14ac:dyDescent="0.25" r="185" customHeight="1" ht="18.75">
      <c r="A185" s="56"/>
      <c r="B185" s="56"/>
      <c r="C185" s="50" t="s">
        <v>16</v>
      </c>
      <c r="D185" s="50"/>
      <c r="E185" s="50"/>
      <c r="F185" s="50" t="s">
        <v>781</v>
      </c>
      <c r="G185" s="55">
        <v>30000000</v>
      </c>
      <c r="H185" s="55"/>
      <c r="I185" s="55"/>
      <c r="J185" s="51">
        <v>2400000</v>
      </c>
      <c r="K185" s="51"/>
      <c r="L185" s="52">
        <v>46088</v>
      </c>
      <c r="M185" s="53">
        <v>46022</v>
      </c>
      <c r="N185" s="50" t="s">
        <v>155</v>
      </c>
      <c r="O185" s="50" t="s">
        <v>782</v>
      </c>
      <c r="P185" s="50" t="s">
        <v>781</v>
      </c>
      <c r="Q185" s="55" t="s">
        <v>783</v>
      </c>
      <c r="R185" s="55" t="s">
        <v>784</v>
      </c>
      <c r="S185" s="53">
        <v>46758</v>
      </c>
      <c r="T185" s="50"/>
      <c r="U185" s="50"/>
      <c r="V185" s="56"/>
      <c r="W185" s="56"/>
      <c r="X185" s="56"/>
      <c r="Y185" s="56"/>
      <c r="Z185" s="56"/>
      <c r="AA185" s="56"/>
      <c r="AB185" s="56"/>
    </row>
    <row x14ac:dyDescent="0.25" r="186" customHeight="1" ht="18.75">
      <c r="A186" s="56"/>
      <c r="B186" s="56"/>
      <c r="C186" s="50" t="s">
        <v>16</v>
      </c>
      <c r="D186" s="50"/>
      <c r="E186" s="50"/>
      <c r="F186" s="50" t="s">
        <v>785</v>
      </c>
      <c r="G186" s="55">
        <v>30000000</v>
      </c>
      <c r="H186" s="55"/>
      <c r="I186" s="55"/>
      <c r="J186" s="51">
        <v>2028000</v>
      </c>
      <c r="K186" s="51"/>
      <c r="L186" s="52">
        <v>46118</v>
      </c>
      <c r="M186" s="53">
        <v>45969</v>
      </c>
      <c r="N186" s="50" t="s">
        <v>217</v>
      </c>
      <c r="O186" s="50" t="s">
        <v>786</v>
      </c>
      <c r="P186" s="50" t="s">
        <v>785</v>
      </c>
      <c r="Q186" s="55" t="s">
        <v>787</v>
      </c>
      <c r="R186" s="55" t="s">
        <v>788</v>
      </c>
      <c r="S186" s="53">
        <v>47064</v>
      </c>
      <c r="T186" s="50"/>
      <c r="U186" s="50"/>
      <c r="V186" s="56"/>
      <c r="W186" s="56"/>
      <c r="X186" s="56"/>
      <c r="Y186" s="56"/>
      <c r="Z186" s="56"/>
      <c r="AA186" s="56"/>
      <c r="AB186" s="56"/>
    </row>
    <row x14ac:dyDescent="0.25" r="187" customHeight="1" ht="18.75">
      <c r="A187" s="48" t="s">
        <v>152</v>
      </c>
      <c r="B187" s="48"/>
      <c r="C187" s="50" t="s">
        <v>16</v>
      </c>
      <c r="D187" s="50"/>
      <c r="E187" s="50"/>
      <c r="F187" s="50" t="s">
        <v>574</v>
      </c>
      <c r="G187" s="55">
        <v>30000000</v>
      </c>
      <c r="H187" s="55"/>
      <c r="I187" s="55"/>
      <c r="J187" s="51">
        <v>2028000</v>
      </c>
      <c r="K187" s="51"/>
      <c r="L187" s="52">
        <v>46076</v>
      </c>
      <c r="M187" s="53">
        <v>46014</v>
      </c>
      <c r="N187" s="50" t="s">
        <v>155</v>
      </c>
      <c r="O187" s="50" t="s">
        <v>789</v>
      </c>
      <c r="P187" s="50" t="s">
        <v>574</v>
      </c>
      <c r="Q187" s="55" t="s">
        <v>790</v>
      </c>
      <c r="R187" s="55" t="s">
        <v>791</v>
      </c>
      <c r="S187" s="53">
        <v>47109</v>
      </c>
      <c r="T187" s="50"/>
      <c r="U187" s="50"/>
      <c r="V187" s="48" t="s">
        <v>792</v>
      </c>
      <c r="W187" s="56"/>
      <c r="X187" s="56"/>
      <c r="Y187" s="56"/>
      <c r="Z187" s="56"/>
      <c r="AA187" s="56"/>
      <c r="AB187" s="56"/>
    </row>
    <row x14ac:dyDescent="0.25" r="188" customHeight="1" ht="18.75">
      <c r="A188" s="56"/>
      <c r="B188" s="56"/>
      <c r="C188" s="50" t="s">
        <v>16</v>
      </c>
      <c r="D188" s="50"/>
      <c r="E188" s="50" t="s">
        <v>29</v>
      </c>
      <c r="F188" s="50" t="s">
        <v>30</v>
      </c>
      <c r="G188" s="55">
        <v>10250000</v>
      </c>
      <c r="H188" s="55"/>
      <c r="I188" s="55"/>
      <c r="J188" s="51">
        <v>800000</v>
      </c>
      <c r="K188" s="51"/>
      <c r="L188" s="52">
        <v>46107</v>
      </c>
      <c r="M188" s="53">
        <v>46048</v>
      </c>
      <c r="N188" s="50" t="s">
        <v>306</v>
      </c>
      <c r="O188" s="50" t="s">
        <v>793</v>
      </c>
      <c r="P188" s="50" t="s">
        <v>30</v>
      </c>
      <c r="Q188" s="55" t="s">
        <v>794</v>
      </c>
      <c r="R188" s="55" t="s">
        <v>795</v>
      </c>
      <c r="S188" s="53">
        <v>47143</v>
      </c>
      <c r="T188" s="50" t="s">
        <v>31</v>
      </c>
      <c r="U188" s="50" t="s">
        <v>293</v>
      </c>
      <c r="V188" s="56"/>
      <c r="W188" s="56"/>
      <c r="X188" s="56"/>
      <c r="Y188" s="56"/>
      <c r="Z188" s="56"/>
      <c r="AA188" s="56"/>
      <c r="AB188" s="56"/>
    </row>
    <row x14ac:dyDescent="0.25" r="189" customHeight="1" ht="18.75">
      <c r="A189" s="89" t="s">
        <v>796</v>
      </c>
      <c r="B189" s="89"/>
      <c r="C189" s="90" t="s">
        <v>16</v>
      </c>
      <c r="D189" s="90"/>
      <c r="E189" s="90"/>
      <c r="F189" s="90" t="s">
        <v>32</v>
      </c>
      <c r="G189" s="91">
        <v>40000000</v>
      </c>
      <c r="H189" s="91"/>
      <c r="I189" s="91"/>
      <c r="J189" s="92">
        <v>2528000</v>
      </c>
      <c r="K189" s="92"/>
      <c r="L189" s="93">
        <v>46208</v>
      </c>
      <c r="M189" s="94">
        <v>46022</v>
      </c>
      <c r="N189" s="90" t="s">
        <v>217</v>
      </c>
      <c r="O189" s="90" t="s">
        <v>797</v>
      </c>
      <c r="P189" s="90" t="s">
        <v>32</v>
      </c>
      <c r="Q189" s="91" t="s">
        <v>798</v>
      </c>
      <c r="R189" s="91" t="s">
        <v>799</v>
      </c>
      <c r="S189" s="94">
        <v>47117</v>
      </c>
      <c r="T189" s="90"/>
      <c r="U189" s="90"/>
      <c r="V189" s="89" t="s">
        <v>33</v>
      </c>
      <c r="W189" s="56"/>
      <c r="X189" s="56"/>
      <c r="Y189" s="56"/>
      <c r="Z189" s="56"/>
      <c r="AA189" s="56"/>
      <c r="AB189" s="56"/>
    </row>
    <row x14ac:dyDescent="0.25" r="190" customHeight="1" ht="18.75">
      <c r="A190" s="56"/>
      <c r="B190" s="56"/>
      <c r="C190" s="50" t="s">
        <v>16</v>
      </c>
      <c r="D190" s="50" t="s">
        <v>80</v>
      </c>
      <c r="E190" s="50"/>
      <c r="F190" s="50" t="s">
        <v>118</v>
      </c>
      <c r="G190" s="55">
        <v>10000000</v>
      </c>
      <c r="H190" s="55"/>
      <c r="I190" s="55"/>
      <c r="J190" s="51">
        <v>800000</v>
      </c>
      <c r="K190" s="51"/>
      <c r="L190" s="52">
        <v>46182</v>
      </c>
      <c r="M190" s="53">
        <v>46121</v>
      </c>
      <c r="N190" s="50" t="s">
        <v>239</v>
      </c>
      <c r="O190" s="50" t="s">
        <v>2494</v>
      </c>
      <c r="P190" s="50" t="s">
        <v>118</v>
      </c>
      <c r="Q190" s="55" t="s">
        <v>2495</v>
      </c>
      <c r="R190" s="55" t="s">
        <v>2496</v>
      </c>
      <c r="S190" s="53">
        <v>47216</v>
      </c>
      <c r="T190" s="50" t="s">
        <v>2497</v>
      </c>
      <c r="U190" s="50" t="s">
        <v>166</v>
      </c>
      <c r="V190" s="56"/>
      <c r="W190" s="56"/>
      <c r="X190" s="56"/>
      <c r="Y190" s="56"/>
      <c r="Z190" s="56"/>
      <c r="AA190" s="56"/>
      <c r="AB190" s="56"/>
    </row>
    <row x14ac:dyDescent="0.25" r="191" customHeight="1" ht="18.75">
      <c r="A191" s="56"/>
      <c r="B191" s="56"/>
      <c r="C191" s="50" t="s">
        <v>16</v>
      </c>
      <c r="D191" s="50"/>
      <c r="E191" s="50"/>
      <c r="F191" s="50" t="s">
        <v>2977</v>
      </c>
      <c r="G191" s="55">
        <v>20000000</v>
      </c>
      <c r="H191" s="55"/>
      <c r="I191" s="55"/>
      <c r="J191" s="51">
        <v>1528000</v>
      </c>
      <c r="K191" s="51"/>
      <c r="L191" s="52">
        <v>46182</v>
      </c>
      <c r="M191" s="53">
        <v>46121</v>
      </c>
      <c r="N191" s="50" t="s">
        <v>217</v>
      </c>
      <c r="O191" s="50" t="s">
        <v>2978</v>
      </c>
      <c r="P191" s="50" t="s">
        <v>2977</v>
      </c>
      <c r="Q191" s="55" t="s">
        <v>2979</v>
      </c>
      <c r="R191" s="55" t="s">
        <v>2980</v>
      </c>
      <c r="S191" s="53">
        <v>47216</v>
      </c>
      <c r="T191" s="50" t="s">
        <v>2981</v>
      </c>
      <c r="U191" s="50" t="s">
        <v>166</v>
      </c>
      <c r="V191" s="56"/>
      <c r="W191" s="56"/>
      <c r="X191" s="56"/>
      <c r="Y191" s="56"/>
      <c r="Z191" s="56"/>
      <c r="AA191" s="56"/>
      <c r="AB191" s="56"/>
    </row>
    <row x14ac:dyDescent="0.25" r="192" customHeight="1" ht="18.75">
      <c r="A192" s="56"/>
      <c r="B192" s="56"/>
      <c r="C192" s="50" t="s">
        <v>16</v>
      </c>
      <c r="D192" s="50"/>
      <c r="E192" s="50"/>
      <c r="F192" s="50" t="s">
        <v>22</v>
      </c>
      <c r="G192" s="55">
        <v>20000000</v>
      </c>
      <c r="H192" s="55"/>
      <c r="I192" s="55"/>
      <c r="J192" s="51">
        <v>1528000</v>
      </c>
      <c r="K192" s="51"/>
      <c r="L192" s="52">
        <v>46182</v>
      </c>
      <c r="M192" s="53">
        <v>46121</v>
      </c>
      <c r="N192" s="50" t="s">
        <v>217</v>
      </c>
      <c r="O192" s="50" t="s">
        <v>3131</v>
      </c>
      <c r="P192" s="50" t="s">
        <v>22</v>
      </c>
      <c r="Q192" s="55" t="s">
        <v>3145</v>
      </c>
      <c r="R192" s="55" t="s">
        <v>3146</v>
      </c>
      <c r="S192" s="53">
        <v>47216</v>
      </c>
      <c r="T192" s="50" t="s">
        <v>3147</v>
      </c>
      <c r="U192" s="50" t="s">
        <v>166</v>
      </c>
      <c r="V192" s="56"/>
      <c r="W192" s="56"/>
      <c r="X192" s="56"/>
      <c r="Y192" s="56"/>
      <c r="Z192" s="56"/>
      <c r="AA192" s="56"/>
      <c r="AB192" s="56"/>
    </row>
    <row x14ac:dyDescent="0.25" r="193" customHeight="1" ht="18.75">
      <c r="A193" s="56"/>
      <c r="B193" s="56"/>
      <c r="C193" s="50" t="s">
        <v>16</v>
      </c>
      <c r="D193" s="50"/>
      <c r="E193" s="50"/>
      <c r="F193" s="50" t="s">
        <v>813</v>
      </c>
      <c r="G193" s="55">
        <v>60000000</v>
      </c>
      <c r="H193" s="55"/>
      <c r="I193" s="55"/>
      <c r="J193" s="51">
        <v>4800000</v>
      </c>
      <c r="K193" s="51"/>
      <c r="L193" s="52">
        <v>45969</v>
      </c>
      <c r="M193" s="53">
        <v>45848</v>
      </c>
      <c r="N193" s="50" t="s">
        <v>212</v>
      </c>
      <c r="O193" s="50" t="s">
        <v>401</v>
      </c>
      <c r="P193" s="50" t="s">
        <v>813</v>
      </c>
      <c r="Q193" s="55" t="s">
        <v>814</v>
      </c>
      <c r="R193" s="55" t="s">
        <v>815</v>
      </c>
      <c r="S193" s="53">
        <v>46943</v>
      </c>
      <c r="T193" s="50"/>
      <c r="U193" s="50"/>
      <c r="V193" s="56"/>
      <c r="W193" s="56"/>
      <c r="X193" s="56"/>
      <c r="Y193" s="56"/>
      <c r="Z193" s="56"/>
      <c r="AA193" s="56"/>
      <c r="AB193" s="56"/>
    </row>
    <row x14ac:dyDescent="0.25" r="194" customHeight="1" ht="18.75">
      <c r="A194" s="56"/>
      <c r="B194" s="56"/>
      <c r="C194" s="50" t="s">
        <v>16</v>
      </c>
      <c r="D194" s="50" t="s">
        <v>143</v>
      </c>
      <c r="E194" s="50" t="s">
        <v>14</v>
      </c>
      <c r="F194" s="50" t="s">
        <v>3190</v>
      </c>
      <c r="G194" s="55">
        <v>10000000</v>
      </c>
      <c r="H194" s="55"/>
      <c r="I194" s="55"/>
      <c r="J194" s="51">
        <v>1200000</v>
      </c>
      <c r="K194" s="51"/>
      <c r="L194" s="52">
        <v>46182</v>
      </c>
      <c r="M194" s="53">
        <v>46121</v>
      </c>
      <c r="N194" s="50" t="s">
        <v>302</v>
      </c>
      <c r="O194" s="50" t="s">
        <v>3191</v>
      </c>
      <c r="P194" s="50" t="s">
        <v>3190</v>
      </c>
      <c r="Q194" s="55" t="s">
        <v>3192</v>
      </c>
      <c r="R194" s="55" t="s">
        <v>3193</v>
      </c>
      <c r="S194" s="53">
        <v>47216</v>
      </c>
      <c r="T194" s="50" t="s">
        <v>3194</v>
      </c>
      <c r="U194" s="50"/>
      <c r="V194" s="56"/>
      <c r="W194" s="56"/>
      <c r="X194" s="56"/>
      <c r="Y194" s="56"/>
      <c r="Z194" s="56"/>
      <c r="AA194" s="56"/>
      <c r="AB194" s="56"/>
    </row>
    <row x14ac:dyDescent="0.25" r="195" customHeight="1" ht="18.75">
      <c r="A195" s="56"/>
      <c r="B195" s="56"/>
      <c r="C195" s="50" t="s">
        <v>16</v>
      </c>
      <c r="D195" s="50"/>
      <c r="E195" s="50" t="s">
        <v>22</v>
      </c>
      <c r="F195" s="50" t="s">
        <v>3190</v>
      </c>
      <c r="G195" s="55">
        <v>10000000</v>
      </c>
      <c r="H195" s="55"/>
      <c r="I195" s="55"/>
      <c r="J195" s="51">
        <v>800000</v>
      </c>
      <c r="K195" s="51"/>
      <c r="L195" s="52">
        <v>46182</v>
      </c>
      <c r="M195" s="53">
        <v>46121</v>
      </c>
      <c r="N195" s="50" t="s">
        <v>302</v>
      </c>
      <c r="O195" s="50" t="s">
        <v>3191</v>
      </c>
      <c r="P195" s="50" t="s">
        <v>3190</v>
      </c>
      <c r="Q195" s="55" t="s">
        <v>3192</v>
      </c>
      <c r="R195" s="55" t="s">
        <v>3193</v>
      </c>
      <c r="S195" s="53">
        <v>47216</v>
      </c>
      <c r="T195" s="50"/>
      <c r="U195" s="50" t="s">
        <v>166</v>
      </c>
      <c r="V195" s="56"/>
      <c r="W195" s="56"/>
      <c r="X195" s="56"/>
      <c r="Y195" s="56"/>
      <c r="Z195" s="56"/>
      <c r="AA195" s="56"/>
      <c r="AB195" s="56"/>
    </row>
    <row x14ac:dyDescent="0.25" r="196" customHeight="1" ht="18.75">
      <c r="A196" s="56"/>
      <c r="B196" s="56"/>
      <c r="C196" s="50" t="s">
        <v>16</v>
      </c>
      <c r="D196" s="50"/>
      <c r="E196" s="50"/>
      <c r="F196" s="50" t="s">
        <v>854</v>
      </c>
      <c r="G196" s="55">
        <v>10000000</v>
      </c>
      <c r="H196" s="55"/>
      <c r="I196" s="55"/>
      <c r="J196" s="51">
        <v>800000</v>
      </c>
      <c r="K196" s="51"/>
      <c r="L196" s="52">
        <v>46183</v>
      </c>
      <c r="M196" s="53">
        <v>46122</v>
      </c>
      <c r="N196" s="50" t="s">
        <v>239</v>
      </c>
      <c r="O196" s="50" t="s">
        <v>855</v>
      </c>
      <c r="P196" s="50" t="s">
        <v>854</v>
      </c>
      <c r="Q196" s="55" t="s">
        <v>856</v>
      </c>
      <c r="R196" s="55" t="s">
        <v>857</v>
      </c>
      <c r="S196" s="53">
        <v>47217</v>
      </c>
      <c r="T196" s="50" t="s">
        <v>858</v>
      </c>
      <c r="U196" s="50" t="s">
        <v>166</v>
      </c>
      <c r="V196" s="56"/>
      <c r="W196" s="56"/>
      <c r="X196" s="56"/>
      <c r="Y196" s="56"/>
      <c r="Z196" s="56"/>
      <c r="AA196" s="56"/>
      <c r="AB196" s="56"/>
    </row>
    <row x14ac:dyDescent="0.25" r="197" customHeight="1" ht="18.75">
      <c r="A197" s="56"/>
      <c r="B197" s="56"/>
      <c r="C197" s="49" t="s">
        <v>16</v>
      </c>
      <c r="D197" s="50"/>
      <c r="E197" s="50"/>
      <c r="F197" s="50" t="s">
        <v>828</v>
      </c>
      <c r="G197" s="51">
        <v>10000000</v>
      </c>
      <c r="H197" s="51"/>
      <c r="I197" s="51"/>
      <c r="J197" s="87">
        <f>IF(G197&gt;0,_xludf.IFS(G197=10000000,800000,G197=20000000,1528000,G197=30000000,2028000,G197=60000000,4056000),"")</f>
      </c>
      <c r="K197" s="51"/>
      <c r="L197" s="52">
        <v>46077</v>
      </c>
      <c r="M197" s="53">
        <f>IF(L197&gt;0,EDATE(L197,-2),"")</f>
        <v>25569.375</v>
      </c>
      <c r="N197" s="50" t="s">
        <v>155</v>
      </c>
      <c r="O197" s="50" t="s">
        <v>829</v>
      </c>
      <c r="P197" s="54">
        <f>IF(F197&gt;0,F197,"")</f>
      </c>
      <c r="Q197" s="55" t="s">
        <v>830</v>
      </c>
      <c r="R197" s="55">
        <v>53607324</v>
      </c>
      <c r="S197" s="53">
        <f>IF(ISNUMBER(M197), EDATE(M197,36)-1, "")</f>
        <v>25569.375</v>
      </c>
      <c r="T197" s="50"/>
      <c r="U197" s="50"/>
      <c r="V197" s="56"/>
      <c r="W197" s="56"/>
      <c r="X197" s="56"/>
      <c r="Y197" s="56"/>
      <c r="Z197" s="56"/>
      <c r="AA197" s="56"/>
      <c r="AB197" s="56"/>
    </row>
    <row x14ac:dyDescent="0.25" r="198" customHeight="1" ht="18.75">
      <c r="A198" s="71"/>
      <c r="B198" s="71"/>
      <c r="C198" s="72" t="s">
        <v>16</v>
      </c>
      <c r="D198" s="72"/>
      <c r="E198" s="72"/>
      <c r="F198" s="72" t="s">
        <v>832</v>
      </c>
      <c r="G198" s="73">
        <v>10000000</v>
      </c>
      <c r="H198" s="73"/>
      <c r="I198" s="73"/>
      <c r="J198" s="74"/>
      <c r="K198" s="74"/>
      <c r="L198" s="75">
        <v>46163</v>
      </c>
      <c r="M198" s="76">
        <v>46102</v>
      </c>
      <c r="N198" s="72" t="s">
        <v>161</v>
      </c>
      <c r="O198" s="72" t="s">
        <v>833</v>
      </c>
      <c r="P198" s="72" t="s">
        <v>832</v>
      </c>
      <c r="Q198" s="73" t="s">
        <v>834</v>
      </c>
      <c r="R198" s="73" t="s">
        <v>835</v>
      </c>
      <c r="S198" s="76">
        <v>47197</v>
      </c>
      <c r="T198" s="72" t="s">
        <v>836</v>
      </c>
      <c r="U198" s="72" t="s">
        <v>166</v>
      </c>
      <c r="V198" s="71"/>
      <c r="W198" s="56"/>
      <c r="X198" s="56"/>
      <c r="Y198" s="56"/>
      <c r="Z198" s="56"/>
      <c r="AA198" s="56"/>
      <c r="AB198" s="56"/>
    </row>
    <row x14ac:dyDescent="0.25" r="199" customHeight="1" ht="18.75">
      <c r="A199" s="56"/>
      <c r="B199" s="56"/>
      <c r="C199" s="49" t="s">
        <v>16</v>
      </c>
      <c r="D199" s="50" t="s">
        <v>202</v>
      </c>
      <c r="E199" s="50" t="s">
        <v>203</v>
      </c>
      <c r="F199" s="50" t="s">
        <v>34</v>
      </c>
      <c r="G199" s="51">
        <v>20000000</v>
      </c>
      <c r="H199" s="51"/>
      <c r="I199" s="51"/>
      <c r="J199" s="51">
        <v>1000000</v>
      </c>
      <c r="K199" s="51"/>
      <c r="L199" s="52">
        <v>46183</v>
      </c>
      <c r="M199" s="53">
        <f>IF(L199&gt;0,EDATE(L199,-2),"")</f>
        <v>25569.375</v>
      </c>
      <c r="N199" s="50" t="s">
        <v>940</v>
      </c>
      <c r="O199" s="50" t="s">
        <v>941</v>
      </c>
      <c r="P199" s="54">
        <f>IF(F199&gt;0,F199,"")</f>
      </c>
      <c r="Q199" s="55">
        <v>5109162052811</v>
      </c>
      <c r="R199" s="55">
        <v>84776122</v>
      </c>
      <c r="S199" s="53">
        <f>IF(ISNUMBER(M199), EDATE(M199,36)-1, "")</f>
        <v>25569.375</v>
      </c>
      <c r="T199" s="50"/>
      <c r="U199" s="50"/>
      <c r="V199" s="56"/>
      <c r="W199" s="56"/>
      <c r="X199" s="56"/>
      <c r="Y199" s="56"/>
      <c r="Z199" s="56"/>
      <c r="AA199" s="56"/>
      <c r="AB199" s="56"/>
    </row>
    <row x14ac:dyDescent="0.25" r="200" customHeight="1" ht="18.75">
      <c r="A200" s="56"/>
      <c r="B200" s="56"/>
      <c r="C200" s="50" t="s">
        <v>16</v>
      </c>
      <c r="D200" s="50"/>
      <c r="E200" s="50"/>
      <c r="F200" s="50" t="s">
        <v>1614</v>
      </c>
      <c r="G200" s="55">
        <v>10000000</v>
      </c>
      <c r="H200" s="55"/>
      <c r="I200" s="55"/>
      <c r="J200" s="51">
        <v>800000</v>
      </c>
      <c r="K200" s="51"/>
      <c r="L200" s="52">
        <v>46183</v>
      </c>
      <c r="M200" s="53">
        <v>46122</v>
      </c>
      <c r="N200" s="50" t="s">
        <v>168</v>
      </c>
      <c r="O200" s="50" t="s">
        <v>1615</v>
      </c>
      <c r="P200" s="50" t="s">
        <v>1614</v>
      </c>
      <c r="Q200" s="55" t="s">
        <v>1616</v>
      </c>
      <c r="R200" s="55" t="s">
        <v>1617</v>
      </c>
      <c r="S200" s="53">
        <v>47217</v>
      </c>
      <c r="T200" s="50" t="s">
        <v>1618</v>
      </c>
      <c r="U200" s="50" t="s">
        <v>166</v>
      </c>
      <c r="V200" s="56"/>
      <c r="W200" s="56"/>
      <c r="X200" s="56"/>
      <c r="Y200" s="56"/>
      <c r="Z200" s="56"/>
      <c r="AA200" s="56"/>
      <c r="AB200" s="56"/>
    </row>
    <row x14ac:dyDescent="0.25" r="201" customHeight="1" ht="18.75">
      <c r="A201" s="63"/>
      <c r="B201" s="63"/>
      <c r="C201" s="49" t="s">
        <v>16</v>
      </c>
      <c r="D201" s="49" t="s">
        <v>454</v>
      </c>
      <c r="E201" s="49" t="s">
        <v>574</v>
      </c>
      <c r="F201" s="49" t="s">
        <v>1621</v>
      </c>
      <c r="G201" s="64">
        <v>10000000</v>
      </c>
      <c r="H201" s="64"/>
      <c r="I201" s="64"/>
      <c r="J201" s="64">
        <v>500000</v>
      </c>
      <c r="K201" s="64"/>
      <c r="L201" s="66">
        <v>46183</v>
      </c>
      <c r="M201" s="67">
        <f>IF(L201&gt;0,EDATE(L201,-2),"")</f>
        <v>25569.375</v>
      </c>
      <c r="N201" s="49" t="s">
        <v>1202</v>
      </c>
      <c r="O201" s="49" t="s">
        <v>1622</v>
      </c>
      <c r="P201" s="68">
        <f>IF(F201&gt;0,F201,"")</f>
      </c>
      <c r="Q201" s="69" t="s">
        <v>1623</v>
      </c>
      <c r="R201" s="69">
        <v>63015432</v>
      </c>
      <c r="S201" s="67">
        <f>IF(ISNUMBER(M201), EDATE(M201,36)-1, "")</f>
        <v>25569.375</v>
      </c>
      <c r="T201" s="49"/>
      <c r="U201" s="49"/>
      <c r="V201" s="63"/>
      <c r="W201" s="56"/>
      <c r="X201" s="56"/>
      <c r="Y201" s="56"/>
      <c r="Z201" s="56"/>
      <c r="AA201" s="56"/>
      <c r="AB201" s="56"/>
    </row>
    <row x14ac:dyDescent="0.25" r="202" customHeight="1" ht="18.75">
      <c r="A202" s="56"/>
      <c r="B202" s="56"/>
      <c r="C202" s="50" t="s">
        <v>16</v>
      </c>
      <c r="D202" s="50"/>
      <c r="E202" s="50" t="s">
        <v>100</v>
      </c>
      <c r="F202" s="50" t="s">
        <v>842</v>
      </c>
      <c r="G202" s="55">
        <v>10000000</v>
      </c>
      <c r="H202" s="55"/>
      <c r="I202" s="55"/>
      <c r="J202" s="51">
        <v>800000</v>
      </c>
      <c r="K202" s="51"/>
      <c r="L202" s="52">
        <v>46103</v>
      </c>
      <c r="M202" s="53">
        <v>46044</v>
      </c>
      <c r="N202" s="50" t="s">
        <v>570</v>
      </c>
      <c r="O202" s="50" t="s">
        <v>843</v>
      </c>
      <c r="P202" s="50" t="s">
        <v>842</v>
      </c>
      <c r="Q202" s="55" t="s">
        <v>844</v>
      </c>
      <c r="R202" s="55" t="s">
        <v>845</v>
      </c>
      <c r="S202" s="53">
        <v>47139</v>
      </c>
      <c r="T202" s="50"/>
      <c r="U202" s="50" t="s">
        <v>166</v>
      </c>
      <c r="V202" s="56"/>
      <c r="W202" s="56"/>
      <c r="X202" s="56"/>
      <c r="Y202" s="56"/>
      <c r="Z202" s="56"/>
      <c r="AA202" s="56"/>
      <c r="AB202" s="56"/>
    </row>
    <row x14ac:dyDescent="0.25" r="203" customHeight="1" ht="18.75">
      <c r="A203" s="71"/>
      <c r="B203" s="71"/>
      <c r="C203" s="72" t="s">
        <v>16</v>
      </c>
      <c r="D203" s="72"/>
      <c r="E203" s="72"/>
      <c r="F203" s="72" t="s">
        <v>1844</v>
      </c>
      <c r="G203" s="73">
        <v>10000000</v>
      </c>
      <c r="H203" s="73"/>
      <c r="I203" s="73"/>
      <c r="J203" s="74"/>
      <c r="K203" s="74"/>
      <c r="L203" s="75">
        <v>46183</v>
      </c>
      <c r="M203" s="76">
        <v>46122</v>
      </c>
      <c r="N203" s="72" t="s">
        <v>168</v>
      </c>
      <c r="O203" s="72" t="s">
        <v>1845</v>
      </c>
      <c r="P203" s="72" t="s">
        <v>1844</v>
      </c>
      <c r="Q203" s="73" t="s">
        <v>1846</v>
      </c>
      <c r="R203" s="73" t="s">
        <v>1847</v>
      </c>
      <c r="S203" s="76">
        <v>47217</v>
      </c>
      <c r="T203" s="72" t="s">
        <v>1848</v>
      </c>
      <c r="U203" s="72" t="s">
        <v>166</v>
      </c>
      <c r="V203" s="71"/>
      <c r="W203" s="56"/>
      <c r="X203" s="56"/>
      <c r="Y203" s="56"/>
      <c r="Z203" s="56"/>
      <c r="AA203" s="56"/>
      <c r="AB203" s="56"/>
    </row>
    <row x14ac:dyDescent="0.25" r="204" customHeight="1" ht="18.75">
      <c r="A204" s="56"/>
      <c r="B204" s="56"/>
      <c r="C204" s="50" t="s">
        <v>16</v>
      </c>
      <c r="D204" s="50"/>
      <c r="E204" s="50" t="s">
        <v>357</v>
      </c>
      <c r="F204" s="50" t="s">
        <v>2401</v>
      </c>
      <c r="G204" s="55">
        <v>10000000</v>
      </c>
      <c r="H204" s="55"/>
      <c r="I204" s="55"/>
      <c r="J204" s="51">
        <v>800000</v>
      </c>
      <c r="K204" s="51"/>
      <c r="L204" s="52">
        <v>46183</v>
      </c>
      <c r="M204" s="53">
        <v>46122</v>
      </c>
      <c r="N204" s="50" t="s">
        <v>239</v>
      </c>
      <c r="O204" s="50" t="s">
        <v>2402</v>
      </c>
      <c r="P204" s="50" t="s">
        <v>2401</v>
      </c>
      <c r="Q204" s="55" t="s">
        <v>3264</v>
      </c>
      <c r="R204" s="55" t="s">
        <v>3265</v>
      </c>
      <c r="S204" s="53">
        <v>47217</v>
      </c>
      <c r="T204" s="50"/>
      <c r="U204" s="50" t="s">
        <v>166</v>
      </c>
      <c r="V204" s="48" t="s">
        <v>3266</v>
      </c>
      <c r="W204" s="56"/>
      <c r="X204" s="56"/>
      <c r="Y204" s="56"/>
      <c r="Z204" s="56"/>
      <c r="AA204" s="56"/>
      <c r="AB204" s="56"/>
    </row>
    <row x14ac:dyDescent="0.25" r="205" customHeight="1" ht="18.75">
      <c r="A205" s="56"/>
      <c r="B205" s="56"/>
      <c r="C205" s="50" t="s">
        <v>16</v>
      </c>
      <c r="D205" s="50" t="s">
        <v>737</v>
      </c>
      <c r="E205" s="50" t="s">
        <v>357</v>
      </c>
      <c r="F205" s="50" t="s">
        <v>2401</v>
      </c>
      <c r="G205" s="51">
        <v>60000000</v>
      </c>
      <c r="H205" s="51"/>
      <c r="I205" s="51"/>
      <c r="J205" s="51">
        <v>4056000</v>
      </c>
      <c r="K205" s="51"/>
      <c r="L205" s="52">
        <v>46183</v>
      </c>
      <c r="M205" s="53">
        <f>IF(L205&gt;0,EDATE(L205,-2),"")</f>
        <v>25569.375</v>
      </c>
      <c r="N205" s="50" t="s">
        <v>239</v>
      </c>
      <c r="O205" s="50" t="s">
        <v>2402</v>
      </c>
      <c r="P205" s="54">
        <f>IF(F205&gt;0,F205,"")</f>
      </c>
      <c r="Q205" s="55">
        <v>8106032019513</v>
      </c>
      <c r="R205" s="55">
        <v>74792585</v>
      </c>
      <c r="S205" s="53">
        <f>IF(ISNUMBER(M205), EDATE(M205,36)-1, "")</f>
        <v>25569.375</v>
      </c>
      <c r="T205" s="50"/>
      <c r="U205" s="50"/>
      <c r="V205" s="50"/>
      <c r="W205" s="56"/>
      <c r="X205" s="56"/>
      <c r="Y205" s="56"/>
      <c r="Z205" s="56"/>
      <c r="AA205" s="56"/>
      <c r="AB205" s="56"/>
    </row>
    <row x14ac:dyDescent="0.25" r="206" customHeight="1" ht="18.75">
      <c r="A206" s="56"/>
      <c r="B206" s="56"/>
      <c r="C206" s="50" t="s">
        <v>16</v>
      </c>
      <c r="D206" s="50"/>
      <c r="E206" s="50"/>
      <c r="F206" s="50" t="s">
        <v>411</v>
      </c>
      <c r="G206" s="55">
        <v>60000000</v>
      </c>
      <c r="H206" s="55"/>
      <c r="I206" s="55"/>
      <c r="J206" s="51">
        <v>4800000</v>
      </c>
      <c r="K206" s="51"/>
      <c r="L206" s="52">
        <v>45850</v>
      </c>
      <c r="M206" s="53">
        <v>45789</v>
      </c>
      <c r="N206" s="50" t="s">
        <v>306</v>
      </c>
      <c r="O206" s="50" t="s">
        <v>859</v>
      </c>
      <c r="P206" s="50" t="s">
        <v>411</v>
      </c>
      <c r="Q206" s="55" t="s">
        <v>860</v>
      </c>
      <c r="R206" s="55" t="s">
        <v>861</v>
      </c>
      <c r="S206" s="53">
        <v>46884</v>
      </c>
      <c r="T206" s="50"/>
      <c r="U206" s="50"/>
      <c r="V206" s="56"/>
      <c r="W206" s="56"/>
      <c r="X206" s="56"/>
      <c r="Y206" s="56"/>
      <c r="Z206" s="56"/>
      <c r="AA206" s="56"/>
      <c r="AB206" s="56"/>
    </row>
    <row x14ac:dyDescent="0.25" r="207" customHeight="1" ht="18.75">
      <c r="A207" s="56"/>
      <c r="B207" s="56"/>
      <c r="C207" s="50" t="s">
        <v>16</v>
      </c>
      <c r="D207" s="50"/>
      <c r="E207" s="50" t="s">
        <v>862</v>
      </c>
      <c r="F207" s="50" t="s">
        <v>276</v>
      </c>
      <c r="G207" s="55">
        <v>10000000</v>
      </c>
      <c r="H207" s="55"/>
      <c r="I207" s="55"/>
      <c r="J207" s="51">
        <v>800000</v>
      </c>
      <c r="K207" s="51"/>
      <c r="L207" s="52">
        <v>46125</v>
      </c>
      <c r="M207" s="53">
        <v>46066</v>
      </c>
      <c r="N207" s="50" t="s">
        <v>306</v>
      </c>
      <c r="O207" s="50" t="s">
        <v>863</v>
      </c>
      <c r="P207" s="50" t="s">
        <v>276</v>
      </c>
      <c r="Q207" s="55" t="s">
        <v>864</v>
      </c>
      <c r="R207" s="55" t="s">
        <v>865</v>
      </c>
      <c r="S207" s="53">
        <v>47161</v>
      </c>
      <c r="T207" s="50" t="s">
        <v>866</v>
      </c>
      <c r="U207" s="50" t="s">
        <v>166</v>
      </c>
      <c r="V207" s="56"/>
      <c r="W207" s="56"/>
      <c r="X207" s="56"/>
      <c r="Y207" s="56"/>
      <c r="Z207" s="56"/>
      <c r="AA207" s="56"/>
      <c r="AB207" s="56"/>
    </row>
    <row x14ac:dyDescent="0.25" r="208" customHeight="1" ht="18.75">
      <c r="A208" s="48" t="s">
        <v>152</v>
      </c>
      <c r="B208" s="48"/>
      <c r="C208" s="50" t="s">
        <v>16</v>
      </c>
      <c r="D208" s="50" t="s">
        <v>202</v>
      </c>
      <c r="E208" s="50" t="s">
        <v>203</v>
      </c>
      <c r="F208" s="50" t="s">
        <v>276</v>
      </c>
      <c r="G208" s="51">
        <v>20000000</v>
      </c>
      <c r="H208" s="51"/>
      <c r="I208" s="51"/>
      <c r="J208" s="51">
        <v>1000000</v>
      </c>
      <c r="K208" s="51"/>
      <c r="L208" s="52">
        <v>46159</v>
      </c>
      <c r="M208" s="53">
        <f>IF(L208&gt;0,EDATE(L208,-2),"")</f>
        <v>25569.375</v>
      </c>
      <c r="N208" s="50" t="s">
        <v>205</v>
      </c>
      <c r="O208" s="50" t="s">
        <v>867</v>
      </c>
      <c r="P208" s="54">
        <f>IF(F208&gt;0,F208,"")</f>
      </c>
      <c r="Q208" s="55">
        <v>6801022667718</v>
      </c>
      <c r="R208" s="55">
        <v>62695067</v>
      </c>
      <c r="S208" s="53">
        <f>IF(ISNUMBER(M208), EDATE(M208,36)-1, "")</f>
        <v>25569.375</v>
      </c>
      <c r="T208" s="50"/>
      <c r="U208" s="50"/>
      <c r="V208" s="48" t="s">
        <v>868</v>
      </c>
      <c r="W208" s="56"/>
      <c r="X208" s="56"/>
      <c r="Y208" s="56"/>
      <c r="Z208" s="56"/>
      <c r="AA208" s="56"/>
      <c r="AB208" s="56"/>
    </row>
    <row x14ac:dyDescent="0.25" r="209" customHeight="1" ht="18.75">
      <c r="A209" s="56"/>
      <c r="B209" s="56"/>
      <c r="C209" s="50" t="s">
        <v>16</v>
      </c>
      <c r="D209" s="50"/>
      <c r="E209" s="50"/>
      <c r="F209" s="50" t="s">
        <v>869</v>
      </c>
      <c r="G209" s="55">
        <v>30000000</v>
      </c>
      <c r="H209" s="55"/>
      <c r="I209" s="55"/>
      <c r="J209" s="51">
        <v>2028000</v>
      </c>
      <c r="K209" s="51"/>
      <c r="L209" s="52">
        <v>45974</v>
      </c>
      <c r="M209" s="53">
        <v>45913</v>
      </c>
      <c r="N209" s="50" t="s">
        <v>155</v>
      </c>
      <c r="O209" s="50" t="s">
        <v>870</v>
      </c>
      <c r="P209" s="50" t="s">
        <v>869</v>
      </c>
      <c r="Q209" s="55" t="s">
        <v>871</v>
      </c>
      <c r="R209" s="55" t="s">
        <v>872</v>
      </c>
      <c r="S209" s="53">
        <v>47008</v>
      </c>
      <c r="T209" s="50"/>
      <c r="U209" s="50"/>
      <c r="V209" s="56"/>
      <c r="W209" s="56"/>
      <c r="X209" s="56"/>
      <c r="Y209" s="56"/>
      <c r="Z209" s="56"/>
      <c r="AA209" s="56"/>
      <c r="AB209" s="56"/>
    </row>
    <row x14ac:dyDescent="0.25" r="210" customHeight="1" ht="18.75">
      <c r="A210" s="56"/>
      <c r="B210" s="56"/>
      <c r="C210" s="50" t="s">
        <v>16</v>
      </c>
      <c r="D210" s="50"/>
      <c r="E210" s="50"/>
      <c r="F210" s="50" t="s">
        <v>869</v>
      </c>
      <c r="G210" s="55">
        <v>20000000</v>
      </c>
      <c r="H210" s="55"/>
      <c r="I210" s="55"/>
      <c r="J210" s="51">
        <v>1528000</v>
      </c>
      <c r="K210" s="51"/>
      <c r="L210" s="52">
        <v>45985</v>
      </c>
      <c r="M210" s="53">
        <v>45920</v>
      </c>
      <c r="N210" s="50" t="s">
        <v>155</v>
      </c>
      <c r="O210" s="50" t="s">
        <v>870</v>
      </c>
      <c r="P210" s="50" t="s">
        <v>869</v>
      </c>
      <c r="Q210" s="55" t="s">
        <v>874</v>
      </c>
      <c r="R210" s="55" t="s">
        <v>875</v>
      </c>
      <c r="S210" s="53">
        <v>47015</v>
      </c>
      <c r="T210" s="50"/>
      <c r="U210" s="50"/>
      <c r="V210" s="56"/>
      <c r="W210" s="56"/>
      <c r="X210" s="56"/>
      <c r="Y210" s="56"/>
      <c r="Z210" s="56"/>
      <c r="AA210" s="56"/>
      <c r="AB210" s="56"/>
    </row>
    <row x14ac:dyDescent="0.25" r="211" customHeight="1" ht="18.75">
      <c r="A211" s="56"/>
      <c r="B211" s="56"/>
      <c r="C211" s="50" t="s">
        <v>16</v>
      </c>
      <c r="D211" s="50"/>
      <c r="E211" s="50"/>
      <c r="F211" s="50" t="s">
        <v>2652</v>
      </c>
      <c r="G211" s="55">
        <v>10000000</v>
      </c>
      <c r="H211" s="55"/>
      <c r="I211" s="55"/>
      <c r="J211" s="51">
        <v>800000</v>
      </c>
      <c r="K211" s="51"/>
      <c r="L211" s="52">
        <v>46183</v>
      </c>
      <c r="M211" s="53">
        <v>46122</v>
      </c>
      <c r="N211" s="50" t="s">
        <v>2653</v>
      </c>
      <c r="O211" s="50" t="s">
        <v>2654</v>
      </c>
      <c r="P211" s="50" t="s">
        <v>2652</v>
      </c>
      <c r="Q211" s="55" t="s">
        <v>2655</v>
      </c>
      <c r="R211" s="55" t="s">
        <v>2656</v>
      </c>
      <c r="S211" s="53">
        <v>47217</v>
      </c>
      <c r="T211" s="50" t="s">
        <v>2657</v>
      </c>
      <c r="U211" s="50" t="s">
        <v>179</v>
      </c>
      <c r="V211" s="56"/>
      <c r="W211" s="56"/>
      <c r="X211" s="56"/>
      <c r="Y211" s="56"/>
      <c r="Z211" s="56"/>
      <c r="AA211" s="56"/>
      <c r="AB211" s="56"/>
    </row>
    <row x14ac:dyDescent="0.25" r="212" customHeight="1" ht="18.75">
      <c r="A212" s="48" t="s">
        <v>63</v>
      </c>
      <c r="B212" s="48"/>
      <c r="C212" s="50" t="s">
        <v>16</v>
      </c>
      <c r="D212" s="50" t="s">
        <v>202</v>
      </c>
      <c r="E212" s="50" t="s">
        <v>203</v>
      </c>
      <c r="F212" s="50" t="s">
        <v>879</v>
      </c>
      <c r="G212" s="55">
        <v>60000000</v>
      </c>
      <c r="H212" s="55"/>
      <c r="I212" s="55"/>
      <c r="J212" s="51">
        <v>4056000</v>
      </c>
      <c r="K212" s="51"/>
      <c r="L212" s="52">
        <v>46153</v>
      </c>
      <c r="M212" s="53">
        <v>46092</v>
      </c>
      <c r="N212" s="50" t="s">
        <v>161</v>
      </c>
      <c r="O212" s="50" t="s">
        <v>880</v>
      </c>
      <c r="P212" s="50" t="s">
        <v>879</v>
      </c>
      <c r="Q212" s="55" t="s">
        <v>881</v>
      </c>
      <c r="R212" s="55" t="s">
        <v>882</v>
      </c>
      <c r="S212" s="53">
        <v>47187</v>
      </c>
      <c r="T212" s="50" t="s">
        <v>883</v>
      </c>
      <c r="U212" s="50" t="s">
        <v>166</v>
      </c>
      <c r="V212" s="48" t="s">
        <v>884</v>
      </c>
      <c r="W212" s="56"/>
      <c r="X212" s="56"/>
      <c r="Y212" s="56"/>
      <c r="Z212" s="56"/>
      <c r="AA212" s="56"/>
      <c r="AB212" s="56"/>
    </row>
    <row x14ac:dyDescent="0.25" r="213" customHeight="1" ht="18.75">
      <c r="A213" s="71"/>
      <c r="B213" s="71"/>
      <c r="C213" s="72" t="s">
        <v>16</v>
      </c>
      <c r="D213" s="72"/>
      <c r="E213" s="72"/>
      <c r="F213" s="72" t="s">
        <v>2996</v>
      </c>
      <c r="G213" s="73">
        <v>10000000</v>
      </c>
      <c r="H213" s="73"/>
      <c r="I213" s="73"/>
      <c r="J213" s="74"/>
      <c r="K213" s="74"/>
      <c r="L213" s="75">
        <v>46183</v>
      </c>
      <c r="M213" s="76">
        <v>46122</v>
      </c>
      <c r="N213" s="72" t="s">
        <v>161</v>
      </c>
      <c r="O213" s="72" t="s">
        <v>2997</v>
      </c>
      <c r="P213" s="72" t="s">
        <v>2996</v>
      </c>
      <c r="Q213" s="73" t="s">
        <v>2998</v>
      </c>
      <c r="R213" s="73" t="s">
        <v>2999</v>
      </c>
      <c r="S213" s="76">
        <v>47217</v>
      </c>
      <c r="T213" s="72" t="s">
        <v>3000</v>
      </c>
      <c r="U213" s="72" t="s">
        <v>166</v>
      </c>
      <c r="V213" s="71"/>
      <c r="W213" s="56"/>
      <c r="X213" s="56"/>
      <c r="Y213" s="56"/>
      <c r="Z213" s="56"/>
      <c r="AA213" s="56"/>
      <c r="AB213" s="56"/>
    </row>
    <row x14ac:dyDescent="0.25" r="214" customHeight="1" ht="18.75">
      <c r="A214" s="48" t="s">
        <v>152</v>
      </c>
      <c r="B214" s="48"/>
      <c r="C214" s="50" t="s">
        <v>16</v>
      </c>
      <c r="D214" s="50" t="s">
        <v>454</v>
      </c>
      <c r="E214" s="50" t="s">
        <v>455</v>
      </c>
      <c r="F214" s="50" t="s">
        <v>887</v>
      </c>
      <c r="G214" s="51">
        <v>10000000</v>
      </c>
      <c r="H214" s="51"/>
      <c r="I214" s="51"/>
      <c r="J214" s="51">
        <v>800000</v>
      </c>
      <c r="K214" s="51"/>
      <c r="L214" s="52">
        <v>46154</v>
      </c>
      <c r="M214" s="53">
        <f>IF(L214&gt;0,EDATE(L214,-2),"")</f>
        <v>25569.375</v>
      </c>
      <c r="N214" s="50" t="s">
        <v>155</v>
      </c>
      <c r="O214" s="50" t="s">
        <v>888</v>
      </c>
      <c r="P214" s="54">
        <f>IF(F214&gt;0,F214,"")</f>
      </c>
      <c r="Q214" s="55">
        <v>6104011480911</v>
      </c>
      <c r="R214" s="55">
        <v>65859986</v>
      </c>
      <c r="S214" s="53">
        <f>IF(ISNUMBER(M214), EDATE(M214,36)-1, "")</f>
        <v>25569.375</v>
      </c>
      <c r="T214" s="50"/>
      <c r="U214" s="50"/>
      <c r="V214" s="56" t="s">
        <v>889</v>
      </c>
      <c r="W214" s="56"/>
      <c r="X214" s="56"/>
      <c r="Y214" s="56"/>
      <c r="Z214" s="56"/>
      <c r="AA214" s="56"/>
      <c r="AB214" s="56"/>
    </row>
    <row x14ac:dyDescent="0.25" r="215" customHeight="1" ht="18.75">
      <c r="A215" s="56"/>
      <c r="B215" s="56"/>
      <c r="C215" s="50" t="s">
        <v>16</v>
      </c>
      <c r="D215" s="50"/>
      <c r="E215" s="50"/>
      <c r="F215" s="50" t="s">
        <v>470</v>
      </c>
      <c r="G215" s="55">
        <v>10000000</v>
      </c>
      <c r="H215" s="55"/>
      <c r="I215" s="55"/>
      <c r="J215" s="51">
        <v>500000</v>
      </c>
      <c r="K215" s="51"/>
      <c r="L215" s="52">
        <v>46184</v>
      </c>
      <c r="M215" s="53">
        <v>46123</v>
      </c>
      <c r="N215" s="50" t="s">
        <v>168</v>
      </c>
      <c r="O215" s="50" t="s">
        <v>471</v>
      </c>
      <c r="P215" s="50" t="s">
        <v>470</v>
      </c>
      <c r="Q215" s="55" t="s">
        <v>472</v>
      </c>
      <c r="R215" s="55" t="s">
        <v>473</v>
      </c>
      <c r="S215" s="53">
        <v>47218</v>
      </c>
      <c r="T215" s="50" t="s">
        <v>474</v>
      </c>
      <c r="U215" s="50"/>
      <c r="V215" s="56"/>
      <c r="W215" s="56"/>
      <c r="X215" s="56"/>
      <c r="Y215" s="56"/>
      <c r="Z215" s="56"/>
      <c r="AA215" s="56"/>
      <c r="AB215" s="56"/>
    </row>
    <row x14ac:dyDescent="0.25" r="216" customHeight="1" ht="18.75">
      <c r="A216" s="48" t="s">
        <v>275</v>
      </c>
      <c r="B216" s="62"/>
      <c r="C216" s="49" t="s">
        <v>16</v>
      </c>
      <c r="D216" s="50"/>
      <c r="E216" s="50"/>
      <c r="F216" s="50" t="s">
        <v>470</v>
      </c>
      <c r="G216" s="51">
        <v>10000000</v>
      </c>
      <c r="H216" s="51"/>
      <c r="I216" s="51"/>
      <c r="J216" s="87">
        <f>IF(G216&gt;0,_xludf.IFS(G216=10000000,800000,G216=20000000,1528000,G216=30000000,2028000,G216=60000000,4056000),"")</f>
      </c>
      <c r="K216" s="51"/>
      <c r="L216" s="52">
        <v>46184</v>
      </c>
      <c r="M216" s="53">
        <f>IF(L216&gt;0,EDATE(L216,-2),"")</f>
        <v>25569.375</v>
      </c>
      <c r="N216" s="50" t="s">
        <v>168</v>
      </c>
      <c r="O216" s="50" t="s">
        <v>471</v>
      </c>
      <c r="P216" s="50" t="s">
        <v>2213</v>
      </c>
      <c r="Q216" s="55" t="s">
        <v>472</v>
      </c>
      <c r="R216" s="55">
        <v>54690579</v>
      </c>
      <c r="S216" s="53">
        <f>IF(ISNUMBER(M216), EDATE(M216,36)-1, "")</f>
        <v>25569.375</v>
      </c>
      <c r="T216" s="50"/>
      <c r="U216" s="50"/>
      <c r="V216" s="48" t="s">
        <v>475</v>
      </c>
      <c r="W216" s="56"/>
      <c r="X216" s="56"/>
      <c r="Y216" s="56"/>
      <c r="Z216" s="56"/>
      <c r="AA216" s="56"/>
      <c r="AB216" s="56"/>
    </row>
    <row x14ac:dyDescent="0.25" r="217" customHeight="1" ht="18.75">
      <c r="A217" s="56"/>
      <c r="B217" s="56"/>
      <c r="C217" s="50" t="s">
        <v>16</v>
      </c>
      <c r="D217" s="50"/>
      <c r="E217" s="50"/>
      <c r="F217" s="50" t="s">
        <v>560</v>
      </c>
      <c r="G217" s="55">
        <v>30000000</v>
      </c>
      <c r="H217" s="55"/>
      <c r="I217" s="55"/>
      <c r="J217" s="51">
        <v>2028000</v>
      </c>
      <c r="K217" s="51"/>
      <c r="L217" s="52">
        <v>46184</v>
      </c>
      <c r="M217" s="53">
        <v>46123</v>
      </c>
      <c r="N217" s="50" t="s">
        <v>161</v>
      </c>
      <c r="O217" s="50" t="s">
        <v>561</v>
      </c>
      <c r="P217" s="50" t="s">
        <v>560</v>
      </c>
      <c r="Q217" s="55" t="s">
        <v>562</v>
      </c>
      <c r="R217" s="55" t="s">
        <v>563</v>
      </c>
      <c r="S217" s="53">
        <v>47218</v>
      </c>
      <c r="T217" s="50" t="s">
        <v>564</v>
      </c>
      <c r="U217" s="50" t="s">
        <v>166</v>
      </c>
      <c r="V217" s="56"/>
      <c r="W217" s="56"/>
      <c r="X217" s="56"/>
      <c r="Y217" s="56"/>
      <c r="Z217" s="56"/>
      <c r="AA217" s="56"/>
      <c r="AB217" s="56"/>
    </row>
    <row x14ac:dyDescent="0.25" r="218" customHeight="1" ht="18.75">
      <c r="A218" s="56"/>
      <c r="B218" s="56"/>
      <c r="C218" s="50" t="s">
        <v>16</v>
      </c>
      <c r="D218" s="50"/>
      <c r="E218" s="50"/>
      <c r="F218" s="50" t="s">
        <v>565</v>
      </c>
      <c r="G218" s="55">
        <v>10000000</v>
      </c>
      <c r="H218" s="55"/>
      <c r="I218" s="55"/>
      <c r="J218" s="51">
        <v>500000</v>
      </c>
      <c r="K218" s="51"/>
      <c r="L218" s="52">
        <v>46184</v>
      </c>
      <c r="M218" s="53">
        <v>46123</v>
      </c>
      <c r="N218" s="50" t="s">
        <v>168</v>
      </c>
      <c r="O218" s="50" t="s">
        <v>471</v>
      </c>
      <c r="P218" s="50" t="s">
        <v>565</v>
      </c>
      <c r="Q218" s="55" t="s">
        <v>566</v>
      </c>
      <c r="R218" s="55" t="s">
        <v>567</v>
      </c>
      <c r="S218" s="53">
        <v>47218</v>
      </c>
      <c r="T218" s="50"/>
      <c r="U218" s="50"/>
      <c r="V218" s="56"/>
      <c r="W218" s="56"/>
      <c r="X218" s="56"/>
      <c r="Y218" s="56"/>
      <c r="Z218" s="56"/>
      <c r="AA218" s="56"/>
      <c r="AB218" s="56"/>
    </row>
    <row x14ac:dyDescent="0.25" r="219" customHeight="1" ht="18.75">
      <c r="A219" s="71"/>
      <c r="B219" s="71"/>
      <c r="C219" s="72" t="s">
        <v>16</v>
      </c>
      <c r="D219" s="72" t="s">
        <v>80</v>
      </c>
      <c r="E219" s="72"/>
      <c r="F219" s="72" t="s">
        <v>631</v>
      </c>
      <c r="G219" s="73">
        <v>10000000</v>
      </c>
      <c r="H219" s="73"/>
      <c r="I219" s="73"/>
      <c r="J219" s="74"/>
      <c r="K219" s="74"/>
      <c r="L219" s="75">
        <v>46184</v>
      </c>
      <c r="M219" s="76">
        <v>46123</v>
      </c>
      <c r="N219" s="72" t="s">
        <v>217</v>
      </c>
      <c r="O219" s="72" t="s">
        <v>632</v>
      </c>
      <c r="P219" s="72" t="s">
        <v>631</v>
      </c>
      <c r="Q219" s="73" t="s">
        <v>633</v>
      </c>
      <c r="R219" s="73" t="s">
        <v>634</v>
      </c>
      <c r="S219" s="76">
        <v>47218</v>
      </c>
      <c r="T219" s="72" t="s">
        <v>635</v>
      </c>
      <c r="U219" s="72" t="s">
        <v>166</v>
      </c>
      <c r="V219" s="71"/>
      <c r="W219" s="56"/>
      <c r="X219" s="56"/>
      <c r="Y219" s="56"/>
      <c r="Z219" s="56"/>
      <c r="AA219" s="56"/>
      <c r="AB219" s="56"/>
    </row>
    <row x14ac:dyDescent="0.25" r="220" customHeight="1" ht="18.75">
      <c r="A220" s="48" t="s">
        <v>152</v>
      </c>
      <c r="B220" s="48"/>
      <c r="C220" s="50" t="s">
        <v>16</v>
      </c>
      <c r="D220" s="50" t="s">
        <v>900</v>
      </c>
      <c r="E220" s="50"/>
      <c r="F220" s="50" t="s">
        <v>901</v>
      </c>
      <c r="G220" s="55">
        <v>20000000</v>
      </c>
      <c r="H220" s="55"/>
      <c r="I220" s="55"/>
      <c r="J220" s="51">
        <v>1528000</v>
      </c>
      <c r="K220" s="51"/>
      <c r="L220" s="52">
        <v>46173</v>
      </c>
      <c r="M220" s="53">
        <v>46112</v>
      </c>
      <c r="N220" s="50" t="s">
        <v>212</v>
      </c>
      <c r="O220" s="50" t="s">
        <v>902</v>
      </c>
      <c r="P220" s="50" t="s">
        <v>901</v>
      </c>
      <c r="Q220" s="55" t="s">
        <v>903</v>
      </c>
      <c r="R220" s="55" t="s">
        <v>904</v>
      </c>
      <c r="S220" s="53">
        <v>47207</v>
      </c>
      <c r="T220" s="50"/>
      <c r="U220" s="50" t="s">
        <v>166</v>
      </c>
      <c r="V220" s="56" t="s">
        <v>905</v>
      </c>
      <c r="W220" s="56"/>
      <c r="X220" s="56"/>
      <c r="Y220" s="56"/>
      <c r="Z220" s="56"/>
      <c r="AA220" s="56"/>
      <c r="AB220" s="56"/>
    </row>
    <row x14ac:dyDescent="0.25" r="221" customHeight="1" ht="18.75">
      <c r="A221" s="56"/>
      <c r="B221" s="56"/>
      <c r="C221" s="50" t="s">
        <v>16</v>
      </c>
      <c r="D221" s="50"/>
      <c r="E221" s="50"/>
      <c r="F221" s="50" t="s">
        <v>906</v>
      </c>
      <c r="G221" s="55">
        <v>10000000</v>
      </c>
      <c r="H221" s="55"/>
      <c r="I221" s="55"/>
      <c r="J221" s="51">
        <v>800000</v>
      </c>
      <c r="K221" s="51"/>
      <c r="L221" s="52">
        <v>46162</v>
      </c>
      <c r="M221" s="53">
        <v>46101</v>
      </c>
      <c r="N221" s="50" t="s">
        <v>239</v>
      </c>
      <c r="O221" s="50" t="s">
        <v>907</v>
      </c>
      <c r="P221" s="50" t="s">
        <v>906</v>
      </c>
      <c r="Q221" s="55" t="s">
        <v>908</v>
      </c>
      <c r="R221" s="55" t="s">
        <v>909</v>
      </c>
      <c r="S221" s="53">
        <v>47196</v>
      </c>
      <c r="T221" s="50"/>
      <c r="U221" s="50" t="s">
        <v>166</v>
      </c>
      <c r="V221" s="56"/>
      <c r="W221" s="56"/>
      <c r="X221" s="56"/>
      <c r="Y221" s="56"/>
      <c r="Z221" s="56"/>
      <c r="AA221" s="56"/>
      <c r="AB221" s="56"/>
    </row>
    <row x14ac:dyDescent="0.25" r="222" customHeight="1" ht="18.75">
      <c r="A222" s="63" t="s">
        <v>152</v>
      </c>
      <c r="B222" s="63"/>
      <c r="C222" s="49" t="s">
        <v>16</v>
      </c>
      <c r="D222" s="49"/>
      <c r="E222" s="49"/>
      <c r="F222" s="49" t="s">
        <v>824</v>
      </c>
      <c r="G222" s="64">
        <v>10000000</v>
      </c>
      <c r="H222" s="64"/>
      <c r="I222" s="64"/>
      <c r="J222" s="64">
        <v>500000</v>
      </c>
      <c r="K222" s="64"/>
      <c r="L222" s="66">
        <v>46184</v>
      </c>
      <c r="M222" s="67">
        <f>IF(L222&gt;0,EDATE(L222,-2),"")</f>
        <v>25569.375</v>
      </c>
      <c r="N222" s="49" t="s">
        <v>155</v>
      </c>
      <c r="O222" s="49" t="s">
        <v>825</v>
      </c>
      <c r="P222" s="49" t="s">
        <v>3267</v>
      </c>
      <c r="Q222" s="69" t="s">
        <v>826</v>
      </c>
      <c r="R222" s="69">
        <v>47927788</v>
      </c>
      <c r="S222" s="67">
        <f>IF(ISNUMBER(M222), EDATE(M222,36)-1, "")</f>
        <v>25569.375</v>
      </c>
      <c r="T222" s="49"/>
      <c r="U222" s="49"/>
      <c r="V222" s="63" t="s">
        <v>827</v>
      </c>
      <c r="W222" s="56"/>
      <c r="X222" s="56"/>
      <c r="Y222" s="56"/>
      <c r="Z222" s="56"/>
      <c r="AA222" s="56"/>
      <c r="AB222" s="56"/>
    </row>
    <row x14ac:dyDescent="0.25" r="223" customHeight="1" ht="18.75">
      <c r="A223" s="56"/>
      <c r="B223" s="56"/>
      <c r="C223" s="50" t="s">
        <v>16</v>
      </c>
      <c r="D223" s="50"/>
      <c r="E223" s="50"/>
      <c r="F223" s="50" t="s">
        <v>837</v>
      </c>
      <c r="G223" s="55">
        <v>10000000</v>
      </c>
      <c r="H223" s="55"/>
      <c r="I223" s="55"/>
      <c r="J223" s="51">
        <v>500000</v>
      </c>
      <c r="K223" s="51"/>
      <c r="L223" s="52">
        <v>46184</v>
      </c>
      <c r="M223" s="53">
        <v>46123</v>
      </c>
      <c r="N223" s="50" t="s">
        <v>168</v>
      </c>
      <c r="O223" s="50" t="s">
        <v>471</v>
      </c>
      <c r="P223" s="50" t="s">
        <v>837</v>
      </c>
      <c r="Q223" s="55" t="s">
        <v>838</v>
      </c>
      <c r="R223" s="55" t="s">
        <v>839</v>
      </c>
      <c r="S223" s="53">
        <v>47218</v>
      </c>
      <c r="T223" s="50" t="s">
        <v>840</v>
      </c>
      <c r="U223" s="50"/>
      <c r="V223" s="56"/>
      <c r="W223" s="56"/>
      <c r="X223" s="56"/>
      <c r="Y223" s="56"/>
      <c r="Z223" s="56"/>
      <c r="AA223" s="56"/>
      <c r="AB223" s="56"/>
    </row>
    <row x14ac:dyDescent="0.25" r="224" customHeight="1" ht="18.75">
      <c r="A224" s="48" t="s">
        <v>275</v>
      </c>
      <c r="B224" s="62"/>
      <c r="C224" s="49" t="s">
        <v>16</v>
      </c>
      <c r="D224" s="50"/>
      <c r="E224" s="50"/>
      <c r="F224" s="50" t="s">
        <v>837</v>
      </c>
      <c r="G224" s="51">
        <v>10000000</v>
      </c>
      <c r="H224" s="51"/>
      <c r="I224" s="51"/>
      <c r="J224" s="87">
        <f>IF(G224&gt;0,_xludf.IFS(G224=10000000,800000,G224=20000000,1528000,G224=30000000,2028000,G224=60000000,4056000),"")</f>
      </c>
      <c r="K224" s="51"/>
      <c r="L224" s="52">
        <v>46184</v>
      </c>
      <c r="M224" s="53">
        <f>IF(L224&gt;0,EDATE(L224,-2),"")</f>
        <v>25569.375</v>
      </c>
      <c r="N224" s="50" t="s">
        <v>168</v>
      </c>
      <c r="O224" s="50" t="s">
        <v>471</v>
      </c>
      <c r="P224" s="50" t="s">
        <v>2213</v>
      </c>
      <c r="Q224" s="55" t="s">
        <v>838</v>
      </c>
      <c r="R224" s="55">
        <v>64712886</v>
      </c>
      <c r="S224" s="53">
        <f>IF(ISNUMBER(M224), EDATE(M224,36)-1, "")</f>
        <v>25569.375</v>
      </c>
      <c r="T224" s="50"/>
      <c r="U224" s="50"/>
      <c r="V224" s="48" t="s">
        <v>841</v>
      </c>
      <c r="W224" s="56"/>
      <c r="X224" s="56"/>
      <c r="Y224" s="56"/>
      <c r="Z224" s="56"/>
      <c r="AA224" s="56"/>
      <c r="AB224" s="56"/>
    </row>
    <row x14ac:dyDescent="0.25" r="225" customHeight="1" ht="18.75">
      <c r="A225" s="56"/>
      <c r="B225" s="56"/>
      <c r="C225" s="50" t="s">
        <v>16</v>
      </c>
      <c r="D225" s="50"/>
      <c r="E225" s="50"/>
      <c r="F225" s="50" t="s">
        <v>925</v>
      </c>
      <c r="G225" s="55">
        <v>10000000</v>
      </c>
      <c r="H225" s="55"/>
      <c r="I225" s="55"/>
      <c r="J225" s="51">
        <v>800000</v>
      </c>
      <c r="K225" s="51"/>
      <c r="L225" s="52">
        <v>46080</v>
      </c>
      <c r="M225" s="53">
        <v>46018</v>
      </c>
      <c r="N225" s="50" t="s">
        <v>239</v>
      </c>
      <c r="O225" s="50" t="s">
        <v>926</v>
      </c>
      <c r="P225" s="50" t="s">
        <v>925</v>
      </c>
      <c r="Q225" s="55" t="s">
        <v>927</v>
      </c>
      <c r="R225" s="55" t="s">
        <v>928</v>
      </c>
      <c r="S225" s="53">
        <v>47113</v>
      </c>
      <c r="T225" s="50"/>
      <c r="U225" s="50"/>
      <c r="V225" s="56"/>
      <c r="W225" s="56"/>
      <c r="X225" s="56"/>
      <c r="Y225" s="56"/>
      <c r="Z225" s="56"/>
      <c r="AA225" s="56"/>
      <c r="AB225" s="56"/>
    </row>
    <row x14ac:dyDescent="0.25" r="226" customHeight="1" ht="18.75">
      <c r="A226" s="56"/>
      <c r="B226" s="56"/>
      <c r="C226" s="50" t="s">
        <v>16</v>
      </c>
      <c r="D226" s="50"/>
      <c r="E226" s="50"/>
      <c r="F226" s="50" t="s">
        <v>929</v>
      </c>
      <c r="G226" s="55">
        <v>10000000</v>
      </c>
      <c r="H226" s="55"/>
      <c r="I226" s="55"/>
      <c r="J226" s="51">
        <v>800000</v>
      </c>
      <c r="K226" s="51"/>
      <c r="L226" s="52">
        <v>46008</v>
      </c>
      <c r="M226" s="53">
        <v>45947</v>
      </c>
      <c r="N226" s="50" t="s">
        <v>168</v>
      </c>
      <c r="O226" s="50" t="s">
        <v>930</v>
      </c>
      <c r="P226" s="50" t="s">
        <v>929</v>
      </c>
      <c r="Q226" s="55" t="s">
        <v>931</v>
      </c>
      <c r="R226" s="55" t="s">
        <v>932</v>
      </c>
      <c r="S226" s="53">
        <v>47042</v>
      </c>
      <c r="T226" s="50"/>
      <c r="U226" s="50"/>
      <c r="V226" s="56"/>
      <c r="W226" s="56"/>
      <c r="X226" s="56"/>
      <c r="Y226" s="56"/>
      <c r="Z226" s="56"/>
      <c r="AA226" s="56"/>
      <c r="AB226" s="56"/>
    </row>
    <row x14ac:dyDescent="0.25" r="227" customHeight="1" ht="18.75">
      <c r="A227" s="48" t="s">
        <v>252</v>
      </c>
      <c r="B227" s="48"/>
      <c r="C227" s="50" t="s">
        <v>16</v>
      </c>
      <c r="D227" s="50"/>
      <c r="E227" s="50"/>
      <c r="F227" s="50" t="s">
        <v>34</v>
      </c>
      <c r="G227" s="55">
        <v>60000000</v>
      </c>
      <c r="H227" s="55"/>
      <c r="I227" s="55"/>
      <c r="J227" s="51">
        <v>4056000</v>
      </c>
      <c r="K227" s="51"/>
      <c r="L227" s="52">
        <v>44145</v>
      </c>
      <c r="M227" s="53">
        <v>44084</v>
      </c>
      <c r="N227" s="50" t="s">
        <v>933</v>
      </c>
      <c r="O227" s="50" t="s">
        <v>934</v>
      </c>
      <c r="P227" s="50" t="s">
        <v>34</v>
      </c>
      <c r="Q227" s="55" t="s">
        <v>935</v>
      </c>
      <c r="R227" s="55" t="s">
        <v>936</v>
      </c>
      <c r="S227" s="53">
        <v>45178</v>
      </c>
      <c r="T227" s="50"/>
      <c r="U227" s="50"/>
      <c r="V227" s="56"/>
      <c r="W227" s="56"/>
      <c r="X227" s="56"/>
      <c r="Y227" s="56"/>
      <c r="Z227" s="56"/>
      <c r="AA227" s="56"/>
      <c r="AB227" s="56"/>
    </row>
    <row x14ac:dyDescent="0.25" r="228" customHeight="1" ht="18.75">
      <c r="A228" s="56"/>
      <c r="B228" s="56"/>
      <c r="C228" s="50" t="s">
        <v>16</v>
      </c>
      <c r="D228" s="50"/>
      <c r="E228" s="50"/>
      <c r="F228" s="50" t="s">
        <v>34</v>
      </c>
      <c r="G228" s="55">
        <v>60000000</v>
      </c>
      <c r="H228" s="55"/>
      <c r="I228" s="55"/>
      <c r="J228" s="51">
        <v>4800000</v>
      </c>
      <c r="K228" s="51"/>
      <c r="L228" s="52">
        <v>45909</v>
      </c>
      <c r="M228" s="53">
        <v>45847</v>
      </c>
      <c r="N228" s="50" t="s">
        <v>155</v>
      </c>
      <c r="O228" s="50" t="s">
        <v>937</v>
      </c>
      <c r="P228" s="50" t="s">
        <v>34</v>
      </c>
      <c r="Q228" s="55" t="s">
        <v>935</v>
      </c>
      <c r="R228" s="55" t="s">
        <v>938</v>
      </c>
      <c r="S228" s="53">
        <v>46942</v>
      </c>
      <c r="T228" s="50"/>
      <c r="U228" s="50"/>
      <c r="V228" s="56"/>
      <c r="W228" s="56"/>
      <c r="X228" s="56"/>
      <c r="Y228" s="56"/>
      <c r="Z228" s="56"/>
      <c r="AA228" s="56"/>
      <c r="AB228" s="56"/>
    </row>
    <row x14ac:dyDescent="0.25" r="229" customHeight="1" ht="18.75">
      <c r="A229" s="48" t="s">
        <v>252</v>
      </c>
      <c r="B229" s="48"/>
      <c r="C229" s="50" t="s">
        <v>16</v>
      </c>
      <c r="D229" s="50"/>
      <c r="E229" s="50"/>
      <c r="F229" s="50" t="s">
        <v>34</v>
      </c>
      <c r="G229" s="55">
        <v>60000000</v>
      </c>
      <c r="H229" s="55"/>
      <c r="I229" s="55"/>
      <c r="J229" s="51">
        <v>4800000</v>
      </c>
      <c r="K229" s="51"/>
      <c r="L229" s="52">
        <v>45971</v>
      </c>
      <c r="M229" s="53">
        <v>45910</v>
      </c>
      <c r="N229" s="50" t="s">
        <v>933</v>
      </c>
      <c r="O229" s="50" t="s">
        <v>939</v>
      </c>
      <c r="P229" s="50" t="s">
        <v>34</v>
      </c>
      <c r="Q229" s="55" t="s">
        <v>935</v>
      </c>
      <c r="R229" s="55" t="s">
        <v>938</v>
      </c>
      <c r="S229" s="53">
        <v>47005</v>
      </c>
      <c r="T229" s="50"/>
      <c r="U229" s="50"/>
      <c r="V229" s="56"/>
      <c r="W229" s="56"/>
      <c r="X229" s="56"/>
      <c r="Y229" s="56"/>
      <c r="Z229" s="56"/>
      <c r="AA229" s="56"/>
      <c r="AB229" s="56"/>
    </row>
    <row x14ac:dyDescent="0.25" r="230" customHeight="1" ht="18.75">
      <c r="A230" s="56"/>
      <c r="B230" s="56"/>
      <c r="C230" s="50" t="s">
        <v>16</v>
      </c>
      <c r="D230" s="50"/>
      <c r="E230" s="50"/>
      <c r="F230" s="50" t="s">
        <v>890</v>
      </c>
      <c r="G230" s="55">
        <v>10000000</v>
      </c>
      <c r="H230" s="55"/>
      <c r="I230" s="55"/>
      <c r="J230" s="51">
        <v>500000</v>
      </c>
      <c r="K230" s="51"/>
      <c r="L230" s="52">
        <v>46184</v>
      </c>
      <c r="M230" s="53">
        <v>46123</v>
      </c>
      <c r="N230" s="50" t="s">
        <v>168</v>
      </c>
      <c r="O230" s="50" t="s">
        <v>471</v>
      </c>
      <c r="P230" s="50" t="s">
        <v>890</v>
      </c>
      <c r="Q230" s="55" t="s">
        <v>891</v>
      </c>
      <c r="R230" s="55" t="s">
        <v>892</v>
      </c>
      <c r="S230" s="53">
        <v>47218</v>
      </c>
      <c r="T230" s="50" t="s">
        <v>893</v>
      </c>
      <c r="U230" s="50"/>
      <c r="V230" s="56"/>
      <c r="W230" s="56"/>
      <c r="X230" s="56"/>
      <c r="Y230" s="56"/>
      <c r="Z230" s="56"/>
      <c r="AA230" s="56"/>
      <c r="AB230" s="56"/>
    </row>
    <row x14ac:dyDescent="0.25" r="231" customHeight="1" ht="18.75">
      <c r="A231" s="56"/>
      <c r="B231" s="56"/>
      <c r="C231" s="50" t="s">
        <v>16</v>
      </c>
      <c r="D231" s="50"/>
      <c r="E231" s="50"/>
      <c r="F231" s="50" t="s">
        <v>942</v>
      </c>
      <c r="G231" s="55">
        <v>10000000</v>
      </c>
      <c r="H231" s="55"/>
      <c r="I231" s="55"/>
      <c r="J231" s="51">
        <v>800000</v>
      </c>
      <c r="K231" s="51"/>
      <c r="L231" s="52">
        <v>46133</v>
      </c>
      <c r="M231" s="53">
        <v>46074</v>
      </c>
      <c r="N231" s="50" t="s">
        <v>182</v>
      </c>
      <c r="O231" s="50" t="s">
        <v>3268</v>
      </c>
      <c r="P231" s="50" t="s">
        <v>942</v>
      </c>
      <c r="Q231" s="55" t="s">
        <v>944</v>
      </c>
      <c r="R231" s="55" t="s">
        <v>3269</v>
      </c>
      <c r="S231" s="53">
        <v>47169</v>
      </c>
      <c r="T231" s="50"/>
      <c r="U231" s="50" t="s">
        <v>166</v>
      </c>
      <c r="V231" s="56"/>
      <c r="W231" s="56"/>
      <c r="X231" s="56"/>
      <c r="Y231" s="56"/>
      <c r="Z231" s="56"/>
      <c r="AA231" s="56"/>
      <c r="AB231" s="56"/>
    </row>
    <row x14ac:dyDescent="0.25" r="232" customHeight="1" ht="18.75">
      <c r="A232" s="63"/>
      <c r="B232" s="63"/>
      <c r="C232" s="49" t="s">
        <v>16</v>
      </c>
      <c r="D232" s="49"/>
      <c r="E232" s="49"/>
      <c r="F232" s="49" t="s">
        <v>942</v>
      </c>
      <c r="G232" s="64">
        <v>30000000</v>
      </c>
      <c r="H232" s="64"/>
      <c r="I232" s="64"/>
      <c r="J232" s="65">
        <f>IF(G232&gt;0,_xludf.IFS(G232=10000000,800000,G232=20000000,1528000,G232=30000000,2028000,G232=60000000,4056000),"")</f>
      </c>
      <c r="K232" s="64"/>
      <c r="L232" s="66">
        <v>46133</v>
      </c>
      <c r="M232" s="67">
        <f>IF(L232&gt;0,EDATE(L232,-2),"")</f>
        <v>25569.375</v>
      </c>
      <c r="N232" s="49" t="s">
        <v>239</v>
      </c>
      <c r="O232" s="49" t="s">
        <v>943</v>
      </c>
      <c r="P232" s="68">
        <f>IF(F232&gt;0,F232,"")</f>
      </c>
      <c r="Q232" s="69" t="s">
        <v>944</v>
      </c>
      <c r="R232" s="69">
        <v>85439498</v>
      </c>
      <c r="S232" s="53">
        <f>IF(M232&gt;0,EDATE(M232,36)-1,"")</f>
        <v>25569.375</v>
      </c>
      <c r="T232" s="49"/>
      <c r="U232" s="49"/>
      <c r="V232" s="63"/>
      <c r="W232" s="56"/>
      <c r="X232" s="56"/>
      <c r="Y232" s="56"/>
      <c r="Z232" s="56"/>
      <c r="AA232" s="56"/>
      <c r="AB232" s="56"/>
    </row>
    <row x14ac:dyDescent="0.25" r="233" customHeight="1" ht="18.75">
      <c r="A233" s="56"/>
      <c r="B233" s="56"/>
      <c r="C233" s="50" t="s">
        <v>16</v>
      </c>
      <c r="D233" s="50"/>
      <c r="E233" s="50"/>
      <c r="F233" s="50" t="s">
        <v>945</v>
      </c>
      <c r="G233" s="55">
        <v>10000000</v>
      </c>
      <c r="H233" s="55"/>
      <c r="I233" s="55"/>
      <c r="J233" s="51">
        <v>800000</v>
      </c>
      <c r="K233" s="51"/>
      <c r="L233" s="52">
        <v>46111</v>
      </c>
      <c r="M233" s="53">
        <v>46052</v>
      </c>
      <c r="N233" s="50" t="s">
        <v>155</v>
      </c>
      <c r="O233" s="50" t="s">
        <v>946</v>
      </c>
      <c r="P233" s="50" t="s">
        <v>945</v>
      </c>
      <c r="Q233" s="55" t="s">
        <v>947</v>
      </c>
      <c r="R233" s="55" t="s">
        <v>948</v>
      </c>
      <c r="S233" s="53">
        <v>47147</v>
      </c>
      <c r="T233" s="50"/>
      <c r="U233" s="50" t="s">
        <v>949</v>
      </c>
      <c r="V233" s="56"/>
      <c r="W233" s="56"/>
      <c r="X233" s="56"/>
      <c r="Y233" s="56"/>
      <c r="Z233" s="56"/>
      <c r="AA233" s="56"/>
      <c r="AB233" s="56"/>
    </row>
    <row x14ac:dyDescent="0.25" r="234" customHeight="1" ht="18.75">
      <c r="A234" s="48" t="s">
        <v>275</v>
      </c>
      <c r="B234" s="62"/>
      <c r="C234" s="49" t="s">
        <v>16</v>
      </c>
      <c r="D234" s="50"/>
      <c r="E234" s="50"/>
      <c r="F234" s="50" t="s">
        <v>890</v>
      </c>
      <c r="G234" s="51">
        <v>10000000</v>
      </c>
      <c r="H234" s="51"/>
      <c r="I234" s="51"/>
      <c r="J234" s="87">
        <f>IF(G234&gt;0,_xludf.IFS(G234=10000000,800000,G234=20000000,1528000,G234=30000000,2028000,G234=60000000,4056000),"")</f>
      </c>
      <c r="K234" s="51"/>
      <c r="L234" s="52">
        <v>46184</v>
      </c>
      <c r="M234" s="53">
        <f>IF(L234&gt;0,EDATE(L234,-2),"")</f>
        <v>25569.375</v>
      </c>
      <c r="N234" s="50" t="s">
        <v>168</v>
      </c>
      <c r="O234" s="50" t="s">
        <v>471</v>
      </c>
      <c r="P234" s="50" t="s">
        <v>2213</v>
      </c>
      <c r="Q234" s="55" t="s">
        <v>891</v>
      </c>
      <c r="R234" s="55">
        <v>88047179</v>
      </c>
      <c r="S234" s="53">
        <f>IF(ISNUMBER(M234), EDATE(M234,36)-1, "")</f>
        <v>25569.375</v>
      </c>
      <c r="T234" s="50"/>
      <c r="U234" s="50"/>
      <c r="V234" s="48" t="s">
        <v>894</v>
      </c>
      <c r="W234" s="56"/>
      <c r="X234" s="56"/>
      <c r="Y234" s="56"/>
      <c r="Z234" s="56"/>
      <c r="AA234" s="56"/>
      <c r="AB234" s="56"/>
    </row>
    <row x14ac:dyDescent="0.25" r="235" customHeight="1" ht="18.75">
      <c r="A235" s="56"/>
      <c r="B235" s="56"/>
      <c r="C235" s="50" t="s">
        <v>16</v>
      </c>
      <c r="D235" s="50"/>
      <c r="E235" s="50"/>
      <c r="F235" s="50" t="s">
        <v>952</v>
      </c>
      <c r="G235" s="55">
        <v>20000000</v>
      </c>
      <c r="H235" s="55"/>
      <c r="I235" s="55"/>
      <c r="J235" s="51">
        <v>1528000</v>
      </c>
      <c r="K235" s="51"/>
      <c r="L235" s="52">
        <v>46052</v>
      </c>
      <c r="M235" s="53">
        <v>45990</v>
      </c>
      <c r="N235" s="50" t="s">
        <v>155</v>
      </c>
      <c r="O235" s="50" t="s">
        <v>953</v>
      </c>
      <c r="P235" s="50" t="s">
        <v>952</v>
      </c>
      <c r="Q235" s="55" t="s">
        <v>954</v>
      </c>
      <c r="R235" s="55" t="s">
        <v>955</v>
      </c>
      <c r="S235" s="53">
        <v>47085</v>
      </c>
      <c r="T235" s="50"/>
      <c r="U235" s="50"/>
      <c r="V235" s="56"/>
      <c r="W235" s="56"/>
      <c r="X235" s="56"/>
      <c r="Y235" s="56"/>
      <c r="Z235" s="56"/>
      <c r="AA235" s="56"/>
      <c r="AB235" s="56"/>
    </row>
    <row x14ac:dyDescent="0.25" r="236" customHeight="1" ht="18.75">
      <c r="A236" s="56"/>
      <c r="B236" s="56"/>
      <c r="C236" s="50" t="s">
        <v>16</v>
      </c>
      <c r="D236" s="50"/>
      <c r="E236" s="50"/>
      <c r="F236" s="50" t="s">
        <v>895</v>
      </c>
      <c r="G236" s="55">
        <v>10000000</v>
      </c>
      <c r="H236" s="55"/>
      <c r="I236" s="55"/>
      <c r="J236" s="51">
        <v>500000</v>
      </c>
      <c r="K236" s="51"/>
      <c r="L236" s="52">
        <v>46184</v>
      </c>
      <c r="M236" s="53">
        <v>46123</v>
      </c>
      <c r="N236" s="50" t="s">
        <v>168</v>
      </c>
      <c r="O236" s="50" t="s">
        <v>471</v>
      </c>
      <c r="P236" s="50" t="s">
        <v>2213</v>
      </c>
      <c r="Q236" s="55" t="s">
        <v>896</v>
      </c>
      <c r="R236" s="55" t="s">
        <v>897</v>
      </c>
      <c r="S236" s="53">
        <v>47218</v>
      </c>
      <c r="T236" s="50" t="s">
        <v>898</v>
      </c>
      <c r="U236" s="50" t="s">
        <v>166</v>
      </c>
      <c r="V236" s="56"/>
      <c r="W236" s="56"/>
      <c r="X236" s="56"/>
      <c r="Y236" s="56"/>
      <c r="Z236" s="56"/>
      <c r="AA236" s="56"/>
      <c r="AB236" s="56"/>
    </row>
    <row x14ac:dyDescent="0.25" r="237" customHeight="1" ht="18.75">
      <c r="A237" s="56"/>
      <c r="B237" s="56"/>
      <c r="C237" s="50" t="s">
        <v>16</v>
      </c>
      <c r="D237" s="50"/>
      <c r="E237" s="50" t="s">
        <v>958</v>
      </c>
      <c r="F237" s="50" t="s">
        <v>959</v>
      </c>
      <c r="G237" s="55">
        <v>10000000</v>
      </c>
      <c r="H237" s="55"/>
      <c r="I237" s="55"/>
      <c r="J237" s="51">
        <v>500000</v>
      </c>
      <c r="K237" s="51"/>
      <c r="L237" s="52">
        <v>46083</v>
      </c>
      <c r="M237" s="53">
        <v>46024</v>
      </c>
      <c r="N237" s="50" t="s">
        <v>155</v>
      </c>
      <c r="O237" s="50" t="s">
        <v>960</v>
      </c>
      <c r="P237" s="50" t="s">
        <v>959</v>
      </c>
      <c r="Q237" s="55" t="s">
        <v>961</v>
      </c>
      <c r="R237" s="55" t="s">
        <v>962</v>
      </c>
      <c r="S237" s="53">
        <v>47119</v>
      </c>
      <c r="T237" s="50"/>
      <c r="U237" s="50"/>
      <c r="V237" s="56"/>
      <c r="W237" s="56"/>
      <c r="X237" s="56"/>
      <c r="Y237" s="56"/>
      <c r="Z237" s="56"/>
      <c r="AA237" s="56"/>
      <c r="AB237" s="56"/>
    </row>
    <row x14ac:dyDescent="0.25" r="238" customHeight="1" ht="18.75">
      <c r="A238" s="48" t="s">
        <v>275</v>
      </c>
      <c r="B238" s="62"/>
      <c r="C238" s="49" t="s">
        <v>16</v>
      </c>
      <c r="D238" s="50"/>
      <c r="E238" s="50"/>
      <c r="F238" s="50" t="s">
        <v>895</v>
      </c>
      <c r="G238" s="51">
        <v>10000000</v>
      </c>
      <c r="H238" s="51"/>
      <c r="I238" s="51"/>
      <c r="J238" s="87">
        <f>IF(G238&gt;0,_xludf.IFS(G238=10000000,800000,G238=20000000,1528000,G238=30000000,2028000,G238=60000000,4056000),"")</f>
      </c>
      <c r="K238" s="51"/>
      <c r="L238" s="52">
        <v>46184</v>
      </c>
      <c r="M238" s="53">
        <f>IF(L238&gt;0,EDATE(L238,-2),"")</f>
        <v>25569.375</v>
      </c>
      <c r="N238" s="50" t="s">
        <v>168</v>
      </c>
      <c r="O238" s="50" t="s">
        <v>471</v>
      </c>
      <c r="P238" s="50" t="s">
        <v>2213</v>
      </c>
      <c r="Q238" s="55" t="s">
        <v>896</v>
      </c>
      <c r="R238" s="55">
        <v>74120680</v>
      </c>
      <c r="S238" s="53">
        <f>IF(ISNUMBER(M238), EDATE(M238,36)-1, "")</f>
        <v>25569.375</v>
      </c>
      <c r="T238" s="50"/>
      <c r="U238" s="50"/>
      <c r="V238" s="48" t="s">
        <v>475</v>
      </c>
      <c r="W238" s="56"/>
      <c r="X238" s="56"/>
      <c r="Y238" s="56"/>
      <c r="Z238" s="56"/>
      <c r="AA238" s="56"/>
      <c r="AB238" s="56"/>
    </row>
    <row x14ac:dyDescent="0.25" r="239" customHeight="1" ht="18.75">
      <c r="A239" s="56"/>
      <c r="B239" s="56"/>
      <c r="C239" s="50" t="s">
        <v>13</v>
      </c>
      <c r="D239" s="50"/>
      <c r="E239" s="50"/>
      <c r="F239" s="50" t="s">
        <v>967</v>
      </c>
      <c r="G239" s="55">
        <v>60000000</v>
      </c>
      <c r="H239" s="55"/>
      <c r="I239" s="55"/>
      <c r="J239" s="51">
        <v>4800000</v>
      </c>
      <c r="K239" s="51"/>
      <c r="L239" s="52">
        <v>45778</v>
      </c>
      <c r="M239" s="53">
        <v>45717</v>
      </c>
      <c r="N239" s="50" t="s">
        <v>155</v>
      </c>
      <c r="O239" s="50" t="s">
        <v>968</v>
      </c>
      <c r="P239" s="50" t="s">
        <v>967</v>
      </c>
      <c r="Q239" s="55" t="s">
        <v>969</v>
      </c>
      <c r="R239" s="55" t="s">
        <v>970</v>
      </c>
      <c r="S239" s="53">
        <v>46812</v>
      </c>
      <c r="T239" s="50"/>
      <c r="U239" s="50" t="s">
        <v>971</v>
      </c>
      <c r="V239" s="56"/>
      <c r="W239" s="56"/>
      <c r="X239" s="56"/>
      <c r="Y239" s="56"/>
      <c r="Z239" s="56"/>
      <c r="AA239" s="56"/>
      <c r="AB239" s="56"/>
    </row>
    <row x14ac:dyDescent="0.25" r="240" customHeight="1" ht="18.75">
      <c r="A240" s="56"/>
      <c r="B240" s="56"/>
      <c r="C240" s="50" t="s">
        <v>972</v>
      </c>
      <c r="D240" s="50"/>
      <c r="E240" s="50"/>
      <c r="F240" s="50" t="s">
        <v>967</v>
      </c>
      <c r="G240" s="55">
        <v>60000000</v>
      </c>
      <c r="H240" s="55"/>
      <c r="I240" s="55"/>
      <c r="J240" s="51">
        <v>4800000</v>
      </c>
      <c r="K240" s="51"/>
      <c r="L240" s="52">
        <v>45818</v>
      </c>
      <c r="M240" s="53">
        <v>45757</v>
      </c>
      <c r="N240" s="50" t="s">
        <v>282</v>
      </c>
      <c r="O240" s="50" t="s">
        <v>973</v>
      </c>
      <c r="P240" s="50" t="s">
        <v>967</v>
      </c>
      <c r="Q240" s="55" t="s">
        <v>969</v>
      </c>
      <c r="R240" s="55" t="s">
        <v>970</v>
      </c>
      <c r="S240" s="53">
        <v>46852</v>
      </c>
      <c r="T240" s="50"/>
      <c r="U240" s="50"/>
      <c r="V240" s="56"/>
      <c r="W240" s="56"/>
      <c r="X240" s="56"/>
      <c r="Y240" s="56"/>
      <c r="Z240" s="56"/>
      <c r="AA240" s="56"/>
      <c r="AB240" s="56"/>
    </row>
    <row x14ac:dyDescent="0.25" r="241" customHeight="1" ht="18.75">
      <c r="A241" s="56"/>
      <c r="B241" s="56"/>
      <c r="C241" s="50" t="s">
        <v>16</v>
      </c>
      <c r="D241" s="50"/>
      <c r="E241" s="50"/>
      <c r="F241" s="50" t="s">
        <v>967</v>
      </c>
      <c r="G241" s="55">
        <v>30000000</v>
      </c>
      <c r="H241" s="55"/>
      <c r="I241" s="55"/>
      <c r="J241" s="51">
        <v>2400000</v>
      </c>
      <c r="K241" s="51"/>
      <c r="L241" s="52">
        <v>45938</v>
      </c>
      <c r="M241" s="53">
        <v>45877</v>
      </c>
      <c r="N241" s="50" t="s">
        <v>282</v>
      </c>
      <c r="O241" s="50" t="s">
        <v>973</v>
      </c>
      <c r="P241" s="50" t="s">
        <v>967</v>
      </c>
      <c r="Q241" s="55" t="s">
        <v>969</v>
      </c>
      <c r="R241" s="55" t="s">
        <v>970</v>
      </c>
      <c r="S241" s="53">
        <v>46972</v>
      </c>
      <c r="T241" s="50"/>
      <c r="U241" s="50"/>
      <c r="V241" s="56"/>
      <c r="W241" s="56"/>
      <c r="X241" s="56"/>
      <c r="Y241" s="56"/>
      <c r="Z241" s="56"/>
      <c r="AA241" s="56"/>
      <c r="AB241" s="56"/>
    </row>
    <row x14ac:dyDescent="0.25" r="242" customHeight="1" ht="18.75">
      <c r="A242" s="56"/>
      <c r="B242" s="56"/>
      <c r="C242" s="50" t="s">
        <v>16</v>
      </c>
      <c r="D242" s="50"/>
      <c r="E242" s="50"/>
      <c r="F242" s="50" t="s">
        <v>967</v>
      </c>
      <c r="G242" s="55">
        <v>30000000</v>
      </c>
      <c r="H242" s="55"/>
      <c r="I242" s="55"/>
      <c r="J242" s="51">
        <v>2400000</v>
      </c>
      <c r="K242" s="51"/>
      <c r="L242" s="52">
        <v>45940</v>
      </c>
      <c r="M242" s="53">
        <v>45879</v>
      </c>
      <c r="N242" s="50" t="s">
        <v>282</v>
      </c>
      <c r="O242" s="50" t="s">
        <v>973</v>
      </c>
      <c r="P242" s="50" t="s">
        <v>967</v>
      </c>
      <c r="Q242" s="55" t="s">
        <v>969</v>
      </c>
      <c r="R242" s="55" t="s">
        <v>970</v>
      </c>
      <c r="S242" s="53">
        <v>45943</v>
      </c>
      <c r="T242" s="50"/>
      <c r="U242" s="50"/>
      <c r="V242" s="56"/>
      <c r="W242" s="56"/>
      <c r="X242" s="56"/>
      <c r="Y242" s="56"/>
      <c r="Z242" s="56"/>
      <c r="AA242" s="56"/>
      <c r="AB242" s="56"/>
    </row>
    <row x14ac:dyDescent="0.25" r="243" customHeight="1" ht="18.75">
      <c r="A243" s="56"/>
      <c r="B243" s="56"/>
      <c r="C243" s="50" t="s">
        <v>16</v>
      </c>
      <c r="D243" s="50"/>
      <c r="E243" s="50"/>
      <c r="F243" s="50" t="s">
        <v>974</v>
      </c>
      <c r="G243" s="55">
        <v>20000000</v>
      </c>
      <c r="H243" s="55"/>
      <c r="I243" s="55"/>
      <c r="J243" s="51">
        <v>1528000</v>
      </c>
      <c r="K243" s="51"/>
      <c r="L243" s="52">
        <v>46001</v>
      </c>
      <c r="M243" s="53">
        <v>45940</v>
      </c>
      <c r="N243" s="50" t="s">
        <v>580</v>
      </c>
      <c r="O243" s="50" t="s">
        <v>975</v>
      </c>
      <c r="P243" s="50" t="s">
        <v>974</v>
      </c>
      <c r="Q243" s="55" t="s">
        <v>976</v>
      </c>
      <c r="R243" s="55" t="s">
        <v>977</v>
      </c>
      <c r="S243" s="53">
        <v>47035</v>
      </c>
      <c r="T243" s="50"/>
      <c r="U243" s="50"/>
      <c r="V243" s="56"/>
      <c r="W243" s="56"/>
      <c r="X243" s="56"/>
      <c r="Y243" s="56"/>
      <c r="Z243" s="56"/>
      <c r="AA243" s="56"/>
      <c r="AB243" s="56"/>
    </row>
    <row x14ac:dyDescent="0.25" r="244" customHeight="1" ht="18.75">
      <c r="A244" s="56"/>
      <c r="B244" s="56"/>
      <c r="C244" s="50" t="s">
        <v>16</v>
      </c>
      <c r="D244" s="50"/>
      <c r="E244" s="50"/>
      <c r="F244" s="50" t="s">
        <v>899</v>
      </c>
      <c r="G244" s="55">
        <v>10000000</v>
      </c>
      <c r="H244" s="55"/>
      <c r="I244" s="55"/>
      <c r="J244" s="51">
        <v>500000</v>
      </c>
      <c r="K244" s="51"/>
      <c r="L244" s="52">
        <v>46184</v>
      </c>
      <c r="M244" s="53">
        <v>46123</v>
      </c>
      <c r="N244" s="50" t="s">
        <v>168</v>
      </c>
      <c r="O244" s="50" t="s">
        <v>471</v>
      </c>
      <c r="P244" s="50" t="s">
        <v>899</v>
      </c>
      <c r="Q244" s="55" t="s">
        <v>896</v>
      </c>
      <c r="R244" s="55" t="s">
        <v>897</v>
      </c>
      <c r="S244" s="53">
        <v>47218</v>
      </c>
      <c r="T244" s="50"/>
      <c r="U244" s="50" t="s">
        <v>166</v>
      </c>
      <c r="V244" s="56"/>
      <c r="W244" s="56"/>
      <c r="X244" s="56"/>
      <c r="Y244" s="56"/>
      <c r="Z244" s="56"/>
      <c r="AA244" s="56"/>
      <c r="AB244" s="56"/>
    </row>
    <row x14ac:dyDescent="0.25" r="245" customHeight="1" ht="18.75">
      <c r="A245" s="56"/>
      <c r="B245" s="56"/>
      <c r="C245" s="50" t="s">
        <v>16</v>
      </c>
      <c r="D245" s="50"/>
      <c r="E245" s="50"/>
      <c r="F245" s="50" t="s">
        <v>1003</v>
      </c>
      <c r="G245" s="55">
        <v>10000000</v>
      </c>
      <c r="H245" s="55"/>
      <c r="I245" s="55"/>
      <c r="J245" s="51">
        <v>500000</v>
      </c>
      <c r="K245" s="51"/>
      <c r="L245" s="52">
        <v>46184</v>
      </c>
      <c r="M245" s="53">
        <v>46123</v>
      </c>
      <c r="N245" s="50" t="s">
        <v>168</v>
      </c>
      <c r="O245" s="50" t="s">
        <v>471</v>
      </c>
      <c r="P245" s="50" t="s">
        <v>1003</v>
      </c>
      <c r="Q245" s="55" t="s">
        <v>1004</v>
      </c>
      <c r="R245" s="55" t="s">
        <v>1005</v>
      </c>
      <c r="S245" s="53">
        <v>47218</v>
      </c>
      <c r="T245" s="50" t="s">
        <v>1006</v>
      </c>
      <c r="U245" s="50"/>
      <c r="V245" s="56"/>
      <c r="W245" s="56"/>
      <c r="X245" s="56"/>
      <c r="Y245" s="56"/>
      <c r="Z245" s="56"/>
      <c r="AA245" s="56"/>
      <c r="AB245" s="56"/>
    </row>
    <row x14ac:dyDescent="0.25" r="246" customHeight="1" ht="18.75">
      <c r="A246" s="56"/>
      <c r="B246" s="56"/>
      <c r="C246" s="50" t="s">
        <v>16</v>
      </c>
      <c r="D246" s="50"/>
      <c r="E246" s="50"/>
      <c r="F246" s="50" t="s">
        <v>983</v>
      </c>
      <c r="G246" s="55">
        <v>10000000</v>
      </c>
      <c r="H246" s="55"/>
      <c r="I246" s="55"/>
      <c r="J246" s="51">
        <v>800000</v>
      </c>
      <c r="K246" s="51"/>
      <c r="L246" s="52">
        <v>46159</v>
      </c>
      <c r="M246" s="53">
        <v>46098</v>
      </c>
      <c r="N246" s="50" t="s">
        <v>239</v>
      </c>
      <c r="O246" s="50" t="s">
        <v>907</v>
      </c>
      <c r="P246" s="50" t="s">
        <v>983</v>
      </c>
      <c r="Q246" s="55" t="s">
        <v>984</v>
      </c>
      <c r="R246" s="55" t="s">
        <v>985</v>
      </c>
      <c r="S246" s="53">
        <v>47193</v>
      </c>
      <c r="T246" s="50" t="s">
        <v>986</v>
      </c>
      <c r="U246" s="50" t="s">
        <v>166</v>
      </c>
      <c r="V246" s="56"/>
      <c r="W246" s="56"/>
      <c r="X246" s="56"/>
      <c r="Y246" s="56"/>
      <c r="Z246" s="56"/>
      <c r="AA246" s="56"/>
      <c r="AB246" s="56"/>
    </row>
    <row x14ac:dyDescent="0.25" r="247" customHeight="1" ht="18.75">
      <c r="A247" s="48" t="s">
        <v>275</v>
      </c>
      <c r="B247" s="62"/>
      <c r="C247" s="49" t="s">
        <v>16</v>
      </c>
      <c r="D247" s="50"/>
      <c r="E247" s="50"/>
      <c r="F247" s="50" t="s">
        <v>1003</v>
      </c>
      <c r="G247" s="51">
        <v>10000000</v>
      </c>
      <c r="H247" s="51"/>
      <c r="I247" s="51"/>
      <c r="J247" s="87">
        <f>IF(G247&gt;0,_xludf.IFS(G247=10000000,800000,G247=20000000,1528000,G247=30000000,2028000,G247=60000000,4056000),"")</f>
      </c>
      <c r="K247" s="51"/>
      <c r="L247" s="52">
        <v>46184</v>
      </c>
      <c r="M247" s="53">
        <f>IF(L247&gt;0,EDATE(L247,-2),"")</f>
        <v>25569.375</v>
      </c>
      <c r="N247" s="50" t="s">
        <v>168</v>
      </c>
      <c r="O247" s="50" t="s">
        <v>471</v>
      </c>
      <c r="P247" s="50" t="s">
        <v>2213</v>
      </c>
      <c r="Q247" s="55" t="s">
        <v>1007</v>
      </c>
      <c r="R247" s="55">
        <v>43350369</v>
      </c>
      <c r="S247" s="53">
        <f>IF(ISNUMBER(M247), EDATE(M247,36)-1, "")</f>
        <v>25569.375</v>
      </c>
      <c r="T247" s="50"/>
      <c r="U247" s="50"/>
      <c r="V247" s="48" t="s">
        <v>475</v>
      </c>
      <c r="W247" s="56"/>
      <c r="X247" s="56"/>
      <c r="Y247" s="56"/>
      <c r="Z247" s="56"/>
      <c r="AA247" s="56"/>
      <c r="AB247" s="56"/>
    </row>
    <row x14ac:dyDescent="0.25" r="248" customHeight="1" ht="18.75">
      <c r="A248" s="56"/>
      <c r="B248" s="56"/>
      <c r="C248" s="50" t="s">
        <v>16</v>
      </c>
      <c r="D248" s="50"/>
      <c r="E248" s="50"/>
      <c r="F248" s="50" t="s">
        <v>992</v>
      </c>
      <c r="G248" s="55">
        <v>10000000</v>
      </c>
      <c r="H248" s="55"/>
      <c r="I248" s="55"/>
      <c r="J248" s="51">
        <v>800000</v>
      </c>
      <c r="K248" s="51"/>
      <c r="L248" s="52">
        <v>46093</v>
      </c>
      <c r="M248" s="53">
        <v>46034</v>
      </c>
      <c r="N248" s="50" t="s">
        <v>282</v>
      </c>
      <c r="O248" s="50" t="s">
        <v>993</v>
      </c>
      <c r="P248" s="50" t="s">
        <v>992</v>
      </c>
      <c r="Q248" s="55" t="s">
        <v>994</v>
      </c>
      <c r="R248" s="55" t="s">
        <v>995</v>
      </c>
      <c r="S248" s="53">
        <v>47129</v>
      </c>
      <c r="T248" s="50"/>
      <c r="U248" s="50" t="s">
        <v>166</v>
      </c>
      <c r="V248" s="56"/>
      <c r="W248" s="56"/>
      <c r="X248" s="56"/>
      <c r="Y248" s="56"/>
      <c r="Z248" s="56"/>
      <c r="AA248" s="56"/>
      <c r="AB248" s="56"/>
    </row>
    <row x14ac:dyDescent="0.25" r="249" customHeight="1" ht="18.75">
      <c r="A249" s="71"/>
      <c r="B249" s="71"/>
      <c r="C249" s="72" t="s">
        <v>16</v>
      </c>
      <c r="D249" s="72"/>
      <c r="E249" s="72"/>
      <c r="F249" s="72" t="s">
        <v>1063</v>
      </c>
      <c r="G249" s="73"/>
      <c r="H249" s="73"/>
      <c r="I249" s="73"/>
      <c r="J249" s="74"/>
      <c r="K249" s="74"/>
      <c r="L249" s="75">
        <v>46184</v>
      </c>
      <c r="M249" s="76">
        <v>46123</v>
      </c>
      <c r="N249" s="72" t="s">
        <v>168</v>
      </c>
      <c r="O249" s="72" t="s">
        <v>471</v>
      </c>
      <c r="P249" s="72" t="s">
        <v>1063</v>
      </c>
      <c r="Q249" s="73" t="s">
        <v>1064</v>
      </c>
      <c r="R249" s="73" t="s">
        <v>1065</v>
      </c>
      <c r="S249" s="76">
        <v>47218</v>
      </c>
      <c r="T249" s="72" t="s">
        <v>1066</v>
      </c>
      <c r="U249" s="72"/>
      <c r="V249" s="71" t="s">
        <v>3270</v>
      </c>
      <c r="W249" s="56"/>
      <c r="X249" s="56"/>
      <c r="Y249" s="56"/>
      <c r="Z249" s="56"/>
      <c r="AA249" s="56"/>
      <c r="AB249" s="56"/>
    </row>
    <row x14ac:dyDescent="0.25" r="250" customHeight="1" ht="18.75">
      <c r="A250" s="48" t="s">
        <v>275</v>
      </c>
      <c r="B250" s="62"/>
      <c r="C250" s="49" t="s">
        <v>16</v>
      </c>
      <c r="D250" s="50"/>
      <c r="E250" s="50"/>
      <c r="F250" s="50" t="s">
        <v>1063</v>
      </c>
      <c r="G250" s="51">
        <v>10000000</v>
      </c>
      <c r="H250" s="51"/>
      <c r="I250" s="51"/>
      <c r="J250" s="87">
        <f>IF(G250&gt;0,_xludf.IFS(G250=10000000,800000,G250=20000000,1528000,G250=30000000,2028000,G250=60000000,4056000),"")</f>
      </c>
      <c r="K250" s="51"/>
      <c r="L250" s="52">
        <v>46184</v>
      </c>
      <c r="M250" s="53">
        <f>IF(L250&gt;0,EDATE(L250,-2),"")</f>
        <v>25569.375</v>
      </c>
      <c r="N250" s="50" t="s">
        <v>168</v>
      </c>
      <c r="O250" s="50" t="s">
        <v>471</v>
      </c>
      <c r="P250" s="50" t="s">
        <v>2213</v>
      </c>
      <c r="Q250" s="55" t="s">
        <v>1064</v>
      </c>
      <c r="R250" s="55">
        <v>65102880</v>
      </c>
      <c r="S250" s="53">
        <f>IF(ISNUMBER(M250), EDATE(M250,36)-1, "")</f>
        <v>25569.375</v>
      </c>
      <c r="T250" s="50"/>
      <c r="U250" s="50"/>
      <c r="V250" s="48" t="s">
        <v>894</v>
      </c>
      <c r="W250" s="56"/>
      <c r="X250" s="56"/>
      <c r="Y250" s="56"/>
      <c r="Z250" s="56"/>
      <c r="AA250" s="56"/>
      <c r="AB250" s="56"/>
    </row>
    <row x14ac:dyDescent="0.25" r="251" customHeight="1" ht="18.75">
      <c r="A251" s="56"/>
      <c r="B251" s="56"/>
      <c r="C251" s="50" t="s">
        <v>16</v>
      </c>
      <c r="D251" s="50"/>
      <c r="E251" s="50"/>
      <c r="F251" s="50" t="s">
        <v>1067</v>
      </c>
      <c r="G251" s="55">
        <v>10000000</v>
      </c>
      <c r="H251" s="55"/>
      <c r="I251" s="55"/>
      <c r="J251" s="51">
        <v>500000</v>
      </c>
      <c r="K251" s="51"/>
      <c r="L251" s="52">
        <v>46184</v>
      </c>
      <c r="M251" s="53">
        <v>46123</v>
      </c>
      <c r="N251" s="50" t="s">
        <v>168</v>
      </c>
      <c r="O251" s="50" t="s">
        <v>471</v>
      </c>
      <c r="P251" s="50" t="s">
        <v>1067</v>
      </c>
      <c r="Q251" s="55" t="s">
        <v>1068</v>
      </c>
      <c r="R251" s="55" t="s">
        <v>1069</v>
      </c>
      <c r="S251" s="53">
        <v>47218</v>
      </c>
      <c r="T251" s="50" t="s">
        <v>1070</v>
      </c>
      <c r="U251" s="50"/>
      <c r="V251" s="56"/>
      <c r="W251" s="56"/>
      <c r="X251" s="56"/>
      <c r="Y251" s="56"/>
      <c r="Z251" s="56"/>
      <c r="AA251" s="56"/>
      <c r="AB251" s="56"/>
    </row>
    <row x14ac:dyDescent="0.25" r="252" customHeight="1" ht="18.75">
      <c r="A252" s="48" t="s">
        <v>275</v>
      </c>
      <c r="B252" s="62"/>
      <c r="C252" s="49" t="s">
        <v>16</v>
      </c>
      <c r="D252" s="50"/>
      <c r="E252" s="50"/>
      <c r="F252" s="50" t="s">
        <v>1067</v>
      </c>
      <c r="G252" s="51">
        <v>10000000</v>
      </c>
      <c r="H252" s="51"/>
      <c r="I252" s="51"/>
      <c r="J252" s="87">
        <f>IF(G252&gt;0,_xludf.IFS(G252=10000000,800000,G252=20000000,1528000,G252=30000000,2028000,G252=60000000,4056000),"")</f>
      </c>
      <c r="K252" s="51"/>
      <c r="L252" s="52">
        <v>46184</v>
      </c>
      <c r="M252" s="53">
        <f>IF(L252&gt;0,EDATE(L252,-2),"")</f>
        <v>25569.375</v>
      </c>
      <c r="N252" s="50" t="s">
        <v>168</v>
      </c>
      <c r="O252" s="50" t="s">
        <v>471</v>
      </c>
      <c r="P252" s="50" t="s">
        <v>2213</v>
      </c>
      <c r="Q252" s="55" t="s">
        <v>1068</v>
      </c>
      <c r="R252" s="55">
        <v>51121416</v>
      </c>
      <c r="S252" s="53">
        <f>IF(ISNUMBER(M252), EDATE(M252,36)-1, "")</f>
        <v>25569.375</v>
      </c>
      <c r="T252" s="50"/>
      <c r="U252" s="50"/>
      <c r="V252" s="48" t="s">
        <v>894</v>
      </c>
      <c r="W252" s="56"/>
      <c r="X252" s="56"/>
      <c r="Y252" s="56"/>
      <c r="Z252" s="56"/>
      <c r="AA252" s="56"/>
      <c r="AB252" s="56"/>
    </row>
    <row x14ac:dyDescent="0.25" r="253" customHeight="1" ht="18.75">
      <c r="A253" s="56"/>
      <c r="B253" s="56"/>
      <c r="C253" s="50" t="s">
        <v>16</v>
      </c>
      <c r="D253" s="50"/>
      <c r="E253" s="50"/>
      <c r="F253" s="50" t="s">
        <v>1106</v>
      </c>
      <c r="G253" s="55">
        <v>10000000</v>
      </c>
      <c r="H253" s="55"/>
      <c r="I253" s="55"/>
      <c r="J253" s="51">
        <v>500000</v>
      </c>
      <c r="K253" s="51"/>
      <c r="L253" s="52">
        <v>46184</v>
      </c>
      <c r="M253" s="53">
        <v>46123</v>
      </c>
      <c r="N253" s="50" t="s">
        <v>168</v>
      </c>
      <c r="O253" s="50" t="s">
        <v>471</v>
      </c>
      <c r="P253" s="50" t="s">
        <v>1106</v>
      </c>
      <c r="Q253" s="55" t="s">
        <v>1107</v>
      </c>
      <c r="R253" s="55" t="s">
        <v>1108</v>
      </c>
      <c r="S253" s="53">
        <v>47218</v>
      </c>
      <c r="T253" s="50" t="s">
        <v>1109</v>
      </c>
      <c r="U253" s="50"/>
      <c r="V253" s="56"/>
      <c r="W253" s="56"/>
      <c r="X253" s="56"/>
      <c r="Y253" s="56"/>
      <c r="Z253" s="56"/>
      <c r="AA253" s="56"/>
      <c r="AB253" s="56"/>
    </row>
    <row x14ac:dyDescent="0.25" r="254" customHeight="1" ht="18.75">
      <c r="A254" s="48" t="s">
        <v>275</v>
      </c>
      <c r="B254" s="62"/>
      <c r="C254" s="49" t="s">
        <v>16</v>
      </c>
      <c r="D254" s="50"/>
      <c r="E254" s="50"/>
      <c r="F254" s="50" t="s">
        <v>1106</v>
      </c>
      <c r="G254" s="51">
        <v>10000000</v>
      </c>
      <c r="H254" s="51"/>
      <c r="I254" s="51"/>
      <c r="J254" s="87">
        <f>IF(G254&gt;0,_xludf.IFS(G254=10000000,800000,G254=20000000,1528000,G254=30000000,2028000,G254=60000000,4056000),"")</f>
      </c>
      <c r="K254" s="51"/>
      <c r="L254" s="52">
        <v>46184</v>
      </c>
      <c r="M254" s="53">
        <f>IF(L254&gt;0,EDATE(L254,-2),"")</f>
        <v>25569.375</v>
      </c>
      <c r="N254" s="50" t="s">
        <v>168</v>
      </c>
      <c r="O254" s="50" t="s">
        <v>471</v>
      </c>
      <c r="P254" s="50" t="s">
        <v>2213</v>
      </c>
      <c r="Q254" s="55" t="s">
        <v>1110</v>
      </c>
      <c r="R254" s="55">
        <v>63650889</v>
      </c>
      <c r="S254" s="53">
        <f>IF(ISNUMBER(M254), EDATE(M254,36)-1, "")</f>
        <v>25569.375</v>
      </c>
      <c r="T254" s="50"/>
      <c r="U254" s="50"/>
      <c r="V254" s="48" t="s">
        <v>894</v>
      </c>
      <c r="W254" s="56"/>
      <c r="X254" s="56"/>
      <c r="Y254" s="56"/>
      <c r="Z254" s="56"/>
      <c r="AA254" s="56"/>
      <c r="AB254" s="56"/>
    </row>
    <row x14ac:dyDescent="0.25" r="255" customHeight="1" ht="18.75">
      <c r="A255" s="48" t="s">
        <v>275</v>
      </c>
      <c r="B255" s="62"/>
      <c r="C255" s="49" t="s">
        <v>16</v>
      </c>
      <c r="D255" s="50"/>
      <c r="E255" s="50"/>
      <c r="F255" s="50" t="s">
        <v>59</v>
      </c>
      <c r="G255" s="51">
        <v>10000000</v>
      </c>
      <c r="H255" s="51"/>
      <c r="I255" s="51"/>
      <c r="J255" s="87">
        <f>IF(G255&gt;0,_xludf.IFS(G255=10000000,800000,G255=20000000,1528000,G255=30000000,2028000,G255=60000000,4056000),"")</f>
      </c>
      <c r="K255" s="51"/>
      <c r="L255" s="52">
        <v>46184</v>
      </c>
      <c r="M255" s="53">
        <f>IF(L255&gt;0,EDATE(L255,-2),"")</f>
        <v>25569.375</v>
      </c>
      <c r="N255" s="50" t="s">
        <v>168</v>
      </c>
      <c r="O255" s="50" t="s">
        <v>471</v>
      </c>
      <c r="P255" s="50" t="s">
        <v>2213</v>
      </c>
      <c r="Q255" s="55" t="s">
        <v>1594</v>
      </c>
      <c r="R255" s="55">
        <v>84335153</v>
      </c>
      <c r="S255" s="53">
        <f>IF(ISNUMBER(M255), EDATE(M255,36)-1, "")</f>
        <v>25569.375</v>
      </c>
      <c r="T255" s="50"/>
      <c r="U255" s="50"/>
      <c r="V255" s="48" t="s">
        <v>841</v>
      </c>
      <c r="W255" s="56"/>
      <c r="X255" s="56"/>
      <c r="Y255" s="56"/>
      <c r="Z255" s="56"/>
      <c r="AA255" s="56"/>
      <c r="AB255" s="56"/>
    </row>
    <row x14ac:dyDescent="0.25" r="256" customHeight="1" ht="18.75">
      <c r="A256" s="56"/>
      <c r="B256" s="56"/>
      <c r="C256" s="50" t="s">
        <v>16</v>
      </c>
      <c r="D256" s="50"/>
      <c r="E256" s="50"/>
      <c r="F256" s="50" t="s">
        <v>1611</v>
      </c>
      <c r="G256" s="55">
        <v>10000000</v>
      </c>
      <c r="H256" s="55"/>
      <c r="I256" s="55"/>
      <c r="J256" s="51">
        <v>500000</v>
      </c>
      <c r="K256" s="51"/>
      <c r="L256" s="52">
        <v>46184</v>
      </c>
      <c r="M256" s="53">
        <v>46123</v>
      </c>
      <c r="N256" s="50" t="s">
        <v>168</v>
      </c>
      <c r="O256" s="50" t="s">
        <v>471</v>
      </c>
      <c r="P256" s="50" t="s">
        <v>1611</v>
      </c>
      <c r="Q256" s="55" t="s">
        <v>1612</v>
      </c>
      <c r="R256" s="55" t="s">
        <v>1613</v>
      </c>
      <c r="S256" s="53">
        <v>47218</v>
      </c>
      <c r="T256" s="50" t="s">
        <v>1066</v>
      </c>
      <c r="U256" s="50"/>
      <c r="V256" s="56"/>
      <c r="W256" s="56"/>
      <c r="X256" s="56"/>
      <c r="Y256" s="56"/>
      <c r="Z256" s="56"/>
      <c r="AA256" s="56"/>
      <c r="AB256" s="56"/>
    </row>
    <row x14ac:dyDescent="0.25" r="257" customHeight="1" ht="18.75">
      <c r="A257" s="48" t="s">
        <v>275</v>
      </c>
      <c r="B257" s="62"/>
      <c r="C257" s="49" t="s">
        <v>16</v>
      </c>
      <c r="D257" s="50"/>
      <c r="E257" s="50"/>
      <c r="F257" s="50" t="s">
        <v>1611</v>
      </c>
      <c r="G257" s="51">
        <v>10000000</v>
      </c>
      <c r="H257" s="51"/>
      <c r="I257" s="51"/>
      <c r="J257" s="87">
        <f>IF(G257&gt;0,_xludf.IFS(G257=10000000,800000,G257=20000000,1528000,G257=30000000,2028000,G257=60000000,4056000),"")</f>
      </c>
      <c r="K257" s="51"/>
      <c r="L257" s="52">
        <v>46184</v>
      </c>
      <c r="M257" s="53">
        <f>IF(L257&gt;0,EDATE(L257,-2),"")</f>
        <v>25569.375</v>
      </c>
      <c r="N257" s="50" t="s">
        <v>168</v>
      </c>
      <c r="O257" s="50" t="s">
        <v>471</v>
      </c>
      <c r="P257" s="50" t="s">
        <v>2213</v>
      </c>
      <c r="Q257" s="55" t="s">
        <v>1612</v>
      </c>
      <c r="R257" s="55">
        <v>80655448</v>
      </c>
      <c r="S257" s="53">
        <f>IF(ISNUMBER(M257), EDATE(M257,36)-1, "")</f>
        <v>25569.375</v>
      </c>
      <c r="T257" s="50"/>
      <c r="U257" s="50"/>
      <c r="V257" s="48" t="s">
        <v>894</v>
      </c>
      <c r="W257" s="56"/>
      <c r="X257" s="56"/>
      <c r="Y257" s="56"/>
      <c r="Z257" s="56"/>
      <c r="AA257" s="56"/>
      <c r="AB257" s="56"/>
    </row>
    <row x14ac:dyDescent="0.25" r="258" customHeight="1" ht="18.75">
      <c r="A258" s="56"/>
      <c r="B258" s="56"/>
      <c r="C258" s="50" t="s">
        <v>16</v>
      </c>
      <c r="D258" s="50"/>
      <c r="E258" s="50"/>
      <c r="F258" s="50" t="s">
        <v>1022</v>
      </c>
      <c r="G258" s="55">
        <v>60000000</v>
      </c>
      <c r="H258" s="55"/>
      <c r="I258" s="55"/>
      <c r="J258" s="51">
        <v>4800000</v>
      </c>
      <c r="K258" s="51"/>
      <c r="L258" s="52">
        <v>45931</v>
      </c>
      <c r="M258" s="53">
        <v>45848</v>
      </c>
      <c r="N258" s="50" t="s">
        <v>168</v>
      </c>
      <c r="O258" s="50" t="s">
        <v>1023</v>
      </c>
      <c r="P258" s="50" t="s">
        <v>1022</v>
      </c>
      <c r="Q258" s="55" t="s">
        <v>1024</v>
      </c>
      <c r="R258" s="55" t="s">
        <v>1025</v>
      </c>
      <c r="S258" s="53">
        <v>46943</v>
      </c>
      <c r="T258" s="50"/>
      <c r="U258" s="50"/>
      <c r="V258" s="56"/>
      <c r="W258" s="56"/>
      <c r="X258" s="56"/>
      <c r="Y258" s="56"/>
      <c r="Z258" s="56"/>
      <c r="AA258" s="56"/>
      <c r="AB258" s="56"/>
    </row>
    <row x14ac:dyDescent="0.25" r="259" customHeight="1" ht="18.75">
      <c r="A259" s="56"/>
      <c r="B259" s="56"/>
      <c r="C259" s="50" t="s">
        <v>16</v>
      </c>
      <c r="D259" s="50"/>
      <c r="E259" s="50" t="s">
        <v>18</v>
      </c>
      <c r="F259" s="50" t="s">
        <v>1022</v>
      </c>
      <c r="G259" s="55">
        <v>10000000</v>
      </c>
      <c r="H259" s="55"/>
      <c r="I259" s="55"/>
      <c r="J259" s="51">
        <v>800000</v>
      </c>
      <c r="K259" s="51"/>
      <c r="L259" s="52">
        <v>46116</v>
      </c>
      <c r="M259" s="53">
        <v>46057</v>
      </c>
      <c r="N259" s="50" t="s">
        <v>155</v>
      </c>
      <c r="O259" s="50" t="s">
        <v>1026</v>
      </c>
      <c r="P259" s="50" t="s">
        <v>1022</v>
      </c>
      <c r="Q259" s="55" t="s">
        <v>1027</v>
      </c>
      <c r="R259" s="55" t="s">
        <v>1028</v>
      </c>
      <c r="S259" s="53">
        <v>47152</v>
      </c>
      <c r="T259" s="50" t="s">
        <v>1029</v>
      </c>
      <c r="U259" s="50"/>
      <c r="V259" s="56"/>
      <c r="W259" s="56"/>
      <c r="X259" s="56"/>
      <c r="Y259" s="56"/>
      <c r="Z259" s="56"/>
      <c r="AA259" s="56"/>
      <c r="AB259" s="56"/>
    </row>
    <row x14ac:dyDescent="0.25" r="260" customHeight="1" ht="18.75">
      <c r="A260" s="56"/>
      <c r="B260" s="56"/>
      <c r="C260" s="50" t="s">
        <v>16</v>
      </c>
      <c r="D260" s="50" t="s">
        <v>153</v>
      </c>
      <c r="E260" s="50"/>
      <c r="F260" s="50" t="s">
        <v>1720</v>
      </c>
      <c r="G260" s="55">
        <v>10000000</v>
      </c>
      <c r="H260" s="55"/>
      <c r="I260" s="55"/>
      <c r="J260" s="51">
        <v>800000</v>
      </c>
      <c r="K260" s="51"/>
      <c r="L260" s="52">
        <v>46184</v>
      </c>
      <c r="M260" s="53">
        <v>46123</v>
      </c>
      <c r="N260" s="50" t="s">
        <v>161</v>
      </c>
      <c r="O260" s="50" t="s">
        <v>1721</v>
      </c>
      <c r="P260" s="50" t="s">
        <v>1720</v>
      </c>
      <c r="Q260" s="55" t="s">
        <v>1722</v>
      </c>
      <c r="R260" s="55" t="s">
        <v>1723</v>
      </c>
      <c r="S260" s="53">
        <v>47218</v>
      </c>
      <c r="T260" s="50" t="s">
        <v>1724</v>
      </c>
      <c r="U260" s="50" t="s">
        <v>166</v>
      </c>
      <c r="V260" s="56"/>
      <c r="W260" s="56"/>
      <c r="X260" s="56"/>
      <c r="Y260" s="56"/>
      <c r="Z260" s="56"/>
      <c r="AA260" s="56"/>
      <c r="AB260" s="56"/>
    </row>
    <row x14ac:dyDescent="0.25" r="261" customHeight="1" ht="18.75">
      <c r="A261" s="71"/>
      <c r="B261" s="71"/>
      <c r="C261" s="72" t="s">
        <v>16</v>
      </c>
      <c r="D261" s="72"/>
      <c r="E261" s="72"/>
      <c r="F261" s="72" t="s">
        <v>1032</v>
      </c>
      <c r="G261" s="73">
        <v>10000000</v>
      </c>
      <c r="H261" s="73"/>
      <c r="I261" s="73"/>
      <c r="J261" s="74"/>
      <c r="K261" s="74"/>
      <c r="L261" s="75">
        <v>46159</v>
      </c>
      <c r="M261" s="76">
        <v>46098</v>
      </c>
      <c r="N261" s="72" t="s">
        <v>239</v>
      </c>
      <c r="O261" s="72" t="s">
        <v>1033</v>
      </c>
      <c r="P261" s="72" t="s">
        <v>1032</v>
      </c>
      <c r="Q261" s="73" t="s">
        <v>1034</v>
      </c>
      <c r="R261" s="73" t="s">
        <v>1035</v>
      </c>
      <c r="S261" s="76">
        <v>47193</v>
      </c>
      <c r="T261" s="72" t="s">
        <v>1036</v>
      </c>
      <c r="U261" s="72" t="s">
        <v>179</v>
      </c>
      <c r="V261" s="71" t="s">
        <v>1037</v>
      </c>
      <c r="W261" s="56"/>
      <c r="X261" s="56"/>
      <c r="Y261" s="56"/>
      <c r="Z261" s="56"/>
      <c r="AA261" s="56"/>
      <c r="AB261" s="56"/>
    </row>
    <row x14ac:dyDescent="0.25" r="262" customHeight="1" ht="18.75">
      <c r="A262" s="56"/>
      <c r="B262" s="56"/>
      <c r="C262" s="50" t="s">
        <v>972</v>
      </c>
      <c r="D262" s="50"/>
      <c r="E262" s="50"/>
      <c r="F262" s="50" t="s">
        <v>1038</v>
      </c>
      <c r="G262" s="55">
        <v>60000000</v>
      </c>
      <c r="H262" s="55"/>
      <c r="I262" s="55"/>
      <c r="J262" s="51">
        <v>4800000</v>
      </c>
      <c r="K262" s="51"/>
      <c r="L262" s="52">
        <v>45802</v>
      </c>
      <c r="M262" s="53">
        <v>45741</v>
      </c>
      <c r="N262" s="50" t="s">
        <v>282</v>
      </c>
      <c r="O262" s="50" t="s">
        <v>1039</v>
      </c>
      <c r="P262" s="50" t="s">
        <v>1038</v>
      </c>
      <c r="Q262" s="55" t="s">
        <v>1040</v>
      </c>
      <c r="R262" s="55" t="s">
        <v>1041</v>
      </c>
      <c r="S262" s="53">
        <v>46836</v>
      </c>
      <c r="T262" s="50"/>
      <c r="U262" s="50"/>
      <c r="V262" s="56"/>
      <c r="W262" s="56"/>
      <c r="X262" s="56"/>
      <c r="Y262" s="56"/>
      <c r="Z262" s="56"/>
      <c r="AA262" s="56"/>
      <c r="AB262" s="56"/>
    </row>
    <row x14ac:dyDescent="0.25" r="263" customHeight="1" ht="18.75">
      <c r="A263" s="56"/>
      <c r="B263" s="56"/>
      <c r="C263" s="50" t="s">
        <v>16</v>
      </c>
      <c r="D263" s="50"/>
      <c r="E263" s="50"/>
      <c r="F263" s="50" t="s">
        <v>1042</v>
      </c>
      <c r="G263" s="51">
        <v>40000000</v>
      </c>
      <c r="H263" s="51"/>
      <c r="I263" s="51"/>
      <c r="J263" s="51">
        <v>2528000</v>
      </c>
      <c r="K263" s="51"/>
      <c r="L263" s="52">
        <v>46104</v>
      </c>
      <c r="M263" s="53">
        <f>IF(L263&gt;0,EDATE(L263,-2),"")</f>
        <v>25569.375</v>
      </c>
      <c r="N263" s="50" t="s">
        <v>217</v>
      </c>
      <c r="O263" s="50" t="s">
        <v>1043</v>
      </c>
      <c r="P263" s="50" t="s">
        <v>1042</v>
      </c>
      <c r="Q263" s="55">
        <v>6708152348056</v>
      </c>
      <c r="R263" s="55">
        <v>91487281</v>
      </c>
      <c r="S263" s="53">
        <f>IF(ISNUMBER(M263), EDATE(M263,36)-1, "")</f>
        <v>25569.375</v>
      </c>
      <c r="T263" s="50"/>
      <c r="U263" s="50"/>
      <c r="V263" s="48" t="s">
        <v>546</v>
      </c>
      <c r="W263" s="56"/>
      <c r="X263" s="56"/>
      <c r="Y263" s="56"/>
      <c r="Z263" s="56"/>
      <c r="AA263" s="56"/>
      <c r="AB263" s="56"/>
    </row>
    <row x14ac:dyDescent="0.25" r="264" customHeight="1" ht="18.75">
      <c r="A264" s="56"/>
      <c r="B264" s="56"/>
      <c r="C264" s="50" t="s">
        <v>16</v>
      </c>
      <c r="D264" s="50"/>
      <c r="E264" s="50" t="s">
        <v>1044</v>
      </c>
      <c r="F264" s="50" t="s">
        <v>1045</v>
      </c>
      <c r="G264" s="55">
        <v>10000000</v>
      </c>
      <c r="H264" s="55"/>
      <c r="I264" s="55"/>
      <c r="J264" s="51">
        <v>500000</v>
      </c>
      <c r="K264" s="51"/>
      <c r="L264" s="52">
        <v>46147</v>
      </c>
      <c r="M264" s="53">
        <v>46086</v>
      </c>
      <c r="N264" s="50" t="s">
        <v>161</v>
      </c>
      <c r="O264" s="50" t="s">
        <v>1046</v>
      </c>
      <c r="P264" s="50" t="s">
        <v>1045</v>
      </c>
      <c r="Q264" s="55" t="s">
        <v>1047</v>
      </c>
      <c r="R264" s="55" t="s">
        <v>1048</v>
      </c>
      <c r="S264" s="53">
        <v>47181</v>
      </c>
      <c r="T264" s="50" t="s">
        <v>1049</v>
      </c>
      <c r="U264" s="50" t="s">
        <v>166</v>
      </c>
      <c r="V264" s="56"/>
      <c r="W264" s="56"/>
      <c r="X264" s="56"/>
      <c r="Y264" s="56"/>
      <c r="Z264" s="56"/>
      <c r="AA264" s="56"/>
      <c r="AB264" s="56"/>
    </row>
    <row x14ac:dyDescent="0.25" r="265" customHeight="1" ht="18.75">
      <c r="A265" s="56"/>
      <c r="B265" s="56"/>
      <c r="C265" s="50" t="s">
        <v>16</v>
      </c>
      <c r="D265" s="50"/>
      <c r="E265" s="50"/>
      <c r="F265" s="50" t="s">
        <v>1050</v>
      </c>
      <c r="G265" s="55">
        <v>10000000</v>
      </c>
      <c r="H265" s="55"/>
      <c r="I265" s="55"/>
      <c r="J265" s="51">
        <v>800000</v>
      </c>
      <c r="K265" s="51"/>
      <c r="L265" s="52">
        <v>46018</v>
      </c>
      <c r="M265" s="53">
        <v>45957</v>
      </c>
      <c r="N265" s="50" t="s">
        <v>155</v>
      </c>
      <c r="O265" s="50" t="s">
        <v>1051</v>
      </c>
      <c r="P265" s="50" t="s">
        <v>1050</v>
      </c>
      <c r="Q265" s="55" t="s">
        <v>1052</v>
      </c>
      <c r="R265" s="55" t="s">
        <v>1053</v>
      </c>
      <c r="S265" s="53">
        <v>47052</v>
      </c>
      <c r="T265" s="50"/>
      <c r="U265" s="50" t="s">
        <v>293</v>
      </c>
      <c r="V265" s="56"/>
      <c r="W265" s="56"/>
      <c r="X265" s="56"/>
      <c r="Y265" s="56"/>
      <c r="Z265" s="56"/>
      <c r="AA265" s="56"/>
      <c r="AB265" s="56"/>
    </row>
    <row x14ac:dyDescent="0.25" r="266" customHeight="1" ht="18.75">
      <c r="A266" s="63" t="s">
        <v>252</v>
      </c>
      <c r="B266" s="63"/>
      <c r="C266" s="49" t="s">
        <v>16</v>
      </c>
      <c r="D266" s="49"/>
      <c r="E266" s="49"/>
      <c r="F266" s="49" t="s">
        <v>1720</v>
      </c>
      <c r="G266" s="64">
        <v>10000000</v>
      </c>
      <c r="H266" s="64"/>
      <c r="I266" s="64"/>
      <c r="J266" s="65">
        <f>IF(G266&gt;0,_xludf.IFS(G266=10000000,800000,G266=20000000,1528000,G266=30000000,2028000,G266=60000000,4056000),"")</f>
      </c>
      <c r="K266" s="64"/>
      <c r="L266" s="66">
        <v>46184</v>
      </c>
      <c r="M266" s="67">
        <f>IF(L266&gt;0,EDATE(L266,-2),"")</f>
        <v>25569.375</v>
      </c>
      <c r="N266" s="49" t="s">
        <v>155</v>
      </c>
      <c r="O266" s="49" t="s">
        <v>1721</v>
      </c>
      <c r="P266" s="68">
        <f>IF(F266&gt;0,F266,"")</f>
      </c>
      <c r="Q266" s="69" t="s">
        <v>1722</v>
      </c>
      <c r="R266" s="69">
        <v>66891123</v>
      </c>
      <c r="S266" s="53">
        <f>IF(M266&gt;0,EDATE(M266,36)-1,"")</f>
        <v>25569.375</v>
      </c>
      <c r="T266" s="49"/>
      <c r="U266" s="49"/>
      <c r="V266" s="63" t="s">
        <v>1725</v>
      </c>
      <c r="W266" s="56"/>
      <c r="X266" s="56"/>
      <c r="Y266" s="56"/>
      <c r="Z266" s="56"/>
      <c r="AA266" s="56"/>
      <c r="AB266" s="56"/>
    </row>
    <row x14ac:dyDescent="0.25" r="267" customHeight="1" ht="18.75">
      <c r="A267" s="48" t="s">
        <v>152</v>
      </c>
      <c r="B267" s="48"/>
      <c r="C267" s="49" t="s">
        <v>16</v>
      </c>
      <c r="D267" s="50" t="s">
        <v>116</v>
      </c>
      <c r="E267" s="50" t="s">
        <v>117</v>
      </c>
      <c r="F267" s="50" t="s">
        <v>1050</v>
      </c>
      <c r="G267" s="51">
        <v>30000000</v>
      </c>
      <c r="H267" s="51"/>
      <c r="I267" s="51"/>
      <c r="J267" s="87">
        <f>IF(G267&gt;0,_xludf.IFS(G267=10000000,800000,G267=20000000,1528000,G267=30000000,2028000,G267=60000000,4056000),"")</f>
      </c>
      <c r="K267" s="51"/>
      <c r="L267" s="52">
        <v>46115</v>
      </c>
      <c r="M267" s="53">
        <f>IF(L267&gt;0,EDATE(L267,-2),"")</f>
        <v>25569.375</v>
      </c>
      <c r="N267" s="50" t="s">
        <v>155</v>
      </c>
      <c r="O267" s="50" t="s">
        <v>1055</v>
      </c>
      <c r="P267" s="54">
        <f>IF(F267&gt;0,F267,"")</f>
      </c>
      <c r="Q267" s="55" t="s">
        <v>1056</v>
      </c>
      <c r="R267" s="55">
        <v>45703237</v>
      </c>
      <c r="S267" s="53">
        <f>IF(ISNUMBER(M267), EDATE(M267,36)-1, "")</f>
        <v>25569.375</v>
      </c>
      <c r="T267" s="50"/>
      <c r="U267" s="50"/>
      <c r="V267" s="48" t="s">
        <v>1057</v>
      </c>
      <c r="W267" s="56"/>
      <c r="X267" s="56"/>
      <c r="Y267" s="56"/>
      <c r="Z267" s="56"/>
      <c r="AA267" s="56"/>
      <c r="AB267" s="56"/>
    </row>
    <row x14ac:dyDescent="0.25" r="268" customHeight="1" ht="18.75">
      <c r="A268" s="56"/>
      <c r="B268" s="56"/>
      <c r="C268" s="50" t="s">
        <v>16</v>
      </c>
      <c r="D268" s="50" t="s">
        <v>816</v>
      </c>
      <c r="E268" s="50"/>
      <c r="F268" s="50" t="s">
        <v>1058</v>
      </c>
      <c r="G268" s="55">
        <v>20000000</v>
      </c>
      <c r="H268" s="55"/>
      <c r="I268" s="55"/>
      <c r="J268" s="51">
        <v>1528000</v>
      </c>
      <c r="K268" s="51"/>
      <c r="L268" s="52">
        <v>46156</v>
      </c>
      <c r="M268" s="53">
        <v>46095</v>
      </c>
      <c r="N268" s="50" t="s">
        <v>161</v>
      </c>
      <c r="O268" s="50" t="s">
        <v>1059</v>
      </c>
      <c r="P268" s="50" t="s">
        <v>1058</v>
      </c>
      <c r="Q268" s="55" t="s">
        <v>1060</v>
      </c>
      <c r="R268" s="55" t="s">
        <v>1061</v>
      </c>
      <c r="S268" s="53">
        <v>47190</v>
      </c>
      <c r="T268" s="50" t="s">
        <v>1062</v>
      </c>
      <c r="U268" s="50" t="s">
        <v>166</v>
      </c>
      <c r="V268" s="56"/>
      <c r="W268" s="56"/>
      <c r="X268" s="56"/>
      <c r="Y268" s="56"/>
      <c r="Z268" s="56"/>
      <c r="AA268" s="56"/>
      <c r="AB268" s="56"/>
    </row>
    <row x14ac:dyDescent="0.25" r="269" customHeight="1" ht="18.75">
      <c r="A269" s="56"/>
      <c r="B269" s="56"/>
      <c r="C269" s="50" t="s">
        <v>16</v>
      </c>
      <c r="D269" s="50"/>
      <c r="E269" s="50"/>
      <c r="F269" s="50" t="s">
        <v>1901</v>
      </c>
      <c r="G269" s="55">
        <v>10000000</v>
      </c>
      <c r="H269" s="55"/>
      <c r="I269" s="55"/>
      <c r="J269" s="51">
        <v>500000</v>
      </c>
      <c r="K269" s="51"/>
      <c r="L269" s="52">
        <v>46184</v>
      </c>
      <c r="M269" s="53">
        <v>46123</v>
      </c>
      <c r="N269" s="50" t="s">
        <v>168</v>
      </c>
      <c r="O269" s="50" t="s">
        <v>471</v>
      </c>
      <c r="P269" s="50" t="s">
        <v>1901</v>
      </c>
      <c r="Q269" s="55" t="s">
        <v>1902</v>
      </c>
      <c r="R269" s="55" t="s">
        <v>1903</v>
      </c>
      <c r="S269" s="53">
        <v>47218</v>
      </c>
      <c r="T269" s="50" t="s">
        <v>1904</v>
      </c>
      <c r="U269" s="50"/>
      <c r="V269" s="56"/>
      <c r="W269" s="56"/>
      <c r="X269" s="56"/>
      <c r="Y269" s="56"/>
      <c r="Z269" s="56"/>
      <c r="AA269" s="56"/>
      <c r="AB269" s="56"/>
    </row>
    <row x14ac:dyDescent="0.25" r="270" customHeight="1" ht="18.75">
      <c r="A270" s="48" t="s">
        <v>275</v>
      </c>
      <c r="B270" s="62"/>
      <c r="C270" s="49" t="s">
        <v>16</v>
      </c>
      <c r="D270" s="50"/>
      <c r="E270" s="50"/>
      <c r="F270" s="50" t="s">
        <v>1901</v>
      </c>
      <c r="G270" s="51">
        <v>10000000</v>
      </c>
      <c r="H270" s="51"/>
      <c r="I270" s="51"/>
      <c r="J270" s="87">
        <f>IF(G270&gt;0,_xludf.IFS(G270=10000000,800000,G270=20000000,1528000,G270=30000000,2028000,G270=60000000,4056000),"")</f>
      </c>
      <c r="K270" s="51"/>
      <c r="L270" s="52">
        <v>46184</v>
      </c>
      <c r="M270" s="53">
        <f>IF(L270&gt;0,EDATE(L270,-2),"")</f>
        <v>25569.375</v>
      </c>
      <c r="N270" s="50" t="s">
        <v>168</v>
      </c>
      <c r="O270" s="50" t="s">
        <v>471</v>
      </c>
      <c r="P270" s="50" t="s">
        <v>2213</v>
      </c>
      <c r="Q270" s="55" t="s">
        <v>1902</v>
      </c>
      <c r="R270" s="55">
        <v>44432021</v>
      </c>
      <c r="S270" s="53">
        <f>IF(ISNUMBER(M270), EDATE(M270,36)-1, "")</f>
        <v>25569.375</v>
      </c>
      <c r="T270" s="50"/>
      <c r="U270" s="50"/>
      <c r="V270" s="48" t="s">
        <v>841</v>
      </c>
      <c r="W270" s="56"/>
      <c r="X270" s="56"/>
      <c r="Y270" s="56"/>
      <c r="Z270" s="56"/>
      <c r="AA270" s="56"/>
      <c r="AB270" s="56"/>
    </row>
    <row x14ac:dyDescent="0.25" r="271" customHeight="1" ht="18.75">
      <c r="A271" s="71"/>
      <c r="B271" s="71"/>
      <c r="C271" s="72" t="s">
        <v>16</v>
      </c>
      <c r="D271" s="72"/>
      <c r="E271" s="72"/>
      <c r="F271" s="72" t="s">
        <v>2416</v>
      </c>
      <c r="G271" s="73"/>
      <c r="H271" s="73"/>
      <c r="I271" s="73"/>
      <c r="J271" s="74"/>
      <c r="K271" s="74"/>
      <c r="L271" s="75">
        <v>46184</v>
      </c>
      <c r="M271" s="76">
        <v>46123</v>
      </c>
      <c r="N271" s="72" t="s">
        <v>168</v>
      </c>
      <c r="O271" s="72" t="s">
        <v>471</v>
      </c>
      <c r="P271" s="72" t="s">
        <v>2416</v>
      </c>
      <c r="Q271" s="73" t="s">
        <v>2417</v>
      </c>
      <c r="R271" s="73" t="s">
        <v>2418</v>
      </c>
      <c r="S271" s="76">
        <v>47218</v>
      </c>
      <c r="T271" s="72" t="s">
        <v>1070</v>
      </c>
      <c r="U271" s="72" t="s">
        <v>166</v>
      </c>
      <c r="V271" s="71" t="s">
        <v>3270</v>
      </c>
      <c r="W271" s="56"/>
      <c r="X271" s="56"/>
      <c r="Y271" s="56"/>
      <c r="Z271" s="56"/>
      <c r="AA271" s="56"/>
      <c r="AB271" s="56"/>
    </row>
    <row x14ac:dyDescent="0.25" r="272" customHeight="1" ht="18.75">
      <c r="A272" s="48" t="s">
        <v>275</v>
      </c>
      <c r="B272" s="48"/>
      <c r="C272" s="49" t="s">
        <v>16</v>
      </c>
      <c r="D272" s="50"/>
      <c r="E272" s="50"/>
      <c r="F272" s="50" t="s">
        <v>2416</v>
      </c>
      <c r="G272" s="51">
        <v>10000000</v>
      </c>
      <c r="H272" s="51"/>
      <c r="I272" s="51"/>
      <c r="J272" s="87">
        <f>IF(G272&gt;0,_xludf.IFS(G272=10000000,800000,G272=20000000,1528000,G272=30000000,2028000,G272=60000000,4056000),"")</f>
      </c>
      <c r="K272" s="51"/>
      <c r="L272" s="52">
        <v>46184</v>
      </c>
      <c r="M272" s="53">
        <f>IF(L272&gt;0,EDATE(L272,-2),"")</f>
        <v>25569.375</v>
      </c>
      <c r="N272" s="50" t="s">
        <v>168</v>
      </c>
      <c r="O272" s="50" t="s">
        <v>471</v>
      </c>
      <c r="P272" s="50" t="s">
        <v>2213</v>
      </c>
      <c r="Q272" s="55" t="s">
        <v>2417</v>
      </c>
      <c r="R272" s="55">
        <v>73184544</v>
      </c>
      <c r="S272" s="53">
        <f>IF(ISNUMBER(M272), EDATE(M272,36)-1, "")</f>
        <v>25569.375</v>
      </c>
      <c r="T272" s="50"/>
      <c r="U272" s="50"/>
      <c r="V272" s="48" t="s">
        <v>475</v>
      </c>
      <c r="W272" s="56"/>
      <c r="X272" s="56"/>
      <c r="Y272" s="56"/>
      <c r="Z272" s="56"/>
      <c r="AA272" s="56"/>
      <c r="AB272" s="56"/>
    </row>
    <row x14ac:dyDescent="0.25" r="273" customHeight="1" ht="18.75">
      <c r="A273" s="56"/>
      <c r="B273" s="56"/>
      <c r="C273" s="50" t="s">
        <v>16</v>
      </c>
      <c r="D273" s="50"/>
      <c r="E273" s="50"/>
      <c r="F273" s="50" t="s">
        <v>1071</v>
      </c>
      <c r="G273" s="55">
        <v>20000000</v>
      </c>
      <c r="H273" s="55"/>
      <c r="I273" s="55"/>
      <c r="J273" s="51">
        <v>1528000</v>
      </c>
      <c r="K273" s="51"/>
      <c r="L273" s="52">
        <v>45993</v>
      </c>
      <c r="M273" s="53">
        <v>45932</v>
      </c>
      <c r="N273" s="50" t="s">
        <v>155</v>
      </c>
      <c r="O273" s="50" t="s">
        <v>1072</v>
      </c>
      <c r="P273" s="50" t="s">
        <v>1071</v>
      </c>
      <c r="Q273" s="55" t="s">
        <v>1073</v>
      </c>
      <c r="R273" s="55" t="s">
        <v>1074</v>
      </c>
      <c r="S273" s="53">
        <v>47027</v>
      </c>
      <c r="T273" s="50"/>
      <c r="U273" s="50"/>
      <c r="V273" s="56"/>
      <c r="W273" s="56"/>
      <c r="X273" s="56"/>
      <c r="Y273" s="56"/>
      <c r="Z273" s="56"/>
      <c r="AA273" s="56"/>
      <c r="AB273" s="56"/>
    </row>
    <row x14ac:dyDescent="0.25" r="274" customHeight="1" ht="18.75">
      <c r="A274" s="56"/>
      <c r="B274" s="56"/>
      <c r="C274" s="50" t="s">
        <v>16</v>
      </c>
      <c r="D274" s="50"/>
      <c r="E274" s="50"/>
      <c r="F274" s="50" t="s">
        <v>1075</v>
      </c>
      <c r="G274" s="55">
        <v>10000000</v>
      </c>
      <c r="H274" s="55"/>
      <c r="I274" s="55"/>
      <c r="J274" s="51">
        <v>800000</v>
      </c>
      <c r="K274" s="51"/>
      <c r="L274" s="52">
        <v>46155</v>
      </c>
      <c r="M274" s="53">
        <v>46094</v>
      </c>
      <c r="N274" s="50" t="s">
        <v>168</v>
      </c>
      <c r="O274" s="50" t="s">
        <v>1076</v>
      </c>
      <c r="P274" s="50" t="s">
        <v>1075</v>
      </c>
      <c r="Q274" s="55" t="s">
        <v>1077</v>
      </c>
      <c r="R274" s="55" t="s">
        <v>1078</v>
      </c>
      <c r="S274" s="53">
        <v>47189</v>
      </c>
      <c r="T274" s="50" t="s">
        <v>1079</v>
      </c>
      <c r="U274" s="50" t="s">
        <v>179</v>
      </c>
      <c r="V274" s="56"/>
      <c r="W274" s="56"/>
      <c r="X274" s="56"/>
      <c r="Y274" s="56"/>
      <c r="Z274" s="56"/>
      <c r="AA274" s="56"/>
      <c r="AB274" s="56"/>
    </row>
    <row x14ac:dyDescent="0.25" r="275" customHeight="1" ht="18.75">
      <c r="A275" s="56"/>
      <c r="B275" s="56"/>
      <c r="C275" s="50" t="s">
        <v>16</v>
      </c>
      <c r="D275" s="50"/>
      <c r="E275" s="50"/>
      <c r="F275" s="50" t="s">
        <v>1080</v>
      </c>
      <c r="G275" s="51">
        <v>10000000</v>
      </c>
      <c r="H275" s="51"/>
      <c r="I275" s="51"/>
      <c r="J275" s="51">
        <v>800000</v>
      </c>
      <c r="K275" s="51"/>
      <c r="L275" s="52">
        <v>46107</v>
      </c>
      <c r="M275" s="53">
        <f>IF(L275&gt;0,EDATE(L275,-2),"")</f>
        <v>25569.375</v>
      </c>
      <c r="N275" s="50" t="s">
        <v>168</v>
      </c>
      <c r="O275" s="50" t="s">
        <v>1081</v>
      </c>
      <c r="P275" s="50" t="s">
        <v>1080</v>
      </c>
      <c r="Q275" s="55">
        <v>6204102663515</v>
      </c>
      <c r="R275" s="55">
        <v>47567064</v>
      </c>
      <c r="S275" s="53">
        <f>IF(ISNUMBER(M275), EDATE(M275,36)-1, "")</f>
        <v>25569.375</v>
      </c>
      <c r="T275" s="50"/>
      <c r="U275" s="50"/>
      <c r="V275" s="48" t="s">
        <v>3271</v>
      </c>
      <c r="W275" s="56"/>
      <c r="X275" s="56"/>
      <c r="Y275" s="56"/>
      <c r="Z275" s="56"/>
      <c r="AA275" s="56"/>
      <c r="AB275" s="56"/>
    </row>
    <row x14ac:dyDescent="0.25" r="276" customHeight="1" ht="18.75">
      <c r="A276" s="56"/>
      <c r="B276" s="56"/>
      <c r="C276" s="50" t="s">
        <v>16</v>
      </c>
      <c r="D276" s="50"/>
      <c r="E276" s="50" t="s">
        <v>1044</v>
      </c>
      <c r="F276" s="50" t="s">
        <v>1083</v>
      </c>
      <c r="G276" s="55">
        <v>10000000</v>
      </c>
      <c r="H276" s="55"/>
      <c r="I276" s="55"/>
      <c r="J276" s="51">
        <v>500000</v>
      </c>
      <c r="K276" s="51"/>
      <c r="L276" s="52">
        <v>46159</v>
      </c>
      <c r="M276" s="53">
        <v>46098</v>
      </c>
      <c r="N276" s="50" t="s">
        <v>212</v>
      </c>
      <c r="O276" s="50" t="s">
        <v>1084</v>
      </c>
      <c r="P276" s="50" t="s">
        <v>1083</v>
      </c>
      <c r="Q276" s="55" t="s">
        <v>1085</v>
      </c>
      <c r="R276" s="55" t="s">
        <v>1086</v>
      </c>
      <c r="S276" s="53">
        <v>47193</v>
      </c>
      <c r="T276" s="50" t="s">
        <v>1087</v>
      </c>
      <c r="U276" s="50" t="s">
        <v>166</v>
      </c>
      <c r="V276" s="56"/>
      <c r="W276" s="56"/>
      <c r="X276" s="56"/>
      <c r="Y276" s="56"/>
      <c r="Z276" s="56"/>
      <c r="AA276" s="56"/>
      <c r="AB276" s="56"/>
    </row>
    <row x14ac:dyDescent="0.25" r="277" customHeight="1" ht="18.75">
      <c r="A277" s="56"/>
      <c r="B277" s="56"/>
      <c r="C277" s="50" t="s">
        <v>16</v>
      </c>
      <c r="D277" s="50"/>
      <c r="E277" s="50"/>
      <c r="F277" s="50" t="s">
        <v>1088</v>
      </c>
      <c r="G277" s="55">
        <v>10000000</v>
      </c>
      <c r="H277" s="55"/>
      <c r="I277" s="55"/>
      <c r="J277" s="51">
        <v>800000</v>
      </c>
      <c r="K277" s="51"/>
      <c r="L277" s="52">
        <v>45910</v>
      </c>
      <c r="M277" s="53">
        <v>45848</v>
      </c>
      <c r="N277" s="50" t="s">
        <v>239</v>
      </c>
      <c r="O277" s="50" t="s">
        <v>1089</v>
      </c>
      <c r="P277" s="50" t="s">
        <v>1088</v>
      </c>
      <c r="Q277" s="55" t="s">
        <v>1090</v>
      </c>
      <c r="R277" s="55" t="s">
        <v>1091</v>
      </c>
      <c r="S277" s="53">
        <v>46943</v>
      </c>
      <c r="T277" s="50"/>
      <c r="U277" s="50"/>
      <c r="V277" s="56"/>
      <c r="W277" s="56"/>
      <c r="X277" s="56"/>
      <c r="Y277" s="56"/>
      <c r="Z277" s="56"/>
      <c r="AA277" s="56"/>
      <c r="AB277" s="56"/>
    </row>
    <row x14ac:dyDescent="0.25" r="278" customHeight="1" ht="18.75">
      <c r="A278" s="56"/>
      <c r="B278" s="56"/>
      <c r="C278" s="50" t="s">
        <v>16</v>
      </c>
      <c r="D278" s="50"/>
      <c r="E278" s="50"/>
      <c r="F278" s="50" t="s">
        <v>1092</v>
      </c>
      <c r="G278" s="55">
        <v>60000000</v>
      </c>
      <c r="H278" s="55"/>
      <c r="I278" s="55"/>
      <c r="J278" s="51">
        <v>4056000</v>
      </c>
      <c r="K278" s="51"/>
      <c r="L278" s="52">
        <v>46152</v>
      </c>
      <c r="M278" s="53">
        <v>46091</v>
      </c>
      <c r="N278" s="50" t="s">
        <v>239</v>
      </c>
      <c r="O278" s="50" t="s">
        <v>1093</v>
      </c>
      <c r="P278" s="50" t="s">
        <v>1092</v>
      </c>
      <c r="Q278" s="55" t="s">
        <v>1094</v>
      </c>
      <c r="R278" s="55" t="s">
        <v>1095</v>
      </c>
      <c r="S278" s="53">
        <v>47186</v>
      </c>
      <c r="T278" s="50" t="s">
        <v>1096</v>
      </c>
      <c r="U278" s="50" t="s">
        <v>166</v>
      </c>
      <c r="V278" s="56"/>
      <c r="W278" s="56"/>
      <c r="X278" s="56"/>
      <c r="Y278" s="56"/>
      <c r="Z278" s="56"/>
      <c r="AA278" s="56"/>
      <c r="AB278" s="56"/>
    </row>
    <row x14ac:dyDescent="0.25" r="279" customHeight="1" ht="18.75">
      <c r="A279" s="63"/>
      <c r="B279" s="63"/>
      <c r="C279" s="49" t="s">
        <v>16</v>
      </c>
      <c r="D279" s="49" t="s">
        <v>116</v>
      </c>
      <c r="E279" s="49" t="s">
        <v>117</v>
      </c>
      <c r="F279" s="49" t="s">
        <v>2549</v>
      </c>
      <c r="G279" s="64">
        <v>10000000</v>
      </c>
      <c r="H279" s="64"/>
      <c r="I279" s="64"/>
      <c r="J279" s="65">
        <f>IF(G279&gt;0,_xludf.IFS(G279=10000000,800000,G279=20000000,1528000,G279=30000000,2028000,G279=60000000,4056000),"")</f>
      </c>
      <c r="K279" s="64"/>
      <c r="L279" s="66">
        <v>46184</v>
      </c>
      <c r="M279" s="67">
        <f>IF(L279&gt;0,EDATE(L279,-2),"")</f>
        <v>25569.375</v>
      </c>
      <c r="N279" s="49" t="s">
        <v>234</v>
      </c>
      <c r="O279" s="49" t="s">
        <v>2550</v>
      </c>
      <c r="P279" s="68">
        <f>IF(F279&gt;0,F279,"")</f>
      </c>
      <c r="Q279" s="69" t="s">
        <v>2551</v>
      </c>
      <c r="R279" s="69">
        <v>31508864</v>
      </c>
      <c r="S279" s="67">
        <f>IF(ISNUMBER(M279), EDATE(M279,36)-1, "")</f>
        <v>25569.375</v>
      </c>
      <c r="T279" s="49"/>
      <c r="U279" s="49"/>
      <c r="V279" s="63"/>
      <c r="W279" s="56"/>
      <c r="X279" s="56"/>
      <c r="Y279" s="56"/>
      <c r="Z279" s="56"/>
      <c r="AA279" s="56"/>
      <c r="AB279" s="56"/>
    </row>
    <row x14ac:dyDescent="0.25" r="280" customHeight="1" ht="18.75">
      <c r="A280" s="56"/>
      <c r="B280" s="56"/>
      <c r="C280" s="50" t="s">
        <v>16</v>
      </c>
      <c r="D280" s="50"/>
      <c r="E280" s="50"/>
      <c r="F280" s="50" t="s">
        <v>2565</v>
      </c>
      <c r="G280" s="55">
        <v>10000000</v>
      </c>
      <c r="H280" s="55"/>
      <c r="I280" s="55"/>
      <c r="J280" s="51">
        <v>500000</v>
      </c>
      <c r="K280" s="51"/>
      <c r="L280" s="52">
        <v>46184</v>
      </c>
      <c r="M280" s="53">
        <v>46123</v>
      </c>
      <c r="N280" s="50" t="s">
        <v>168</v>
      </c>
      <c r="O280" s="50" t="s">
        <v>471</v>
      </c>
      <c r="P280" s="50" t="s">
        <v>2565</v>
      </c>
      <c r="Q280" s="55" t="s">
        <v>2566</v>
      </c>
      <c r="R280" s="55" t="s">
        <v>2567</v>
      </c>
      <c r="S280" s="53">
        <v>47218</v>
      </c>
      <c r="T280" s="50" t="s">
        <v>2568</v>
      </c>
      <c r="U280" s="50"/>
      <c r="V280" s="56"/>
      <c r="W280" s="56"/>
      <c r="X280" s="56"/>
      <c r="Y280" s="56"/>
      <c r="Z280" s="56"/>
      <c r="AA280" s="56"/>
      <c r="AB280" s="56"/>
    </row>
    <row x14ac:dyDescent="0.25" r="281" customHeight="1" ht="18.75">
      <c r="A281" s="56"/>
      <c r="B281" s="56"/>
      <c r="C281" s="50" t="s">
        <v>16</v>
      </c>
      <c r="D281" s="50"/>
      <c r="E281" s="50"/>
      <c r="F281" s="50" t="s">
        <v>35</v>
      </c>
      <c r="G281" s="55">
        <v>10000000</v>
      </c>
      <c r="H281" s="55"/>
      <c r="I281" s="55"/>
      <c r="J281" s="51">
        <v>800000</v>
      </c>
      <c r="K281" s="51"/>
      <c r="L281" s="52">
        <v>46145</v>
      </c>
      <c r="M281" s="53">
        <v>46084</v>
      </c>
      <c r="N281" s="50" t="s">
        <v>302</v>
      </c>
      <c r="O281" s="50" t="s">
        <v>1103</v>
      </c>
      <c r="P281" s="50" t="s">
        <v>35</v>
      </c>
      <c r="Q281" s="55" t="s">
        <v>1104</v>
      </c>
      <c r="R281" s="55" t="s">
        <v>1105</v>
      </c>
      <c r="S281" s="53">
        <v>47179</v>
      </c>
      <c r="T281" s="50" t="s">
        <v>36</v>
      </c>
      <c r="U281" s="50" t="s">
        <v>293</v>
      </c>
      <c r="V281" s="56"/>
      <c r="W281" s="56"/>
      <c r="X281" s="56"/>
      <c r="Y281" s="56"/>
      <c r="Z281" s="56"/>
      <c r="AA281" s="56"/>
      <c r="AB281" s="56"/>
    </row>
    <row x14ac:dyDescent="0.25" r="282" customHeight="1" ht="18.75">
      <c r="A282" s="48" t="s">
        <v>275</v>
      </c>
      <c r="B282" s="48"/>
      <c r="C282" s="49" t="s">
        <v>16</v>
      </c>
      <c r="D282" s="50"/>
      <c r="E282" s="50"/>
      <c r="F282" s="50" t="s">
        <v>2565</v>
      </c>
      <c r="G282" s="51">
        <v>10000000</v>
      </c>
      <c r="H282" s="51"/>
      <c r="I282" s="51"/>
      <c r="J282" s="87">
        <f>IF(G282&gt;0,_xludf.IFS(G282=10000000,800000,G282=20000000,1528000,G282=30000000,2028000,G282=60000000,4056000),"")</f>
      </c>
      <c r="K282" s="51"/>
      <c r="L282" s="52">
        <v>46184</v>
      </c>
      <c r="M282" s="53">
        <f>IF(L282&gt;0,EDATE(L282,-2),"")</f>
        <v>25569.375</v>
      </c>
      <c r="N282" s="50" t="s">
        <v>168</v>
      </c>
      <c r="O282" s="50" t="s">
        <v>471</v>
      </c>
      <c r="P282" s="50" t="s">
        <v>2213</v>
      </c>
      <c r="Q282" s="55" t="s">
        <v>2566</v>
      </c>
      <c r="R282" s="55">
        <v>83222587</v>
      </c>
      <c r="S282" s="53">
        <f>IF(ISNUMBER(M282), EDATE(M282,36)-1, "")</f>
        <v>25569.375</v>
      </c>
      <c r="T282" s="50"/>
      <c r="U282" s="50"/>
      <c r="V282" s="48" t="s">
        <v>841</v>
      </c>
      <c r="W282" s="56"/>
      <c r="X282" s="56"/>
      <c r="Y282" s="56"/>
      <c r="Z282" s="56"/>
      <c r="AA282" s="56"/>
      <c r="AB282" s="56"/>
    </row>
    <row x14ac:dyDescent="0.25" r="283" customHeight="1" ht="18.75">
      <c r="A283" s="71"/>
      <c r="B283" s="71"/>
      <c r="C283" s="72" t="s">
        <v>16</v>
      </c>
      <c r="D283" s="72"/>
      <c r="E283" s="72"/>
      <c r="F283" s="72" t="s">
        <v>2608</v>
      </c>
      <c r="G283" s="73">
        <v>30000000</v>
      </c>
      <c r="H283" s="73"/>
      <c r="I283" s="73"/>
      <c r="J283" s="74"/>
      <c r="K283" s="74"/>
      <c r="L283" s="75">
        <v>46184</v>
      </c>
      <c r="M283" s="76">
        <v>46123</v>
      </c>
      <c r="N283" s="72" t="s">
        <v>2054</v>
      </c>
      <c r="O283" s="72" t="s">
        <v>2609</v>
      </c>
      <c r="P283" s="72" t="s">
        <v>2608</v>
      </c>
      <c r="Q283" s="73" t="s">
        <v>2610</v>
      </c>
      <c r="R283" s="73" t="s">
        <v>2611</v>
      </c>
      <c r="S283" s="76">
        <v>47218</v>
      </c>
      <c r="T283" s="72" t="s">
        <v>2612</v>
      </c>
      <c r="U283" s="72" t="s">
        <v>166</v>
      </c>
      <c r="V283" s="71"/>
      <c r="W283" s="56"/>
      <c r="X283" s="56"/>
      <c r="Y283" s="56"/>
      <c r="Z283" s="56"/>
      <c r="AA283" s="56"/>
      <c r="AB283" s="56"/>
    </row>
    <row x14ac:dyDescent="0.25" r="284" customHeight="1" ht="18.75">
      <c r="A284" s="56"/>
      <c r="B284" s="56"/>
      <c r="C284" s="50" t="s">
        <v>16</v>
      </c>
      <c r="D284" s="50"/>
      <c r="E284" s="50"/>
      <c r="F284" s="50" t="s">
        <v>1111</v>
      </c>
      <c r="G284" s="55">
        <v>10000000</v>
      </c>
      <c r="H284" s="55"/>
      <c r="I284" s="55"/>
      <c r="J284" s="51">
        <v>800000</v>
      </c>
      <c r="K284" s="51"/>
      <c r="L284" s="52">
        <v>46043</v>
      </c>
      <c r="M284" s="53">
        <v>45983</v>
      </c>
      <c r="N284" s="50" t="s">
        <v>168</v>
      </c>
      <c r="O284" s="50" t="s">
        <v>1112</v>
      </c>
      <c r="P284" s="50" t="s">
        <v>1111</v>
      </c>
      <c r="Q284" s="55" t="s">
        <v>1113</v>
      </c>
      <c r="R284" s="55" t="s">
        <v>1114</v>
      </c>
      <c r="S284" s="53">
        <v>47077</v>
      </c>
      <c r="T284" s="50"/>
      <c r="U284" s="50"/>
      <c r="V284" s="56"/>
      <c r="W284" s="56"/>
      <c r="X284" s="56"/>
      <c r="Y284" s="56"/>
      <c r="Z284" s="56"/>
      <c r="AA284" s="56"/>
      <c r="AB284" s="56"/>
    </row>
    <row x14ac:dyDescent="0.25" r="285" customHeight="1" ht="18.75">
      <c r="A285" s="56"/>
      <c r="B285" s="56"/>
      <c r="C285" s="50" t="s">
        <v>16</v>
      </c>
      <c r="D285" s="50"/>
      <c r="E285" s="50"/>
      <c r="F285" s="50" t="s">
        <v>1115</v>
      </c>
      <c r="G285" s="55">
        <v>10000000</v>
      </c>
      <c r="H285" s="55"/>
      <c r="I285" s="55"/>
      <c r="J285" s="51">
        <v>800000</v>
      </c>
      <c r="K285" s="51"/>
      <c r="L285" s="52">
        <v>46172</v>
      </c>
      <c r="M285" s="53">
        <v>46111</v>
      </c>
      <c r="N285" s="50" t="s">
        <v>212</v>
      </c>
      <c r="O285" s="50" t="s">
        <v>902</v>
      </c>
      <c r="P285" s="50" t="s">
        <v>1115</v>
      </c>
      <c r="Q285" s="55" t="s">
        <v>1116</v>
      </c>
      <c r="R285" s="55" t="s">
        <v>1117</v>
      </c>
      <c r="S285" s="53">
        <v>47206</v>
      </c>
      <c r="T285" s="50"/>
      <c r="U285" s="50" t="s">
        <v>166</v>
      </c>
      <c r="V285" s="56"/>
      <c r="W285" s="56"/>
      <c r="X285" s="56"/>
      <c r="Y285" s="56"/>
      <c r="Z285" s="56"/>
      <c r="AA285" s="56"/>
      <c r="AB285" s="56"/>
    </row>
    <row x14ac:dyDescent="0.25" r="286" customHeight="1" ht="18.75">
      <c r="A286" s="56"/>
      <c r="B286" s="56"/>
      <c r="C286" s="50" t="s">
        <v>16</v>
      </c>
      <c r="D286" s="50"/>
      <c r="E286" s="50"/>
      <c r="F286" s="50" t="s">
        <v>37</v>
      </c>
      <c r="G286" s="55">
        <v>10000000</v>
      </c>
      <c r="H286" s="55"/>
      <c r="I286" s="55"/>
      <c r="J286" s="51">
        <v>800000</v>
      </c>
      <c r="K286" s="51"/>
      <c r="L286" s="52">
        <v>46145</v>
      </c>
      <c r="M286" s="53">
        <v>46084</v>
      </c>
      <c r="N286" s="50" t="s">
        <v>239</v>
      </c>
      <c r="O286" s="50" t="s">
        <v>1118</v>
      </c>
      <c r="P286" s="50" t="s">
        <v>37</v>
      </c>
      <c r="Q286" s="55" t="s">
        <v>1119</v>
      </c>
      <c r="R286" s="55" t="s">
        <v>1120</v>
      </c>
      <c r="S286" s="53">
        <v>47179</v>
      </c>
      <c r="T286" s="50" t="s">
        <v>38</v>
      </c>
      <c r="U286" s="50" t="s">
        <v>293</v>
      </c>
      <c r="V286" s="56"/>
      <c r="W286" s="56"/>
      <c r="X286" s="56"/>
      <c r="Y286" s="56"/>
      <c r="Z286" s="56"/>
      <c r="AA286" s="56"/>
      <c r="AB286" s="56"/>
    </row>
    <row x14ac:dyDescent="0.25" r="287" customHeight="1" ht="18.75">
      <c r="A287" s="48" t="s">
        <v>152</v>
      </c>
      <c r="B287" s="48"/>
      <c r="C287" s="49" t="s">
        <v>16</v>
      </c>
      <c r="D287" s="50" t="s">
        <v>900</v>
      </c>
      <c r="E287" s="50" t="s">
        <v>1121</v>
      </c>
      <c r="F287" s="50" t="s">
        <v>1122</v>
      </c>
      <c r="G287" s="51">
        <v>10000000</v>
      </c>
      <c r="H287" s="51"/>
      <c r="I287" s="51"/>
      <c r="J287" s="87">
        <f>IF(G287&gt;0,_xludf.IFS(G287=10000000,800000,G287=20000000,1528000,G287=30000000,2028000,G287=60000000,4056000),"")</f>
      </c>
      <c r="K287" s="51"/>
      <c r="L287" s="52">
        <v>45981</v>
      </c>
      <c r="M287" s="53">
        <f>IF(L287&gt;0,EDATE(L287,-2),"")</f>
        <v>25569.375</v>
      </c>
      <c r="N287" s="50" t="s">
        <v>168</v>
      </c>
      <c r="O287" s="50" t="s">
        <v>1123</v>
      </c>
      <c r="P287" s="54">
        <f>IF(F287&gt;0,F287,"")</f>
      </c>
      <c r="Q287" s="55" t="s">
        <v>1124</v>
      </c>
      <c r="R287" s="55">
        <v>39254228</v>
      </c>
      <c r="S287" s="53">
        <f>IF(ISNUMBER(M287), EDATE(M287,36)-1, "")</f>
        <v>25569.375</v>
      </c>
      <c r="T287" s="50"/>
      <c r="U287" s="50"/>
      <c r="V287" s="48" t="s">
        <v>1125</v>
      </c>
      <c r="W287" s="56"/>
      <c r="X287" s="56"/>
      <c r="Y287" s="56"/>
      <c r="Z287" s="56"/>
      <c r="AA287" s="56"/>
      <c r="AB287" s="56"/>
    </row>
    <row x14ac:dyDescent="0.25" r="288" customHeight="1" ht="18.75">
      <c r="A288" s="56"/>
      <c r="B288" s="56"/>
      <c r="C288" s="50" t="s">
        <v>16</v>
      </c>
      <c r="D288" s="50"/>
      <c r="E288" s="50"/>
      <c r="F288" s="50" t="s">
        <v>1126</v>
      </c>
      <c r="G288" s="55">
        <v>60000000</v>
      </c>
      <c r="H288" s="55"/>
      <c r="I288" s="55"/>
      <c r="J288" s="51">
        <v>4056000</v>
      </c>
      <c r="K288" s="51"/>
      <c r="L288" s="52">
        <v>46012</v>
      </c>
      <c r="M288" s="53">
        <v>45951</v>
      </c>
      <c r="N288" s="50" t="s">
        <v>302</v>
      </c>
      <c r="O288" s="50" t="s">
        <v>1127</v>
      </c>
      <c r="P288" s="50" t="s">
        <v>1126</v>
      </c>
      <c r="Q288" s="55" t="s">
        <v>1128</v>
      </c>
      <c r="R288" s="55" t="s">
        <v>1129</v>
      </c>
      <c r="S288" s="53">
        <v>47046</v>
      </c>
      <c r="T288" s="50"/>
      <c r="U288" s="50"/>
      <c r="V288" s="56"/>
      <c r="W288" s="56"/>
      <c r="X288" s="56"/>
      <c r="Y288" s="56"/>
      <c r="Z288" s="56"/>
      <c r="AA288" s="56"/>
      <c r="AB288" s="56"/>
    </row>
    <row x14ac:dyDescent="0.25" r="289" customHeight="1" ht="18.75">
      <c r="A289" s="56"/>
      <c r="B289" s="56"/>
      <c r="C289" s="50" t="s">
        <v>16</v>
      </c>
      <c r="D289" s="50"/>
      <c r="E289" s="50"/>
      <c r="F289" s="50" t="s">
        <v>1126</v>
      </c>
      <c r="G289" s="55">
        <v>30000000</v>
      </c>
      <c r="H289" s="55"/>
      <c r="I289" s="55"/>
      <c r="J289" s="51">
        <v>2028000</v>
      </c>
      <c r="K289" s="51"/>
      <c r="L289" s="52">
        <v>46065</v>
      </c>
      <c r="M289" s="53">
        <v>46004</v>
      </c>
      <c r="N289" s="50" t="s">
        <v>239</v>
      </c>
      <c r="O289" s="50" t="s">
        <v>1130</v>
      </c>
      <c r="P289" s="50" t="s">
        <v>1126</v>
      </c>
      <c r="Q289" s="55" t="s">
        <v>1131</v>
      </c>
      <c r="R289" s="55" t="s">
        <v>1132</v>
      </c>
      <c r="S289" s="53">
        <v>47098</v>
      </c>
      <c r="T289" s="50"/>
      <c r="U289" s="50"/>
      <c r="V289" s="56"/>
      <c r="W289" s="56"/>
      <c r="X289" s="56"/>
      <c r="Y289" s="56"/>
      <c r="Z289" s="56"/>
      <c r="AA289" s="56"/>
      <c r="AB289" s="56"/>
    </row>
    <row x14ac:dyDescent="0.25" r="290" customHeight="1" ht="18.75">
      <c r="A290" s="48" t="s">
        <v>1133</v>
      </c>
      <c r="B290" s="48"/>
      <c r="C290" s="50" t="s">
        <v>16</v>
      </c>
      <c r="D290" s="50"/>
      <c r="E290" s="50"/>
      <c r="F290" s="50" t="s">
        <v>1134</v>
      </c>
      <c r="G290" s="55">
        <v>120000000</v>
      </c>
      <c r="H290" s="55"/>
      <c r="I290" s="55"/>
      <c r="J290" s="51">
        <v>9600000</v>
      </c>
      <c r="K290" s="51"/>
      <c r="L290" s="52">
        <v>46019</v>
      </c>
      <c r="M290" s="53">
        <v>45593</v>
      </c>
      <c r="N290" s="50" t="s">
        <v>239</v>
      </c>
      <c r="O290" s="50" t="s">
        <v>1135</v>
      </c>
      <c r="P290" s="50" t="s">
        <v>1134</v>
      </c>
      <c r="Q290" s="55" t="s">
        <v>1136</v>
      </c>
      <c r="R290" s="55" t="s">
        <v>1137</v>
      </c>
      <c r="S290" s="53">
        <v>47053</v>
      </c>
      <c r="T290" s="50"/>
      <c r="U290" s="50"/>
      <c r="V290" s="56"/>
      <c r="W290" s="56"/>
      <c r="X290" s="56"/>
      <c r="Y290" s="56"/>
      <c r="Z290" s="56"/>
      <c r="AA290" s="56"/>
      <c r="AB290" s="56"/>
    </row>
    <row x14ac:dyDescent="0.25" r="291" customHeight="1" ht="18.75">
      <c r="A291" s="56"/>
      <c r="B291" s="56"/>
      <c r="C291" s="50" t="s">
        <v>13</v>
      </c>
      <c r="D291" s="50"/>
      <c r="E291" s="50"/>
      <c r="F291" s="50" t="s">
        <v>1134</v>
      </c>
      <c r="G291" s="55">
        <v>10000000</v>
      </c>
      <c r="H291" s="55"/>
      <c r="I291" s="55"/>
      <c r="J291" s="51">
        <v>900000</v>
      </c>
      <c r="K291" s="51"/>
      <c r="L291" s="52">
        <v>45778</v>
      </c>
      <c r="M291" s="53">
        <v>45717</v>
      </c>
      <c r="N291" s="50" t="s">
        <v>239</v>
      </c>
      <c r="O291" s="50" t="s">
        <v>1135</v>
      </c>
      <c r="P291" s="50" t="s">
        <v>1134</v>
      </c>
      <c r="Q291" s="55" t="s">
        <v>1136</v>
      </c>
      <c r="R291" s="55" t="s">
        <v>1137</v>
      </c>
      <c r="S291" s="53">
        <v>46812</v>
      </c>
      <c r="T291" s="50"/>
      <c r="U291" s="50"/>
      <c r="V291" s="56"/>
      <c r="W291" s="56"/>
      <c r="X291" s="56"/>
      <c r="Y291" s="56"/>
      <c r="Z291" s="56"/>
      <c r="AA291" s="56"/>
      <c r="AB291" s="56"/>
    </row>
    <row x14ac:dyDescent="0.25" r="292" customHeight="1" ht="18.75">
      <c r="A292" s="56"/>
      <c r="B292" s="56"/>
      <c r="C292" s="50" t="s">
        <v>16</v>
      </c>
      <c r="D292" s="50"/>
      <c r="E292" s="50"/>
      <c r="F292" s="50" t="s">
        <v>1134</v>
      </c>
      <c r="G292" s="55">
        <v>20000000</v>
      </c>
      <c r="H292" s="55"/>
      <c r="I292" s="55"/>
      <c r="J292" s="51">
        <v>1600000</v>
      </c>
      <c r="K292" s="51"/>
      <c r="L292" s="52">
        <v>45840</v>
      </c>
      <c r="M292" s="53">
        <v>45779</v>
      </c>
      <c r="N292" s="50" t="s">
        <v>239</v>
      </c>
      <c r="O292" s="50" t="s">
        <v>1135</v>
      </c>
      <c r="P292" s="50" t="s">
        <v>1134</v>
      </c>
      <c r="Q292" s="55" t="s">
        <v>1136</v>
      </c>
      <c r="R292" s="55" t="s">
        <v>1137</v>
      </c>
      <c r="S292" s="53">
        <v>46874</v>
      </c>
      <c r="T292" s="50"/>
      <c r="U292" s="50"/>
      <c r="V292" s="56"/>
      <c r="W292" s="56"/>
      <c r="X292" s="56"/>
      <c r="Y292" s="56"/>
      <c r="Z292" s="56"/>
      <c r="AA292" s="56"/>
      <c r="AB292" s="56"/>
    </row>
    <row x14ac:dyDescent="0.25" r="293" customHeight="1" ht="18.75">
      <c r="A293" s="56"/>
      <c r="B293" s="56"/>
      <c r="C293" s="50" t="s">
        <v>16</v>
      </c>
      <c r="D293" s="50"/>
      <c r="E293" s="50"/>
      <c r="F293" s="50" t="s">
        <v>1134</v>
      </c>
      <c r="G293" s="55">
        <v>30000000</v>
      </c>
      <c r="H293" s="55"/>
      <c r="I293" s="55"/>
      <c r="J293" s="51">
        <v>2400000</v>
      </c>
      <c r="K293" s="51"/>
      <c r="L293" s="52">
        <v>45909</v>
      </c>
      <c r="M293" s="53">
        <v>45847</v>
      </c>
      <c r="N293" s="50" t="s">
        <v>239</v>
      </c>
      <c r="O293" s="50" t="s">
        <v>1135</v>
      </c>
      <c r="P293" s="50" t="s">
        <v>1134</v>
      </c>
      <c r="Q293" s="55" t="s">
        <v>1136</v>
      </c>
      <c r="R293" s="55" t="s">
        <v>1137</v>
      </c>
      <c r="S293" s="53">
        <v>46942</v>
      </c>
      <c r="T293" s="50"/>
      <c r="U293" s="50"/>
      <c r="V293" s="56"/>
      <c r="W293" s="56"/>
      <c r="X293" s="56"/>
      <c r="Y293" s="56"/>
      <c r="Z293" s="56"/>
      <c r="AA293" s="56"/>
      <c r="AB293" s="56"/>
    </row>
    <row x14ac:dyDescent="0.25" r="294" customHeight="1" ht="18.75">
      <c r="A294" s="56"/>
      <c r="B294" s="56"/>
      <c r="C294" s="50" t="s">
        <v>16</v>
      </c>
      <c r="D294" s="50"/>
      <c r="E294" s="50"/>
      <c r="F294" s="50" t="s">
        <v>2724</v>
      </c>
      <c r="G294" s="55">
        <v>10000000</v>
      </c>
      <c r="H294" s="55"/>
      <c r="I294" s="55"/>
      <c r="J294" s="51">
        <v>800000</v>
      </c>
      <c r="K294" s="51"/>
      <c r="L294" s="52">
        <v>46184</v>
      </c>
      <c r="M294" s="53">
        <v>46123</v>
      </c>
      <c r="N294" s="50" t="s">
        <v>2054</v>
      </c>
      <c r="O294" s="50" t="s">
        <v>2725</v>
      </c>
      <c r="P294" s="50" t="s">
        <v>2724</v>
      </c>
      <c r="Q294" s="55" t="s">
        <v>2726</v>
      </c>
      <c r="R294" s="55" t="s">
        <v>2727</v>
      </c>
      <c r="S294" s="53">
        <v>47218</v>
      </c>
      <c r="T294" s="50" t="s">
        <v>2728</v>
      </c>
      <c r="U294" s="50" t="s">
        <v>166</v>
      </c>
      <c r="V294" s="56"/>
      <c r="W294" s="56"/>
      <c r="X294" s="56"/>
      <c r="Y294" s="56"/>
      <c r="Z294" s="56"/>
      <c r="AA294" s="56"/>
      <c r="AB294" s="56"/>
    </row>
    <row x14ac:dyDescent="0.25" r="295" customHeight="1" ht="18.75">
      <c r="A295" s="56"/>
      <c r="B295" s="56"/>
      <c r="C295" s="50" t="s">
        <v>16</v>
      </c>
      <c r="D295" s="50" t="s">
        <v>143</v>
      </c>
      <c r="E295" s="50" t="s">
        <v>1335</v>
      </c>
      <c r="F295" s="50" t="s">
        <v>2795</v>
      </c>
      <c r="G295" s="55">
        <v>10000000</v>
      </c>
      <c r="H295" s="55"/>
      <c r="I295" s="55"/>
      <c r="J295" s="51">
        <v>1200000</v>
      </c>
      <c r="K295" s="51"/>
      <c r="L295" s="52">
        <v>46184</v>
      </c>
      <c r="M295" s="53">
        <v>46123</v>
      </c>
      <c r="N295" s="50" t="s">
        <v>699</v>
      </c>
      <c r="O295" s="50" t="s">
        <v>2796</v>
      </c>
      <c r="P295" s="50" t="s">
        <v>2795</v>
      </c>
      <c r="Q295" s="55" t="s">
        <v>2797</v>
      </c>
      <c r="R295" s="55" t="s">
        <v>2798</v>
      </c>
      <c r="S295" s="53">
        <v>47218</v>
      </c>
      <c r="T295" s="50" t="s">
        <v>2799</v>
      </c>
      <c r="U295" s="50"/>
      <c r="V295" s="56"/>
      <c r="W295" s="56"/>
      <c r="X295" s="56"/>
      <c r="Y295" s="56"/>
      <c r="Z295" s="56"/>
      <c r="AA295" s="56"/>
      <c r="AB295" s="56"/>
    </row>
    <row x14ac:dyDescent="0.25" r="296" customHeight="1" ht="18.75">
      <c r="A296" s="63" t="s">
        <v>252</v>
      </c>
      <c r="B296" s="63"/>
      <c r="C296" s="49" t="s">
        <v>16</v>
      </c>
      <c r="D296" s="49" t="s">
        <v>454</v>
      </c>
      <c r="E296" s="49" t="s">
        <v>647</v>
      </c>
      <c r="F296" s="49" t="s">
        <v>1145</v>
      </c>
      <c r="G296" s="64">
        <v>10000000</v>
      </c>
      <c r="H296" s="64"/>
      <c r="I296" s="64"/>
      <c r="J296" s="65">
        <f>IF(G296&gt;0,_xludf.IFS(G296=10000000,800000,G296=20000000,1528000,G296=30000000,2028000,G296=60000000,4056000),"")</f>
      </c>
      <c r="K296" s="64"/>
      <c r="L296" s="66" t="s">
        <v>449</v>
      </c>
      <c r="M296" s="67" t="s">
        <v>449</v>
      </c>
      <c r="N296" s="49"/>
      <c r="O296" s="49"/>
      <c r="P296" s="68">
        <f>IF(F296&gt;0,F296,"")</f>
      </c>
      <c r="Q296" s="69"/>
      <c r="R296" s="69"/>
      <c r="S296" s="67" t="s">
        <v>449</v>
      </c>
      <c r="T296" s="49"/>
      <c r="U296" s="49"/>
      <c r="V296" s="63" t="s">
        <v>1146</v>
      </c>
      <c r="W296" s="56"/>
      <c r="X296" s="56"/>
      <c r="Y296" s="56"/>
      <c r="Z296" s="56"/>
      <c r="AA296" s="56"/>
      <c r="AB296" s="56"/>
    </row>
    <row x14ac:dyDescent="0.25" r="297" customHeight="1" ht="18.75">
      <c r="A297" s="56"/>
      <c r="B297" s="56"/>
      <c r="C297" s="50" t="s">
        <v>16</v>
      </c>
      <c r="D297" s="50"/>
      <c r="E297" s="50"/>
      <c r="F297" s="50" t="s">
        <v>1147</v>
      </c>
      <c r="G297" s="55">
        <v>10000000</v>
      </c>
      <c r="H297" s="55"/>
      <c r="I297" s="55"/>
      <c r="J297" s="51">
        <v>800000</v>
      </c>
      <c r="K297" s="51"/>
      <c r="L297" s="52">
        <v>46167</v>
      </c>
      <c r="M297" s="53">
        <v>46106</v>
      </c>
      <c r="N297" s="50" t="s">
        <v>168</v>
      </c>
      <c r="O297" s="50" t="s">
        <v>1148</v>
      </c>
      <c r="P297" s="50" t="s">
        <v>1147</v>
      </c>
      <c r="Q297" s="55" t="s">
        <v>1149</v>
      </c>
      <c r="R297" s="55" t="s">
        <v>1150</v>
      </c>
      <c r="S297" s="53">
        <v>47201</v>
      </c>
      <c r="T297" s="50"/>
      <c r="U297" s="50" t="s">
        <v>166</v>
      </c>
      <c r="V297" s="56"/>
      <c r="W297" s="56"/>
      <c r="X297" s="56"/>
      <c r="Y297" s="56"/>
      <c r="Z297" s="56"/>
      <c r="AA297" s="56"/>
      <c r="AB297" s="56"/>
    </row>
    <row x14ac:dyDescent="0.25" r="298" customHeight="1" ht="18.75">
      <c r="A298" s="56"/>
      <c r="B298" s="56"/>
      <c r="C298" s="50" t="s">
        <v>16</v>
      </c>
      <c r="D298" s="50"/>
      <c r="E298" s="50" t="s">
        <v>22</v>
      </c>
      <c r="F298" s="50" t="s">
        <v>2795</v>
      </c>
      <c r="G298" s="55">
        <v>10000000</v>
      </c>
      <c r="H298" s="55"/>
      <c r="I298" s="55"/>
      <c r="J298" s="51">
        <v>800000</v>
      </c>
      <c r="K298" s="51"/>
      <c r="L298" s="52">
        <v>46184</v>
      </c>
      <c r="M298" s="53">
        <v>46123</v>
      </c>
      <c r="N298" s="50" t="s">
        <v>2653</v>
      </c>
      <c r="O298" s="50" t="s">
        <v>2796</v>
      </c>
      <c r="P298" s="50" t="s">
        <v>2795</v>
      </c>
      <c r="Q298" s="55" t="s">
        <v>2797</v>
      </c>
      <c r="R298" s="55" t="s">
        <v>2798</v>
      </c>
      <c r="S298" s="53">
        <v>47218</v>
      </c>
      <c r="T298" s="50"/>
      <c r="U298" s="50" t="s">
        <v>166</v>
      </c>
      <c r="V298" s="56"/>
      <c r="W298" s="56"/>
      <c r="X298" s="56"/>
      <c r="Y298" s="56"/>
      <c r="Z298" s="56"/>
      <c r="AA298" s="56"/>
      <c r="AB298" s="56"/>
    </row>
    <row x14ac:dyDescent="0.25" r="299" customHeight="1" ht="18.75">
      <c r="A299" s="48" t="s">
        <v>252</v>
      </c>
      <c r="B299" s="48"/>
      <c r="C299" s="50" t="s">
        <v>16</v>
      </c>
      <c r="D299" s="50"/>
      <c r="E299" s="50"/>
      <c r="F299" s="50" t="s">
        <v>1156</v>
      </c>
      <c r="G299" s="55">
        <v>10000000</v>
      </c>
      <c r="H299" s="55"/>
      <c r="I299" s="55"/>
      <c r="J299" s="51">
        <v>800000</v>
      </c>
      <c r="K299" s="51"/>
      <c r="L299" s="52">
        <v>45974</v>
      </c>
      <c r="M299" s="53">
        <v>45913</v>
      </c>
      <c r="N299" s="50" t="s">
        <v>379</v>
      </c>
      <c r="O299" s="50" t="s">
        <v>1157</v>
      </c>
      <c r="P299" s="50" t="s">
        <v>1156</v>
      </c>
      <c r="Q299" s="55" t="s">
        <v>1158</v>
      </c>
      <c r="R299" s="55" t="s">
        <v>1159</v>
      </c>
      <c r="S299" s="53">
        <v>47008</v>
      </c>
      <c r="T299" s="50"/>
      <c r="U299" s="50"/>
      <c r="V299" s="56"/>
      <c r="W299" s="56"/>
      <c r="X299" s="56"/>
      <c r="Y299" s="56"/>
      <c r="Z299" s="56"/>
      <c r="AA299" s="56"/>
      <c r="AB299" s="56"/>
    </row>
    <row x14ac:dyDescent="0.25" r="300" customHeight="1" ht="18.75">
      <c r="A300" s="71" t="s">
        <v>3232</v>
      </c>
      <c r="B300" s="71"/>
      <c r="C300" s="72" t="s">
        <v>16</v>
      </c>
      <c r="D300" s="72"/>
      <c r="E300" s="72" t="s">
        <v>1160</v>
      </c>
      <c r="F300" s="72" t="s">
        <v>1161</v>
      </c>
      <c r="G300" s="73">
        <v>10000000</v>
      </c>
      <c r="H300" s="73"/>
      <c r="I300" s="73"/>
      <c r="J300" s="88"/>
      <c r="K300" s="88"/>
      <c r="L300" s="75">
        <v>46118</v>
      </c>
      <c r="M300" s="76">
        <v>46059</v>
      </c>
      <c r="N300" s="72" t="s">
        <v>282</v>
      </c>
      <c r="O300" s="72" t="s">
        <v>1162</v>
      </c>
      <c r="P300" s="72" t="s">
        <v>1161</v>
      </c>
      <c r="Q300" s="73" t="s">
        <v>1163</v>
      </c>
      <c r="R300" s="73" t="s">
        <v>1164</v>
      </c>
      <c r="S300" s="76">
        <v>47154</v>
      </c>
      <c r="T300" s="72"/>
      <c r="U300" s="72" t="s">
        <v>166</v>
      </c>
      <c r="V300" s="71"/>
      <c r="W300" s="56"/>
      <c r="X300" s="56"/>
      <c r="Y300" s="56"/>
      <c r="Z300" s="56"/>
      <c r="AA300" s="56"/>
      <c r="AB300" s="56"/>
    </row>
    <row x14ac:dyDescent="0.25" r="301" customHeight="1" ht="18.75">
      <c r="A301" s="56"/>
      <c r="B301" s="56"/>
      <c r="C301" s="50" t="s">
        <v>16</v>
      </c>
      <c r="D301" s="50"/>
      <c r="E301" s="50"/>
      <c r="F301" s="50" t="s">
        <v>3021</v>
      </c>
      <c r="G301" s="55">
        <v>10000000</v>
      </c>
      <c r="H301" s="55"/>
      <c r="I301" s="55"/>
      <c r="J301" s="51">
        <v>500000</v>
      </c>
      <c r="K301" s="51"/>
      <c r="L301" s="52">
        <v>46184</v>
      </c>
      <c r="M301" s="53">
        <v>46123</v>
      </c>
      <c r="N301" s="50" t="s">
        <v>168</v>
      </c>
      <c r="O301" s="50" t="s">
        <v>471</v>
      </c>
      <c r="P301" s="50" t="s">
        <v>3021</v>
      </c>
      <c r="Q301" s="55" t="s">
        <v>3022</v>
      </c>
      <c r="R301" s="55" t="s">
        <v>3023</v>
      </c>
      <c r="S301" s="53">
        <v>47218</v>
      </c>
      <c r="T301" s="50" t="s">
        <v>3024</v>
      </c>
      <c r="U301" s="50"/>
      <c r="V301" s="56"/>
      <c r="W301" s="56"/>
      <c r="X301" s="56"/>
      <c r="Y301" s="56"/>
      <c r="Z301" s="56"/>
      <c r="AA301" s="56"/>
      <c r="AB301" s="56"/>
    </row>
    <row x14ac:dyDescent="0.25" r="302" customHeight="1" ht="18.75">
      <c r="A302" s="56"/>
      <c r="B302" s="56"/>
      <c r="C302" s="50" t="s">
        <v>16</v>
      </c>
      <c r="D302" s="50"/>
      <c r="E302" s="50"/>
      <c r="F302" s="50" t="s">
        <v>1166</v>
      </c>
      <c r="G302" s="55">
        <v>10000000</v>
      </c>
      <c r="H302" s="55"/>
      <c r="I302" s="55"/>
      <c r="J302" s="51">
        <v>800000</v>
      </c>
      <c r="K302" s="51"/>
      <c r="L302" s="52">
        <v>46063</v>
      </c>
      <c r="M302" s="53">
        <v>46001</v>
      </c>
      <c r="N302" s="50" t="s">
        <v>155</v>
      </c>
      <c r="O302" s="50" t="s">
        <v>1167</v>
      </c>
      <c r="P302" s="50" t="s">
        <v>1166</v>
      </c>
      <c r="Q302" s="55" t="s">
        <v>1168</v>
      </c>
      <c r="R302" s="55" t="s">
        <v>1169</v>
      </c>
      <c r="S302" s="53">
        <v>47096</v>
      </c>
      <c r="T302" s="50"/>
      <c r="U302" s="50"/>
      <c r="V302" s="56"/>
      <c r="W302" s="56"/>
      <c r="X302" s="56"/>
      <c r="Y302" s="56"/>
      <c r="Z302" s="56"/>
      <c r="AA302" s="56"/>
      <c r="AB302" s="56"/>
    </row>
    <row x14ac:dyDescent="0.25" r="303" customHeight="1" ht="18.75">
      <c r="A303" s="56"/>
      <c r="B303" s="56"/>
      <c r="C303" s="50" t="s">
        <v>16</v>
      </c>
      <c r="D303" s="50"/>
      <c r="E303" s="50"/>
      <c r="F303" s="50" t="s">
        <v>1170</v>
      </c>
      <c r="G303" s="55">
        <v>60000000</v>
      </c>
      <c r="H303" s="55"/>
      <c r="I303" s="55"/>
      <c r="J303" s="51">
        <v>4056000</v>
      </c>
      <c r="K303" s="51"/>
      <c r="L303" s="52">
        <v>46172</v>
      </c>
      <c r="M303" s="53">
        <v>46111</v>
      </c>
      <c r="N303" s="50" t="s">
        <v>168</v>
      </c>
      <c r="O303" s="50" t="s">
        <v>1171</v>
      </c>
      <c r="P303" s="50" t="s">
        <v>1170</v>
      </c>
      <c r="Q303" s="55" t="s">
        <v>1172</v>
      </c>
      <c r="R303" s="55" t="s">
        <v>1173</v>
      </c>
      <c r="S303" s="53">
        <v>47206</v>
      </c>
      <c r="T303" s="50" t="s">
        <v>1174</v>
      </c>
      <c r="U303" s="50" t="s">
        <v>166</v>
      </c>
      <c r="V303" s="56"/>
      <c r="W303" s="56"/>
      <c r="X303" s="56"/>
      <c r="Y303" s="56"/>
      <c r="Z303" s="56"/>
      <c r="AA303" s="56"/>
      <c r="AB303" s="56"/>
    </row>
    <row x14ac:dyDescent="0.25" r="304" customHeight="1" ht="18.75">
      <c r="A304" s="56"/>
      <c r="B304" s="56"/>
      <c r="C304" s="50" t="s">
        <v>16</v>
      </c>
      <c r="D304" s="50"/>
      <c r="E304" s="50"/>
      <c r="F304" s="50" t="s">
        <v>1175</v>
      </c>
      <c r="G304" s="55">
        <v>10000000</v>
      </c>
      <c r="H304" s="55"/>
      <c r="I304" s="55"/>
      <c r="J304" s="51">
        <v>800000</v>
      </c>
      <c r="K304" s="51"/>
      <c r="L304" s="52">
        <v>46102</v>
      </c>
      <c r="M304" s="53">
        <v>46043</v>
      </c>
      <c r="N304" s="50" t="s">
        <v>155</v>
      </c>
      <c r="O304" s="50" t="s">
        <v>478</v>
      </c>
      <c r="P304" s="50" t="s">
        <v>1175</v>
      </c>
      <c r="Q304" s="55" t="s">
        <v>1176</v>
      </c>
      <c r="R304" s="55" t="s">
        <v>1177</v>
      </c>
      <c r="S304" s="53">
        <v>47138</v>
      </c>
      <c r="T304" s="50"/>
      <c r="U304" s="50" t="s">
        <v>1178</v>
      </c>
      <c r="V304" s="48" t="s">
        <v>1179</v>
      </c>
      <c r="W304" s="56"/>
      <c r="X304" s="56"/>
      <c r="Y304" s="56"/>
      <c r="Z304" s="56"/>
      <c r="AA304" s="56"/>
      <c r="AB304" s="56"/>
    </row>
    <row x14ac:dyDescent="0.25" r="305" customHeight="1" ht="18.75">
      <c r="A305" s="48" t="s">
        <v>275</v>
      </c>
      <c r="B305" s="62"/>
      <c r="C305" s="49" t="s">
        <v>16</v>
      </c>
      <c r="D305" s="50"/>
      <c r="E305" s="50"/>
      <c r="F305" s="50" t="s">
        <v>3021</v>
      </c>
      <c r="G305" s="51">
        <v>10000000</v>
      </c>
      <c r="H305" s="51"/>
      <c r="I305" s="51"/>
      <c r="J305" s="87">
        <f>IF(G305&gt;0,_xludf.IFS(G305=10000000,800000,G305=20000000,1528000,G305=30000000,2028000,G305=60000000,4056000),"")</f>
      </c>
      <c r="K305" s="51"/>
      <c r="L305" s="52">
        <v>46184</v>
      </c>
      <c r="M305" s="53">
        <f>IF(L305&gt;0,EDATE(L305,-2),"")</f>
        <v>25569.375</v>
      </c>
      <c r="N305" s="50" t="s">
        <v>168</v>
      </c>
      <c r="O305" s="50" t="s">
        <v>471</v>
      </c>
      <c r="P305" s="50" t="s">
        <v>2213</v>
      </c>
      <c r="Q305" s="55" t="s">
        <v>3025</v>
      </c>
      <c r="R305" s="55">
        <v>33882272</v>
      </c>
      <c r="S305" s="53">
        <f>IF(ISNUMBER(M305), EDATE(M305,36)-1, "")</f>
        <v>25569.375</v>
      </c>
      <c r="T305" s="50"/>
      <c r="U305" s="50"/>
      <c r="V305" s="48" t="s">
        <v>841</v>
      </c>
      <c r="W305" s="56"/>
      <c r="X305" s="56"/>
      <c r="Y305" s="56"/>
      <c r="Z305" s="56"/>
      <c r="AA305" s="56"/>
      <c r="AB305" s="56"/>
    </row>
    <row x14ac:dyDescent="0.25" r="306" customHeight="1" ht="18.75">
      <c r="A306" s="56"/>
      <c r="B306" s="56"/>
      <c r="C306" s="49" t="s">
        <v>16</v>
      </c>
      <c r="D306" s="50"/>
      <c r="E306" s="50"/>
      <c r="F306" s="50" t="s">
        <v>1183</v>
      </c>
      <c r="G306" s="51">
        <v>30000000</v>
      </c>
      <c r="H306" s="51"/>
      <c r="I306" s="51"/>
      <c r="J306" s="51">
        <v>2400000</v>
      </c>
      <c r="K306" s="51"/>
      <c r="L306" s="52">
        <v>45902</v>
      </c>
      <c r="M306" s="53">
        <f>IF(L306&gt;0,EDATE(L306,-2),"")</f>
        <v>25569.375</v>
      </c>
      <c r="N306" s="50" t="s">
        <v>212</v>
      </c>
      <c r="O306" s="50" t="s">
        <v>1184</v>
      </c>
      <c r="P306" s="50" t="s">
        <v>669</v>
      </c>
      <c r="Q306" s="55" t="s">
        <v>1185</v>
      </c>
      <c r="R306" s="55">
        <v>55325621</v>
      </c>
      <c r="S306" s="53">
        <f>IF(ISNUMBER(M306), EDATE(M306,36)-1, "")</f>
        <v>25569.375</v>
      </c>
      <c r="T306" s="50"/>
      <c r="U306" s="50"/>
      <c r="V306" s="56"/>
      <c r="W306" s="56"/>
      <c r="X306" s="56"/>
      <c r="Y306" s="56"/>
      <c r="Z306" s="56"/>
      <c r="AA306" s="56"/>
      <c r="AB306" s="56"/>
    </row>
    <row x14ac:dyDescent="0.25" r="307" customHeight="1" ht="18.75">
      <c r="A307" s="56"/>
      <c r="B307" s="56"/>
      <c r="C307" s="50" t="s">
        <v>16</v>
      </c>
      <c r="D307" s="50"/>
      <c r="E307" s="50"/>
      <c r="F307" s="50" t="s">
        <v>3185</v>
      </c>
      <c r="G307" s="55">
        <v>10000000</v>
      </c>
      <c r="H307" s="55"/>
      <c r="I307" s="55"/>
      <c r="J307" s="51">
        <v>500000</v>
      </c>
      <c r="K307" s="51"/>
      <c r="L307" s="52">
        <v>46184</v>
      </c>
      <c r="M307" s="53">
        <v>46123</v>
      </c>
      <c r="N307" s="50" t="s">
        <v>168</v>
      </c>
      <c r="O307" s="50" t="s">
        <v>471</v>
      </c>
      <c r="P307" s="50" t="s">
        <v>3185</v>
      </c>
      <c r="Q307" s="55" t="s">
        <v>3186</v>
      </c>
      <c r="R307" s="55" t="s">
        <v>3187</v>
      </c>
      <c r="S307" s="53">
        <v>47218</v>
      </c>
      <c r="T307" s="50" t="s">
        <v>3188</v>
      </c>
      <c r="U307" s="50"/>
      <c r="V307" s="56"/>
      <c r="W307" s="56"/>
      <c r="X307" s="56"/>
      <c r="Y307" s="56"/>
      <c r="Z307" s="56"/>
      <c r="AA307" s="56"/>
      <c r="AB307" s="56"/>
    </row>
    <row x14ac:dyDescent="0.25" r="308" customHeight="1" ht="18.75">
      <c r="A308" s="48" t="s">
        <v>275</v>
      </c>
      <c r="B308" s="62"/>
      <c r="C308" s="49" t="s">
        <v>16</v>
      </c>
      <c r="D308" s="50"/>
      <c r="E308" s="50"/>
      <c r="F308" s="50" t="s">
        <v>3185</v>
      </c>
      <c r="G308" s="51">
        <v>10000000</v>
      </c>
      <c r="H308" s="51"/>
      <c r="I308" s="51"/>
      <c r="J308" s="87">
        <f>IF(G308&gt;0,_xludf.IFS(G308=10000000,800000,G308=20000000,1528000,G308=30000000,2028000,G308=60000000,4056000),"")</f>
      </c>
      <c r="K308" s="51"/>
      <c r="L308" s="52">
        <v>46184</v>
      </c>
      <c r="M308" s="53">
        <f>IF(L308&gt;0,EDATE(L308,-2),"")</f>
        <v>25569.375</v>
      </c>
      <c r="N308" s="50" t="s">
        <v>168</v>
      </c>
      <c r="O308" s="50" t="s">
        <v>471</v>
      </c>
      <c r="P308" s="50" t="s">
        <v>2213</v>
      </c>
      <c r="Q308" s="55" t="s">
        <v>3186</v>
      </c>
      <c r="R308" s="55">
        <v>33006897</v>
      </c>
      <c r="S308" s="53">
        <f>IF(ISNUMBER(M308), EDATE(M308,36)-1, "")</f>
        <v>25569.375</v>
      </c>
      <c r="T308" s="50"/>
      <c r="U308" s="50"/>
      <c r="V308" s="48" t="s">
        <v>475</v>
      </c>
      <c r="W308" s="56"/>
      <c r="X308" s="56"/>
      <c r="Y308" s="56"/>
      <c r="Z308" s="56"/>
      <c r="AA308" s="56"/>
      <c r="AB308" s="56"/>
    </row>
    <row x14ac:dyDescent="0.25" r="309" customHeight="1" ht="18.75">
      <c r="A309" s="71"/>
      <c r="B309" s="71"/>
      <c r="C309" s="72" t="s">
        <v>16</v>
      </c>
      <c r="D309" s="72"/>
      <c r="E309" s="72"/>
      <c r="F309" s="72" t="s">
        <v>342</v>
      </c>
      <c r="G309" s="73">
        <v>20000000</v>
      </c>
      <c r="H309" s="73"/>
      <c r="I309" s="73"/>
      <c r="J309" s="74"/>
      <c r="K309" s="74"/>
      <c r="L309" s="75">
        <v>46185</v>
      </c>
      <c r="M309" s="76">
        <v>46124</v>
      </c>
      <c r="N309" s="72" t="s">
        <v>239</v>
      </c>
      <c r="O309" s="72" t="s">
        <v>343</v>
      </c>
      <c r="P309" s="72" t="s">
        <v>342</v>
      </c>
      <c r="Q309" s="73" t="s">
        <v>344</v>
      </c>
      <c r="R309" s="73" t="s">
        <v>345</v>
      </c>
      <c r="S309" s="76">
        <v>47219</v>
      </c>
      <c r="T309" s="72" t="s">
        <v>346</v>
      </c>
      <c r="U309" s="72" t="s">
        <v>166</v>
      </c>
      <c r="V309" s="71"/>
      <c r="W309" s="56"/>
      <c r="X309" s="56"/>
      <c r="Y309" s="56"/>
      <c r="Z309" s="56"/>
      <c r="AA309" s="56"/>
      <c r="AB309" s="56"/>
    </row>
    <row x14ac:dyDescent="0.25" r="310" customHeight="1" ht="18.75">
      <c r="A310" s="56"/>
      <c r="B310" s="56"/>
      <c r="C310" s="50" t="s">
        <v>16</v>
      </c>
      <c r="D310" s="50" t="s">
        <v>80</v>
      </c>
      <c r="E310" s="50"/>
      <c r="F310" s="50" t="s">
        <v>3065</v>
      </c>
      <c r="G310" s="55">
        <v>10000000</v>
      </c>
      <c r="H310" s="55"/>
      <c r="I310" s="55"/>
      <c r="J310" s="51">
        <v>800000</v>
      </c>
      <c r="K310" s="51"/>
      <c r="L310" s="52">
        <v>46185</v>
      </c>
      <c r="M310" s="53">
        <v>46124</v>
      </c>
      <c r="N310" s="50" t="s">
        <v>168</v>
      </c>
      <c r="O310" s="50" t="s">
        <v>3066</v>
      </c>
      <c r="P310" s="50" t="s">
        <v>3065</v>
      </c>
      <c r="Q310" s="55" t="s">
        <v>3067</v>
      </c>
      <c r="R310" s="55" t="s">
        <v>3068</v>
      </c>
      <c r="S310" s="53">
        <v>47219</v>
      </c>
      <c r="T310" s="50" t="s">
        <v>3069</v>
      </c>
      <c r="U310" s="50" t="s">
        <v>166</v>
      </c>
      <c r="V310" s="56"/>
      <c r="W310" s="56"/>
      <c r="X310" s="56"/>
      <c r="Y310" s="56"/>
      <c r="Z310" s="56"/>
      <c r="AA310" s="56"/>
      <c r="AB310" s="56"/>
    </row>
    <row x14ac:dyDescent="0.25" r="311" customHeight="1" ht="18.75">
      <c r="A311" s="56"/>
      <c r="B311" s="56"/>
      <c r="C311" s="50" t="s">
        <v>16</v>
      </c>
      <c r="D311" s="50"/>
      <c r="E311" s="50"/>
      <c r="F311" s="50" t="s">
        <v>1195</v>
      </c>
      <c r="G311" s="55">
        <v>10000000</v>
      </c>
      <c r="H311" s="55"/>
      <c r="I311" s="55"/>
      <c r="J311" s="51">
        <v>800000</v>
      </c>
      <c r="K311" s="51"/>
      <c r="L311" s="52">
        <v>46126</v>
      </c>
      <c r="M311" s="53">
        <v>46067</v>
      </c>
      <c r="N311" s="50" t="s">
        <v>182</v>
      </c>
      <c r="O311" s="50" t="s">
        <v>1196</v>
      </c>
      <c r="P311" s="50" t="s">
        <v>1195</v>
      </c>
      <c r="Q311" s="55"/>
      <c r="R311" s="55"/>
      <c r="S311" s="53">
        <v>47162</v>
      </c>
      <c r="T311" s="50" t="s">
        <v>1197</v>
      </c>
      <c r="U311" s="50" t="s">
        <v>166</v>
      </c>
      <c r="V311" s="48" t="s">
        <v>70</v>
      </c>
      <c r="W311" s="56"/>
      <c r="X311" s="56"/>
      <c r="Y311" s="56"/>
      <c r="Z311" s="56"/>
      <c r="AA311" s="56"/>
      <c r="AB311" s="56"/>
    </row>
    <row x14ac:dyDescent="0.25" r="312" customHeight="1" ht="18.75">
      <c r="A312" s="56"/>
      <c r="B312" s="56"/>
      <c r="C312" s="50" t="s">
        <v>16</v>
      </c>
      <c r="D312" s="50"/>
      <c r="E312" s="50" t="s">
        <v>481</v>
      </c>
      <c r="F312" s="50" t="s">
        <v>482</v>
      </c>
      <c r="G312" s="55">
        <v>20000000</v>
      </c>
      <c r="H312" s="55"/>
      <c r="I312" s="55"/>
      <c r="J312" s="51">
        <v>500000</v>
      </c>
      <c r="K312" s="51"/>
      <c r="L312" s="52">
        <v>46186</v>
      </c>
      <c r="M312" s="53">
        <v>46125</v>
      </c>
      <c r="N312" s="50" t="s">
        <v>161</v>
      </c>
      <c r="O312" s="50" t="s">
        <v>483</v>
      </c>
      <c r="P312" s="50" t="s">
        <v>482</v>
      </c>
      <c r="Q312" s="55" t="s">
        <v>484</v>
      </c>
      <c r="R312" s="55" t="s">
        <v>485</v>
      </c>
      <c r="S312" s="53">
        <v>47220</v>
      </c>
      <c r="T312" s="50" t="s">
        <v>486</v>
      </c>
      <c r="U312" s="50" t="s">
        <v>166</v>
      </c>
      <c r="V312" s="56"/>
      <c r="W312" s="56"/>
      <c r="X312" s="56"/>
      <c r="Y312" s="56"/>
      <c r="Z312" s="56"/>
      <c r="AA312" s="56"/>
      <c r="AB312" s="56"/>
    </row>
    <row x14ac:dyDescent="0.25" r="313" customHeight="1" ht="18.75">
      <c r="A313" s="63"/>
      <c r="B313" s="63"/>
      <c r="C313" s="49" t="s">
        <v>16</v>
      </c>
      <c r="D313" s="49" t="s">
        <v>80</v>
      </c>
      <c r="E313" s="49" t="s">
        <v>97</v>
      </c>
      <c r="F313" s="49" t="s">
        <v>1201</v>
      </c>
      <c r="G313" s="64">
        <v>10000000</v>
      </c>
      <c r="H313" s="64"/>
      <c r="I313" s="64"/>
      <c r="J313" s="65">
        <f>IF(G313&gt;0,_xludf.IFS(G313=10000000,800000,G313=20000000,1528000,G313=30000000,2028000,G313=60000000,4056000),"")</f>
      </c>
      <c r="K313" s="64"/>
      <c r="L313" s="66">
        <v>46143</v>
      </c>
      <c r="M313" s="67">
        <f>IF(L313&gt;0,EDATE(L313,-2),"")</f>
        <v>25569.375</v>
      </c>
      <c r="N313" s="49" t="s">
        <v>1202</v>
      </c>
      <c r="O313" s="49" t="s">
        <v>1203</v>
      </c>
      <c r="P313" s="68">
        <f>IF(F313&gt;0,F313,"")</f>
      </c>
      <c r="Q313" s="69" t="s">
        <v>1204</v>
      </c>
      <c r="R313" s="69">
        <v>35446943</v>
      </c>
      <c r="S313" s="67">
        <f>IF(ISNUMBER(M313), EDATE(M313,36)-1, "")</f>
        <v>25569.375</v>
      </c>
      <c r="T313" s="49"/>
      <c r="U313" s="49"/>
      <c r="V313" s="63"/>
      <c r="W313" s="56"/>
      <c r="X313" s="56"/>
      <c r="Y313" s="56"/>
      <c r="Z313" s="56"/>
      <c r="AA313" s="56"/>
      <c r="AB313" s="56"/>
    </row>
    <row x14ac:dyDescent="0.25" r="314" customHeight="1" ht="18.75">
      <c r="A314" s="48" t="s">
        <v>152</v>
      </c>
      <c r="B314" s="48"/>
      <c r="C314" s="50" t="s">
        <v>16</v>
      </c>
      <c r="D314" s="50"/>
      <c r="E314" s="50"/>
      <c r="F314" s="50" t="s">
        <v>1201</v>
      </c>
      <c r="G314" s="51">
        <v>10000000</v>
      </c>
      <c r="H314" s="51"/>
      <c r="I314" s="51"/>
      <c r="J314" s="51">
        <v>800000</v>
      </c>
      <c r="K314" s="51"/>
      <c r="L314" s="52">
        <v>46143</v>
      </c>
      <c r="M314" s="53">
        <f>IF(L314&gt;0,EDATE(L314,-2),"")</f>
        <v>25569.375</v>
      </c>
      <c r="N314" s="50" t="s">
        <v>1202</v>
      </c>
      <c r="O314" s="50" t="s">
        <v>1203</v>
      </c>
      <c r="P314" s="54">
        <f>IF(F314&gt;0,F314,"")</f>
      </c>
      <c r="Q314" s="55">
        <v>7411252140326</v>
      </c>
      <c r="R314" s="55">
        <v>35446943</v>
      </c>
      <c r="S314" s="53">
        <f>IF(ISNUMBER(M314), EDATE(M314,36)-1, "")</f>
        <v>25569.375</v>
      </c>
      <c r="T314" s="50"/>
      <c r="U314" s="50"/>
      <c r="V314" s="56" t="s">
        <v>1205</v>
      </c>
      <c r="W314" s="56"/>
      <c r="X314" s="56"/>
      <c r="Y314" s="56"/>
      <c r="Z314" s="56"/>
      <c r="AA314" s="56"/>
      <c r="AB314" s="56"/>
    </row>
    <row x14ac:dyDescent="0.25" r="315" customHeight="1" ht="18.75">
      <c r="A315" s="56"/>
      <c r="B315" s="56"/>
      <c r="C315" s="50" t="s">
        <v>16</v>
      </c>
      <c r="D315" s="50"/>
      <c r="E315" s="50"/>
      <c r="F315" s="50" t="s">
        <v>1206</v>
      </c>
      <c r="G315" s="55">
        <v>10000000</v>
      </c>
      <c r="H315" s="55"/>
      <c r="I315" s="55"/>
      <c r="J315" s="51">
        <v>800000</v>
      </c>
      <c r="K315" s="51"/>
      <c r="L315" s="52">
        <v>46126</v>
      </c>
      <c r="M315" s="53">
        <v>46067</v>
      </c>
      <c r="N315" s="50" t="s">
        <v>282</v>
      </c>
      <c r="O315" s="50" t="s">
        <v>471</v>
      </c>
      <c r="P315" s="50" t="s">
        <v>1206</v>
      </c>
      <c r="Q315" s="55" t="s">
        <v>1207</v>
      </c>
      <c r="R315" s="55" t="s">
        <v>1208</v>
      </c>
      <c r="S315" s="53">
        <v>47162</v>
      </c>
      <c r="T315" s="50" t="s">
        <v>1209</v>
      </c>
      <c r="U315" s="50" t="s">
        <v>166</v>
      </c>
      <c r="V315" s="56"/>
      <c r="W315" s="56"/>
      <c r="X315" s="56"/>
      <c r="Y315" s="56"/>
      <c r="Z315" s="56"/>
      <c r="AA315" s="56"/>
      <c r="AB315" s="56"/>
    </row>
    <row x14ac:dyDescent="0.25" r="316" customHeight="1" ht="18.75">
      <c r="A316" s="48" t="s">
        <v>152</v>
      </c>
      <c r="B316" s="48"/>
      <c r="C316" s="49" t="s">
        <v>16</v>
      </c>
      <c r="D316" s="50"/>
      <c r="E316" s="50"/>
      <c r="F316" s="50" t="s">
        <v>1206</v>
      </c>
      <c r="G316" s="51">
        <v>60000000</v>
      </c>
      <c r="H316" s="51"/>
      <c r="I316" s="51"/>
      <c r="J316" s="87">
        <f>IF(G316&gt;0,_xludf.IFS(G316=10000000,800000,G316=20000000,1528000,G316=30000000,2028000,G316=60000000,4056000),"")</f>
      </c>
      <c r="K316" s="51"/>
      <c r="L316" s="52">
        <v>46188</v>
      </c>
      <c r="M316" s="53">
        <v>46067</v>
      </c>
      <c r="N316" s="50" t="s">
        <v>217</v>
      </c>
      <c r="O316" s="50" t="s">
        <v>1210</v>
      </c>
      <c r="P316" s="54">
        <f>IF(F316&gt;0,F316,"")</f>
      </c>
      <c r="Q316" s="55" t="s">
        <v>1207</v>
      </c>
      <c r="R316" s="55">
        <v>35473850</v>
      </c>
      <c r="S316" s="53">
        <f>IF(ISNUMBER(M316), EDATE(M316,36)-1, "")</f>
        <v>25569.375</v>
      </c>
      <c r="T316" s="50"/>
      <c r="U316" s="50"/>
      <c r="V316" s="48" t="s">
        <v>1211</v>
      </c>
      <c r="W316" s="56"/>
      <c r="X316" s="56"/>
      <c r="Y316" s="56"/>
      <c r="Z316" s="56"/>
      <c r="AA316" s="56"/>
      <c r="AB316" s="56"/>
    </row>
    <row x14ac:dyDescent="0.25" r="317" customHeight="1" ht="18.75">
      <c r="A317" s="56"/>
      <c r="B317" s="56"/>
      <c r="C317" s="49" t="s">
        <v>16</v>
      </c>
      <c r="D317" s="50" t="s">
        <v>410</v>
      </c>
      <c r="E317" s="50" t="s">
        <v>534</v>
      </c>
      <c r="F317" s="50" t="s">
        <v>530</v>
      </c>
      <c r="G317" s="51">
        <v>10000000</v>
      </c>
      <c r="H317" s="51"/>
      <c r="I317" s="51"/>
      <c r="J317" s="51">
        <v>800000</v>
      </c>
      <c r="K317" s="51"/>
      <c r="L317" s="52">
        <v>46186</v>
      </c>
      <c r="M317" s="53">
        <f>IF(L317&gt;0,EDATE(L317,-2),"")</f>
        <v>25569.375</v>
      </c>
      <c r="N317" s="50" t="s">
        <v>168</v>
      </c>
      <c r="O317" s="50" t="s">
        <v>535</v>
      </c>
      <c r="P317" s="54">
        <f>IF(F317&gt;0,F317,"")</f>
      </c>
      <c r="Q317" s="55">
        <v>6501242657511</v>
      </c>
      <c r="R317" s="55">
        <v>27770136</v>
      </c>
      <c r="S317" s="53">
        <f>IF(ISNUMBER(M317), EDATE(M317,36)-1, "")</f>
        <v>25569.375</v>
      </c>
      <c r="T317" s="50"/>
      <c r="U317" s="50"/>
      <c r="V317" s="56"/>
      <c r="W317" s="56"/>
      <c r="X317" s="56"/>
      <c r="Y317" s="56"/>
      <c r="Z317" s="56"/>
      <c r="AA317" s="56"/>
      <c r="AB317" s="56"/>
    </row>
    <row x14ac:dyDescent="0.25" r="318" customHeight="1" ht="18.75">
      <c r="A318" s="71"/>
      <c r="B318" s="71"/>
      <c r="C318" s="72" t="s">
        <v>16</v>
      </c>
      <c r="D318" s="72"/>
      <c r="E318" s="72"/>
      <c r="F318" s="72" t="s">
        <v>920</v>
      </c>
      <c r="G318" s="73">
        <v>10000000</v>
      </c>
      <c r="H318" s="73"/>
      <c r="I318" s="73"/>
      <c r="J318" s="74"/>
      <c r="K318" s="74"/>
      <c r="L318" s="75">
        <v>46186</v>
      </c>
      <c r="M318" s="76">
        <v>46125</v>
      </c>
      <c r="N318" s="72" t="s">
        <v>161</v>
      </c>
      <c r="O318" s="72" t="s">
        <v>921</v>
      </c>
      <c r="P318" s="72" t="s">
        <v>920</v>
      </c>
      <c r="Q318" s="73" t="s">
        <v>922</v>
      </c>
      <c r="R318" s="73" t="s">
        <v>923</v>
      </c>
      <c r="S318" s="76">
        <v>47220</v>
      </c>
      <c r="T318" s="72" t="s">
        <v>924</v>
      </c>
      <c r="U318" s="72" t="s">
        <v>166</v>
      </c>
      <c r="V318" s="71"/>
      <c r="W318" s="56"/>
      <c r="X318" s="56"/>
      <c r="Y318" s="56"/>
      <c r="Z318" s="56"/>
      <c r="AA318" s="56"/>
      <c r="AB318" s="56"/>
    </row>
    <row x14ac:dyDescent="0.25" r="319" customHeight="1" ht="18.75">
      <c r="A319" s="56"/>
      <c r="B319" s="56"/>
      <c r="C319" s="50" t="s">
        <v>16</v>
      </c>
      <c r="D319" s="50"/>
      <c r="E319" s="50"/>
      <c r="F319" s="50" t="s">
        <v>1579</v>
      </c>
      <c r="G319" s="55">
        <v>10000000</v>
      </c>
      <c r="H319" s="55"/>
      <c r="I319" s="55"/>
      <c r="J319" s="51">
        <v>500000</v>
      </c>
      <c r="K319" s="51"/>
      <c r="L319" s="52">
        <v>46186</v>
      </c>
      <c r="M319" s="53">
        <v>46125</v>
      </c>
      <c r="N319" s="50" t="s">
        <v>1580</v>
      </c>
      <c r="O319" s="50" t="s">
        <v>1581</v>
      </c>
      <c r="P319" s="50" t="s">
        <v>1579</v>
      </c>
      <c r="Q319" s="55" t="s">
        <v>1582</v>
      </c>
      <c r="R319" s="55" t="s">
        <v>1583</v>
      </c>
      <c r="S319" s="53">
        <v>47220</v>
      </c>
      <c r="T319" s="50" t="s">
        <v>1584</v>
      </c>
      <c r="U319" s="50" t="s">
        <v>166</v>
      </c>
      <c r="V319" s="56"/>
      <c r="W319" s="56"/>
      <c r="X319" s="56"/>
      <c r="Y319" s="56"/>
      <c r="Z319" s="56"/>
      <c r="AA319" s="56"/>
      <c r="AB319" s="56"/>
    </row>
    <row x14ac:dyDescent="0.25" r="320" customHeight="1" ht="18.75">
      <c r="A320" s="56"/>
      <c r="B320" s="56"/>
      <c r="C320" s="50" t="s">
        <v>13</v>
      </c>
      <c r="D320" s="50"/>
      <c r="E320" s="50"/>
      <c r="F320" s="50" t="s">
        <v>39</v>
      </c>
      <c r="G320" s="55">
        <v>20000000</v>
      </c>
      <c r="H320" s="55"/>
      <c r="I320" s="55"/>
      <c r="J320" s="51">
        <v>1650000</v>
      </c>
      <c r="K320" s="51"/>
      <c r="L320" s="52">
        <v>45774</v>
      </c>
      <c r="M320" s="53">
        <v>45717</v>
      </c>
      <c r="N320" s="50" t="s">
        <v>239</v>
      </c>
      <c r="O320" s="50" t="s">
        <v>1220</v>
      </c>
      <c r="P320" s="50" t="s">
        <v>39</v>
      </c>
      <c r="Q320" s="55" t="s">
        <v>1221</v>
      </c>
      <c r="R320" s="55" t="s">
        <v>1222</v>
      </c>
      <c r="S320" s="53">
        <v>46812</v>
      </c>
      <c r="T320" s="50"/>
      <c r="U320" s="50"/>
      <c r="V320" s="56"/>
      <c r="W320" s="56"/>
      <c r="X320" s="56"/>
      <c r="Y320" s="56"/>
      <c r="Z320" s="56"/>
      <c r="AA320" s="56"/>
      <c r="AB320" s="56"/>
    </row>
    <row x14ac:dyDescent="0.25" r="321" customHeight="1" ht="18.75">
      <c r="A321" s="56"/>
      <c r="B321" s="56"/>
      <c r="C321" s="50" t="s">
        <v>16</v>
      </c>
      <c r="D321" s="50"/>
      <c r="E321" s="50"/>
      <c r="F321" s="50" t="s">
        <v>39</v>
      </c>
      <c r="G321" s="55">
        <v>20000000</v>
      </c>
      <c r="H321" s="55"/>
      <c r="I321" s="55"/>
      <c r="J321" s="51">
        <v>1600000</v>
      </c>
      <c r="K321" s="51"/>
      <c r="L321" s="52">
        <v>45839</v>
      </c>
      <c r="M321" s="53">
        <v>45778</v>
      </c>
      <c r="N321" s="50" t="s">
        <v>239</v>
      </c>
      <c r="O321" s="50" t="s">
        <v>1220</v>
      </c>
      <c r="P321" s="50" t="s">
        <v>39</v>
      </c>
      <c r="Q321" s="55" t="s">
        <v>1221</v>
      </c>
      <c r="R321" s="55" t="s">
        <v>1222</v>
      </c>
      <c r="S321" s="53">
        <v>46873</v>
      </c>
      <c r="T321" s="50"/>
      <c r="U321" s="50"/>
      <c r="V321" s="56"/>
      <c r="W321" s="56"/>
      <c r="X321" s="56"/>
      <c r="Y321" s="56"/>
      <c r="Z321" s="56"/>
      <c r="AA321" s="56"/>
      <c r="AB321" s="56"/>
    </row>
    <row x14ac:dyDescent="0.25" r="322" customHeight="1" ht="18.75">
      <c r="A322" s="56"/>
      <c r="B322" s="56"/>
      <c r="C322" s="50" t="s">
        <v>16</v>
      </c>
      <c r="D322" s="50"/>
      <c r="E322" s="50"/>
      <c r="F322" s="50" t="s">
        <v>39</v>
      </c>
      <c r="G322" s="55">
        <v>20000000</v>
      </c>
      <c r="H322" s="55"/>
      <c r="I322" s="55"/>
      <c r="J322" s="51">
        <v>1600000</v>
      </c>
      <c r="K322" s="51"/>
      <c r="L322" s="52">
        <v>45902</v>
      </c>
      <c r="M322" s="53">
        <v>45840</v>
      </c>
      <c r="N322" s="50" t="s">
        <v>239</v>
      </c>
      <c r="O322" s="50" t="s">
        <v>1220</v>
      </c>
      <c r="P322" s="50" t="s">
        <v>39</v>
      </c>
      <c r="Q322" s="55" t="s">
        <v>1221</v>
      </c>
      <c r="R322" s="55" t="s">
        <v>1222</v>
      </c>
      <c r="S322" s="53">
        <v>46935</v>
      </c>
      <c r="T322" s="50"/>
      <c r="U322" s="50"/>
      <c r="V322" s="56"/>
      <c r="W322" s="56"/>
      <c r="X322" s="56"/>
      <c r="Y322" s="56"/>
      <c r="Z322" s="56"/>
      <c r="AA322" s="56"/>
      <c r="AB322" s="56"/>
    </row>
    <row x14ac:dyDescent="0.25" r="323" customHeight="1" ht="18.75">
      <c r="A323" s="56"/>
      <c r="B323" s="56"/>
      <c r="C323" s="50" t="s">
        <v>16</v>
      </c>
      <c r="D323" s="50"/>
      <c r="E323" s="50"/>
      <c r="F323" s="50" t="s">
        <v>1223</v>
      </c>
      <c r="G323" s="55">
        <v>30000000</v>
      </c>
      <c r="H323" s="55"/>
      <c r="I323" s="55"/>
      <c r="J323" s="51">
        <v>2058000</v>
      </c>
      <c r="K323" s="51"/>
      <c r="L323" s="52">
        <v>45996</v>
      </c>
      <c r="M323" s="53">
        <v>45935</v>
      </c>
      <c r="N323" s="50" t="s">
        <v>379</v>
      </c>
      <c r="O323" s="50" t="s">
        <v>1224</v>
      </c>
      <c r="P323" s="50" t="s">
        <v>1223</v>
      </c>
      <c r="Q323" s="55" t="s">
        <v>1225</v>
      </c>
      <c r="R323" s="55" t="s">
        <v>1226</v>
      </c>
      <c r="S323" s="53">
        <v>47030</v>
      </c>
      <c r="T323" s="50"/>
      <c r="U323" s="50"/>
      <c r="V323" s="56"/>
      <c r="W323" s="56"/>
      <c r="X323" s="56"/>
      <c r="Y323" s="56"/>
      <c r="Z323" s="56"/>
      <c r="AA323" s="56"/>
      <c r="AB323" s="56"/>
    </row>
    <row x14ac:dyDescent="0.25" r="324" customHeight="1" ht="18.75">
      <c r="A324" s="56"/>
      <c r="B324" s="56"/>
      <c r="C324" s="50" t="s">
        <v>16</v>
      </c>
      <c r="D324" s="50"/>
      <c r="E324" s="50" t="s">
        <v>18</v>
      </c>
      <c r="F324" s="50" t="s">
        <v>40</v>
      </c>
      <c r="G324" s="55">
        <v>20000000</v>
      </c>
      <c r="H324" s="55"/>
      <c r="I324" s="55"/>
      <c r="J324" s="51">
        <v>1528000</v>
      </c>
      <c r="K324" s="51"/>
      <c r="L324" s="52">
        <v>46108</v>
      </c>
      <c r="M324" s="53">
        <v>46049</v>
      </c>
      <c r="N324" s="50" t="s">
        <v>182</v>
      </c>
      <c r="O324" s="50" t="s">
        <v>1227</v>
      </c>
      <c r="P324" s="50" t="s">
        <v>40</v>
      </c>
      <c r="Q324" s="55" t="s">
        <v>1228</v>
      </c>
      <c r="R324" s="55" t="s">
        <v>1229</v>
      </c>
      <c r="S324" s="53">
        <v>47144</v>
      </c>
      <c r="T324" s="50"/>
      <c r="U324" s="50" t="s">
        <v>166</v>
      </c>
      <c r="V324" s="48" t="s">
        <v>3272</v>
      </c>
      <c r="W324" s="56"/>
      <c r="X324" s="56"/>
      <c r="Y324" s="56"/>
      <c r="Z324" s="56"/>
      <c r="AA324" s="56"/>
      <c r="AB324" s="56"/>
    </row>
    <row x14ac:dyDescent="0.25" r="325" customHeight="1" ht="18.75">
      <c r="A325" s="56"/>
      <c r="B325" s="56"/>
      <c r="C325" s="50" t="s">
        <v>16</v>
      </c>
      <c r="D325" s="50"/>
      <c r="E325" s="50" t="s">
        <v>2059</v>
      </c>
      <c r="F325" s="50" t="s">
        <v>2060</v>
      </c>
      <c r="G325" s="55">
        <v>10000000</v>
      </c>
      <c r="H325" s="55"/>
      <c r="I325" s="55"/>
      <c r="J325" s="51">
        <v>500000</v>
      </c>
      <c r="K325" s="51"/>
      <c r="L325" s="52">
        <v>46186</v>
      </c>
      <c r="M325" s="53">
        <v>46125</v>
      </c>
      <c r="N325" s="50" t="s">
        <v>2061</v>
      </c>
      <c r="O325" s="50" t="s">
        <v>2062</v>
      </c>
      <c r="P325" s="50" t="s">
        <v>2060</v>
      </c>
      <c r="Q325" s="55" t="s">
        <v>2063</v>
      </c>
      <c r="R325" s="55" t="s">
        <v>2064</v>
      </c>
      <c r="S325" s="53">
        <v>47220</v>
      </c>
      <c r="T325" s="50" t="s">
        <v>2065</v>
      </c>
      <c r="U325" s="50" t="s">
        <v>166</v>
      </c>
      <c r="V325" s="56"/>
      <c r="W325" s="56"/>
      <c r="X325" s="56"/>
      <c r="Y325" s="56"/>
      <c r="Z325" s="56"/>
      <c r="AA325" s="56"/>
      <c r="AB325" s="56"/>
    </row>
    <row x14ac:dyDescent="0.25" r="326" customHeight="1" ht="18.75">
      <c r="A326" s="56"/>
      <c r="B326" s="56"/>
      <c r="C326" s="50" t="s">
        <v>16</v>
      </c>
      <c r="D326" s="50"/>
      <c r="E326" s="50"/>
      <c r="F326" s="50" t="s">
        <v>42</v>
      </c>
      <c r="G326" s="55">
        <v>20000000</v>
      </c>
      <c r="H326" s="55"/>
      <c r="I326" s="55"/>
      <c r="J326" s="51">
        <v>1528000</v>
      </c>
      <c r="K326" s="51"/>
      <c r="L326" s="52">
        <v>46081</v>
      </c>
      <c r="M326" s="53">
        <v>46019</v>
      </c>
      <c r="N326" s="50" t="s">
        <v>212</v>
      </c>
      <c r="O326" s="50" t="s">
        <v>1231</v>
      </c>
      <c r="P326" s="50" t="s">
        <v>42</v>
      </c>
      <c r="Q326" s="55" t="s">
        <v>1232</v>
      </c>
      <c r="R326" s="55" t="s">
        <v>1233</v>
      </c>
      <c r="S326" s="53">
        <v>47114</v>
      </c>
      <c r="T326" s="50"/>
      <c r="U326" s="50"/>
      <c r="V326" s="56"/>
      <c r="W326" s="56"/>
      <c r="X326" s="56"/>
      <c r="Y326" s="56"/>
      <c r="Z326" s="56"/>
      <c r="AA326" s="56"/>
      <c r="AB326" s="56"/>
    </row>
    <row x14ac:dyDescent="0.25" r="327" customHeight="1" ht="18.75">
      <c r="A327" s="71"/>
      <c r="B327" s="71"/>
      <c r="C327" s="72" t="s">
        <v>16</v>
      </c>
      <c r="D327" s="72"/>
      <c r="E327" s="72"/>
      <c r="F327" s="72" t="s">
        <v>43</v>
      </c>
      <c r="G327" s="73">
        <v>10000000</v>
      </c>
      <c r="H327" s="73"/>
      <c r="I327" s="73"/>
      <c r="J327" s="74"/>
      <c r="K327" s="74"/>
      <c r="L327" s="75">
        <v>46168</v>
      </c>
      <c r="M327" s="76">
        <v>46107</v>
      </c>
      <c r="N327" s="72" t="s">
        <v>161</v>
      </c>
      <c r="O327" s="72" t="s">
        <v>1234</v>
      </c>
      <c r="P327" s="72" t="s">
        <v>43</v>
      </c>
      <c r="Q327" s="73" t="s">
        <v>1235</v>
      </c>
      <c r="R327" s="73" t="s">
        <v>1236</v>
      </c>
      <c r="S327" s="76">
        <v>47202</v>
      </c>
      <c r="T327" s="72" t="s">
        <v>44</v>
      </c>
      <c r="U327" s="72" t="s">
        <v>293</v>
      </c>
      <c r="V327" s="71"/>
      <c r="W327" s="56"/>
      <c r="X327" s="56"/>
      <c r="Y327" s="56"/>
      <c r="Z327" s="56"/>
      <c r="AA327" s="56"/>
      <c r="AB327" s="56"/>
    </row>
    <row x14ac:dyDescent="0.25" r="328" customHeight="1" ht="18.75">
      <c r="A328" s="56"/>
      <c r="B328" s="56"/>
      <c r="C328" s="50" t="s">
        <v>16</v>
      </c>
      <c r="D328" s="50" t="s">
        <v>48</v>
      </c>
      <c r="E328" s="50" t="s">
        <v>1958</v>
      </c>
      <c r="F328" s="50" t="s">
        <v>2673</v>
      </c>
      <c r="G328" s="55">
        <v>10000000</v>
      </c>
      <c r="H328" s="55"/>
      <c r="I328" s="55"/>
      <c r="J328" s="51">
        <v>500000</v>
      </c>
      <c r="K328" s="51"/>
      <c r="L328" s="52">
        <v>46186</v>
      </c>
      <c r="M328" s="53">
        <v>46125</v>
      </c>
      <c r="N328" s="50" t="s">
        <v>239</v>
      </c>
      <c r="O328" s="50" t="s">
        <v>2674</v>
      </c>
      <c r="P328" s="50" t="s">
        <v>2673</v>
      </c>
      <c r="Q328" s="55" t="s">
        <v>2675</v>
      </c>
      <c r="R328" s="55" t="s">
        <v>2676</v>
      </c>
      <c r="S328" s="53">
        <v>47220</v>
      </c>
      <c r="T328" s="50" t="s">
        <v>2677</v>
      </c>
      <c r="U328" s="50" t="s">
        <v>166</v>
      </c>
      <c r="V328" s="56"/>
      <c r="W328" s="56"/>
      <c r="X328" s="56"/>
      <c r="Y328" s="56"/>
      <c r="Z328" s="56"/>
      <c r="AA328" s="56"/>
      <c r="AB328" s="56"/>
    </row>
    <row x14ac:dyDescent="0.25" r="329" customHeight="1" ht="18.75">
      <c r="A329" s="56"/>
      <c r="B329" s="56"/>
      <c r="C329" s="50" t="s">
        <v>16</v>
      </c>
      <c r="D329" s="50"/>
      <c r="E329" s="50" t="s">
        <v>64</v>
      </c>
      <c r="F329" s="50" t="s">
        <v>1240</v>
      </c>
      <c r="G329" s="55">
        <v>10000000</v>
      </c>
      <c r="H329" s="55"/>
      <c r="I329" s="55"/>
      <c r="J329" s="51">
        <v>500000</v>
      </c>
      <c r="K329" s="51"/>
      <c r="L329" s="52">
        <v>46161</v>
      </c>
      <c r="M329" s="53">
        <v>46100</v>
      </c>
      <c r="N329" s="50" t="s">
        <v>168</v>
      </c>
      <c r="O329" s="50" t="s">
        <v>1241</v>
      </c>
      <c r="P329" s="50" t="s">
        <v>1240</v>
      </c>
      <c r="Q329" s="55" t="s">
        <v>3273</v>
      </c>
      <c r="R329" s="55" t="s">
        <v>3274</v>
      </c>
      <c r="S329" s="53">
        <v>47195</v>
      </c>
      <c r="T329" s="50"/>
      <c r="U329" s="50" t="s">
        <v>166</v>
      </c>
      <c r="V329" s="56"/>
      <c r="W329" s="56"/>
      <c r="X329" s="56"/>
      <c r="Y329" s="56"/>
      <c r="Z329" s="56"/>
      <c r="AA329" s="56"/>
      <c r="AB329" s="56"/>
    </row>
    <row x14ac:dyDescent="0.25" r="330" customHeight="1" ht="18.75">
      <c r="A330" s="63" t="s">
        <v>1239</v>
      </c>
      <c r="B330" s="63"/>
      <c r="C330" s="49" t="s">
        <v>16</v>
      </c>
      <c r="D330" s="49" t="s">
        <v>48</v>
      </c>
      <c r="E330" s="49" t="s">
        <v>64</v>
      </c>
      <c r="F330" s="49" t="s">
        <v>1240</v>
      </c>
      <c r="G330" s="64">
        <v>10000000</v>
      </c>
      <c r="H330" s="64"/>
      <c r="I330" s="64"/>
      <c r="J330" s="65">
        <f>IF(G330&gt;0,_xludf.IFS(G330=10000000,800000,G330=20000000,1528000,G330=30000000,2028000,G330=60000000,4056000),"")</f>
      </c>
      <c r="K330" s="64"/>
      <c r="L330" s="66">
        <v>46161</v>
      </c>
      <c r="M330" s="67">
        <f>IF(L330&gt;0,EDATE(L330,-2),"")</f>
        <v>25569.375</v>
      </c>
      <c r="N330" s="49" t="s">
        <v>168</v>
      </c>
      <c r="O330" s="49" t="s">
        <v>1241</v>
      </c>
      <c r="P330" s="68">
        <f>IF(F330&gt;0,F330,"")</f>
      </c>
      <c r="Q330" s="69" t="s">
        <v>1242</v>
      </c>
      <c r="R330" s="69">
        <v>94534435</v>
      </c>
      <c r="S330" s="67">
        <f>IF(ISNUMBER(M330), EDATE(M330,36)-1, "")</f>
        <v>25569.375</v>
      </c>
      <c r="T330" s="49"/>
      <c r="U330" s="49"/>
      <c r="V330" s="63" t="s">
        <v>3275</v>
      </c>
      <c r="W330" s="56"/>
      <c r="X330" s="56"/>
      <c r="Y330" s="56"/>
      <c r="Z330" s="56"/>
      <c r="AA330" s="56"/>
      <c r="AB330" s="56"/>
    </row>
    <row x14ac:dyDescent="0.25" r="331" customHeight="1" ht="18.75">
      <c r="A331" s="63" t="s">
        <v>252</v>
      </c>
      <c r="B331" s="63"/>
      <c r="C331" s="49" t="s">
        <v>16</v>
      </c>
      <c r="D331" s="49"/>
      <c r="E331" s="49"/>
      <c r="F331" s="49" t="s">
        <v>1240</v>
      </c>
      <c r="G331" s="64">
        <v>10000000</v>
      </c>
      <c r="H331" s="64"/>
      <c r="I331" s="64"/>
      <c r="J331" s="65">
        <f>IF(G331&gt;0,_xludf.IFS(G331=10000000,800000,G331=20000000,1528000,G331=30000000,2028000,G331=60000000,4056000),"")</f>
      </c>
      <c r="K331" s="64"/>
      <c r="L331" s="66">
        <v>46161</v>
      </c>
      <c r="M331" s="67">
        <f>IF(L331&gt;0,EDATE(L331,-2),"")</f>
        <v>25569.375</v>
      </c>
      <c r="N331" s="49" t="s">
        <v>168</v>
      </c>
      <c r="O331" s="49" t="s">
        <v>1241</v>
      </c>
      <c r="P331" s="68">
        <f>IF(F331&gt;0,F331,"")</f>
      </c>
      <c r="Q331" s="69" t="s">
        <v>1242</v>
      </c>
      <c r="R331" s="69">
        <v>94534435</v>
      </c>
      <c r="S331" s="67">
        <f>IF(ISNUMBER(M331), EDATE(M331,36)-1, "")</f>
        <v>25569.375</v>
      </c>
      <c r="T331" s="49"/>
      <c r="U331" s="49"/>
      <c r="V331" s="63" t="s">
        <v>1243</v>
      </c>
      <c r="W331" s="56"/>
      <c r="X331" s="56"/>
      <c r="Y331" s="56"/>
      <c r="Z331" s="56"/>
      <c r="AA331" s="56"/>
      <c r="AB331" s="56"/>
    </row>
    <row x14ac:dyDescent="0.25" r="332" customHeight="1" ht="18.75">
      <c r="A332" s="56"/>
      <c r="B332" s="56"/>
      <c r="C332" s="50" t="s">
        <v>16</v>
      </c>
      <c r="D332" s="50"/>
      <c r="E332" s="50"/>
      <c r="F332" s="50" t="s">
        <v>1244</v>
      </c>
      <c r="G332" s="55">
        <v>10000000</v>
      </c>
      <c r="H332" s="55"/>
      <c r="I332" s="55"/>
      <c r="J332" s="51">
        <v>800000</v>
      </c>
      <c r="K332" s="51"/>
      <c r="L332" s="52">
        <v>46146</v>
      </c>
      <c r="M332" s="53">
        <v>46085</v>
      </c>
      <c r="N332" s="50" t="s">
        <v>168</v>
      </c>
      <c r="O332" s="50" t="s">
        <v>1245</v>
      </c>
      <c r="P332" s="50" t="s">
        <v>1244</v>
      </c>
      <c r="Q332" s="55" t="s">
        <v>1246</v>
      </c>
      <c r="R332" s="55" t="s">
        <v>1247</v>
      </c>
      <c r="S332" s="53">
        <v>47180</v>
      </c>
      <c r="T332" s="50" t="s">
        <v>1248</v>
      </c>
      <c r="U332" s="50" t="s">
        <v>179</v>
      </c>
      <c r="V332" s="56"/>
      <c r="W332" s="56"/>
      <c r="X332" s="56"/>
      <c r="Y332" s="56"/>
      <c r="Z332" s="56"/>
      <c r="AA332" s="56"/>
      <c r="AB332" s="56"/>
    </row>
    <row x14ac:dyDescent="0.25" r="333" customHeight="1" ht="18.75">
      <c r="A333" s="56"/>
      <c r="B333" s="56"/>
      <c r="C333" s="49" t="s">
        <v>16</v>
      </c>
      <c r="D333" s="50" t="s">
        <v>877</v>
      </c>
      <c r="E333" s="50" t="s">
        <v>92</v>
      </c>
      <c r="F333" s="50" t="s">
        <v>1249</v>
      </c>
      <c r="G333" s="51">
        <v>20000000</v>
      </c>
      <c r="H333" s="51"/>
      <c r="I333" s="51"/>
      <c r="J333" s="51">
        <v>1528000</v>
      </c>
      <c r="K333" s="51"/>
      <c r="L333" s="52">
        <v>46102</v>
      </c>
      <c r="M333" s="53">
        <f>IF(L333&gt;0,EDATE(L333,-2),"")</f>
        <v>25569.375</v>
      </c>
      <c r="N333" s="50" t="s">
        <v>155</v>
      </c>
      <c r="O333" s="50" t="s">
        <v>1250</v>
      </c>
      <c r="P333" s="54">
        <f>IF(F333&gt;0,F333,"")</f>
      </c>
      <c r="Q333" s="55">
        <v>609064074915</v>
      </c>
      <c r="R333" s="55">
        <v>80776965</v>
      </c>
      <c r="S333" s="53">
        <f>IF(ISNUMBER(M333), EDATE(M333,36)-1, "")</f>
        <v>25569.375</v>
      </c>
      <c r="T333" s="50"/>
      <c r="U333" s="50"/>
      <c r="V333" s="56"/>
      <c r="W333" s="56"/>
      <c r="X333" s="56"/>
      <c r="Y333" s="56"/>
      <c r="Z333" s="56"/>
      <c r="AA333" s="56"/>
      <c r="AB333" s="56"/>
    </row>
    <row x14ac:dyDescent="0.25" r="334" customHeight="1" ht="18.75">
      <c r="A334" s="56"/>
      <c r="B334" s="56"/>
      <c r="C334" s="50" t="s">
        <v>16</v>
      </c>
      <c r="D334" s="50"/>
      <c r="E334" s="50"/>
      <c r="F334" s="50" t="s">
        <v>1251</v>
      </c>
      <c r="G334" s="55">
        <v>30000000</v>
      </c>
      <c r="H334" s="55"/>
      <c r="I334" s="55"/>
      <c r="J334" s="51">
        <v>2400000</v>
      </c>
      <c r="K334" s="51"/>
      <c r="L334" s="52">
        <v>45896</v>
      </c>
      <c r="M334" s="53">
        <v>45835</v>
      </c>
      <c r="N334" s="50" t="s">
        <v>282</v>
      </c>
      <c r="O334" s="50" t="s">
        <v>1252</v>
      </c>
      <c r="P334" s="50" t="s">
        <v>1251</v>
      </c>
      <c r="Q334" s="55" t="s">
        <v>1253</v>
      </c>
      <c r="R334" s="55" t="s">
        <v>1254</v>
      </c>
      <c r="S334" s="53">
        <v>46930</v>
      </c>
      <c r="T334" s="50"/>
      <c r="U334" s="50"/>
      <c r="V334" s="56"/>
      <c r="W334" s="56"/>
      <c r="X334" s="56"/>
      <c r="Y334" s="56"/>
      <c r="Z334" s="56"/>
      <c r="AA334" s="56"/>
      <c r="AB334" s="56"/>
    </row>
    <row x14ac:dyDescent="0.25" r="335" customHeight="1" ht="18.75">
      <c r="A335" s="56"/>
      <c r="B335" s="56"/>
      <c r="C335" s="50" t="s">
        <v>16</v>
      </c>
      <c r="D335" s="50"/>
      <c r="E335" s="50"/>
      <c r="F335" s="50" t="s">
        <v>1251</v>
      </c>
      <c r="G335" s="55">
        <v>30000000</v>
      </c>
      <c r="H335" s="55"/>
      <c r="I335" s="55"/>
      <c r="J335" s="51">
        <v>2400000</v>
      </c>
      <c r="K335" s="51"/>
      <c r="L335" s="52">
        <v>45944</v>
      </c>
      <c r="M335" s="53">
        <v>45848</v>
      </c>
      <c r="N335" s="50" t="s">
        <v>282</v>
      </c>
      <c r="O335" s="50" t="s">
        <v>1252</v>
      </c>
      <c r="P335" s="50" t="s">
        <v>1251</v>
      </c>
      <c r="Q335" s="55" t="s">
        <v>1253</v>
      </c>
      <c r="R335" s="55" t="s">
        <v>1254</v>
      </c>
      <c r="S335" s="53">
        <v>46978</v>
      </c>
      <c r="T335" s="50"/>
      <c r="U335" s="50"/>
      <c r="V335" s="56"/>
      <c r="W335" s="56"/>
      <c r="X335" s="56"/>
      <c r="Y335" s="56"/>
      <c r="Z335" s="56"/>
      <c r="AA335" s="56"/>
      <c r="AB335" s="56"/>
    </row>
    <row x14ac:dyDescent="0.25" r="336" customHeight="1" ht="18.75">
      <c r="A336" s="56"/>
      <c r="B336" s="56"/>
      <c r="C336" s="50" t="s">
        <v>16</v>
      </c>
      <c r="D336" s="50"/>
      <c r="E336" s="50"/>
      <c r="F336" s="50" t="s">
        <v>1255</v>
      </c>
      <c r="G336" s="55">
        <v>30000000</v>
      </c>
      <c r="H336" s="55"/>
      <c r="I336" s="55"/>
      <c r="J336" s="51">
        <v>2028000</v>
      </c>
      <c r="K336" s="51"/>
      <c r="L336" s="52">
        <v>46162</v>
      </c>
      <c r="M336" s="53">
        <v>46101</v>
      </c>
      <c r="N336" s="50" t="s">
        <v>161</v>
      </c>
      <c r="O336" s="50" t="s">
        <v>1256</v>
      </c>
      <c r="P336" s="50" t="s">
        <v>1255</v>
      </c>
      <c r="Q336" s="55" t="s">
        <v>1257</v>
      </c>
      <c r="R336" s="55" t="s">
        <v>1258</v>
      </c>
      <c r="S336" s="53">
        <v>47196</v>
      </c>
      <c r="T336" s="50" t="s">
        <v>1259</v>
      </c>
      <c r="U336" s="50" t="s">
        <v>166</v>
      </c>
      <c r="V336" s="56"/>
      <c r="W336" s="56"/>
      <c r="X336" s="56"/>
      <c r="Y336" s="56"/>
      <c r="Z336" s="56"/>
      <c r="AA336" s="56"/>
      <c r="AB336" s="56"/>
    </row>
    <row x14ac:dyDescent="0.25" r="337" customHeight="1" ht="18.75">
      <c r="A337" s="56"/>
      <c r="B337" s="56"/>
      <c r="C337" s="50" t="s">
        <v>16</v>
      </c>
      <c r="D337" s="50"/>
      <c r="E337" s="50" t="s">
        <v>1260</v>
      </c>
      <c r="F337" s="50" t="s">
        <v>1261</v>
      </c>
      <c r="G337" s="55">
        <v>20000000</v>
      </c>
      <c r="H337" s="55"/>
      <c r="I337" s="55"/>
      <c r="J337" s="51">
        <v>1528000</v>
      </c>
      <c r="K337" s="51"/>
      <c r="L337" s="52">
        <v>46147</v>
      </c>
      <c r="M337" s="53">
        <v>46086</v>
      </c>
      <c r="N337" s="50" t="s">
        <v>161</v>
      </c>
      <c r="O337" s="50" t="s">
        <v>1262</v>
      </c>
      <c r="P337" s="50" t="s">
        <v>1261</v>
      </c>
      <c r="Q337" s="55" t="s">
        <v>1263</v>
      </c>
      <c r="R337" s="55" t="s">
        <v>1264</v>
      </c>
      <c r="S337" s="53">
        <v>47181</v>
      </c>
      <c r="T337" s="50" t="s">
        <v>1265</v>
      </c>
      <c r="U337" s="50" t="s">
        <v>166</v>
      </c>
      <c r="V337" s="56"/>
      <c r="W337" s="56"/>
      <c r="X337" s="56"/>
      <c r="Y337" s="56"/>
      <c r="Z337" s="56"/>
      <c r="AA337" s="56"/>
      <c r="AB337" s="56"/>
    </row>
    <row x14ac:dyDescent="0.25" r="338" customHeight="1" ht="18.75">
      <c r="A338" s="56"/>
      <c r="B338" s="56"/>
      <c r="C338" s="49" t="s">
        <v>16</v>
      </c>
      <c r="D338" s="50"/>
      <c r="E338" s="50"/>
      <c r="F338" s="50" t="s">
        <v>1266</v>
      </c>
      <c r="G338" s="51">
        <v>20000000</v>
      </c>
      <c r="H338" s="51"/>
      <c r="I338" s="51"/>
      <c r="J338" s="87">
        <f>IF(G338&gt;0,_xludf.IFS(G338=10000000,800000,G338=20000000,1528000,G338=30000000,2028000,G338=60000000,4056000),"")</f>
      </c>
      <c r="K338" s="51"/>
      <c r="L338" s="52">
        <v>46147</v>
      </c>
      <c r="M338" s="53">
        <v>46087</v>
      </c>
      <c r="N338" s="50" t="s">
        <v>155</v>
      </c>
      <c r="O338" s="50" t="s">
        <v>1262</v>
      </c>
      <c r="P338" s="54">
        <f>IF(F338&gt;0,F338,"")</f>
      </c>
      <c r="Q338" s="55" t="s">
        <v>1263</v>
      </c>
      <c r="R338" s="55">
        <v>64337585</v>
      </c>
      <c r="S338" s="53">
        <f>IF(ISNUMBER(M338), EDATE(M338,36)-1, "")</f>
        <v>25569.375</v>
      </c>
      <c r="T338" s="50"/>
      <c r="U338" s="50"/>
      <c r="V338" s="56"/>
      <c r="W338" s="56"/>
      <c r="X338" s="56"/>
      <c r="Y338" s="56"/>
      <c r="Z338" s="56"/>
      <c r="AA338" s="56"/>
      <c r="AB338" s="56"/>
    </row>
    <row x14ac:dyDescent="0.25" r="339" customHeight="1" ht="18.75">
      <c r="A339" s="56"/>
      <c r="B339" s="56"/>
      <c r="C339" s="50" t="s">
        <v>16</v>
      </c>
      <c r="D339" s="50"/>
      <c r="E339" s="50"/>
      <c r="F339" s="50" t="s">
        <v>862</v>
      </c>
      <c r="G339" s="55">
        <v>10000000</v>
      </c>
      <c r="H339" s="55"/>
      <c r="I339" s="55"/>
      <c r="J339" s="51">
        <v>800000</v>
      </c>
      <c r="K339" s="51"/>
      <c r="L339" s="52">
        <v>46042</v>
      </c>
      <c r="M339" s="53">
        <v>45981</v>
      </c>
      <c r="N339" s="50" t="s">
        <v>234</v>
      </c>
      <c r="O339" s="50" t="s">
        <v>1267</v>
      </c>
      <c r="P339" s="50" t="s">
        <v>862</v>
      </c>
      <c r="Q339" s="55" t="s">
        <v>1268</v>
      </c>
      <c r="R339" s="55" t="s">
        <v>1269</v>
      </c>
      <c r="S339" s="53">
        <v>47076</v>
      </c>
      <c r="T339" s="50"/>
      <c r="U339" s="50"/>
      <c r="V339" s="56"/>
      <c r="W339" s="56"/>
      <c r="X339" s="56"/>
      <c r="Y339" s="56"/>
      <c r="Z339" s="56"/>
      <c r="AA339" s="56"/>
      <c r="AB339" s="56"/>
    </row>
    <row x14ac:dyDescent="0.25" r="340" customHeight="1" ht="18.75">
      <c r="A340" s="56"/>
      <c r="B340" s="56"/>
      <c r="C340" s="50" t="s">
        <v>16</v>
      </c>
      <c r="D340" s="50"/>
      <c r="E340" s="50"/>
      <c r="F340" s="50" t="s">
        <v>1270</v>
      </c>
      <c r="G340" s="55">
        <v>10000000</v>
      </c>
      <c r="H340" s="55"/>
      <c r="I340" s="55"/>
      <c r="J340" s="51">
        <v>800000</v>
      </c>
      <c r="K340" s="51"/>
      <c r="L340" s="52">
        <v>46040</v>
      </c>
      <c r="M340" s="53">
        <v>45979</v>
      </c>
      <c r="N340" s="50" t="s">
        <v>940</v>
      </c>
      <c r="O340" s="50" t="s">
        <v>1271</v>
      </c>
      <c r="P340" s="50" t="s">
        <v>1270</v>
      </c>
      <c r="Q340" s="55" t="s">
        <v>1272</v>
      </c>
      <c r="R340" s="55" t="s">
        <v>1273</v>
      </c>
      <c r="S340" s="53">
        <v>47074</v>
      </c>
      <c r="T340" s="50"/>
      <c r="U340" s="50"/>
      <c r="V340" s="56"/>
      <c r="W340" s="56"/>
      <c r="X340" s="56"/>
      <c r="Y340" s="56"/>
      <c r="Z340" s="56"/>
      <c r="AA340" s="56"/>
      <c r="AB340" s="56"/>
    </row>
    <row x14ac:dyDescent="0.25" r="341" customHeight="1" ht="18.75">
      <c r="A341" s="56"/>
      <c r="B341" s="56"/>
      <c r="C341" s="50" t="s">
        <v>16</v>
      </c>
      <c r="D341" s="50"/>
      <c r="E341" s="50"/>
      <c r="F341" s="50" t="s">
        <v>1270</v>
      </c>
      <c r="G341" s="55">
        <v>20000000</v>
      </c>
      <c r="H341" s="55"/>
      <c r="I341" s="55"/>
      <c r="J341" s="51">
        <v>1528000</v>
      </c>
      <c r="K341" s="51"/>
      <c r="L341" s="52">
        <v>46046</v>
      </c>
      <c r="M341" s="53">
        <v>45985</v>
      </c>
      <c r="N341" s="50" t="s">
        <v>205</v>
      </c>
      <c r="O341" s="50" t="s">
        <v>1271</v>
      </c>
      <c r="P341" s="50" t="s">
        <v>1270</v>
      </c>
      <c r="Q341" s="55" t="s">
        <v>1272</v>
      </c>
      <c r="R341" s="55" t="s">
        <v>1273</v>
      </c>
      <c r="S341" s="53">
        <v>47080</v>
      </c>
      <c r="T341" s="50"/>
      <c r="U341" s="50"/>
      <c r="V341" s="56"/>
      <c r="W341" s="56"/>
      <c r="X341" s="56"/>
      <c r="Y341" s="56"/>
      <c r="Z341" s="56"/>
      <c r="AA341" s="56"/>
      <c r="AB341" s="56"/>
    </row>
    <row x14ac:dyDescent="0.25" r="342" customHeight="1" ht="18.75">
      <c r="A342" s="56"/>
      <c r="B342" s="56"/>
      <c r="C342" s="50" t="s">
        <v>16</v>
      </c>
      <c r="D342" s="50"/>
      <c r="E342" s="50" t="s">
        <v>75</v>
      </c>
      <c r="F342" s="50" t="s">
        <v>1275</v>
      </c>
      <c r="G342" s="55">
        <v>10000000</v>
      </c>
      <c r="H342" s="55"/>
      <c r="I342" s="55"/>
      <c r="J342" s="51">
        <v>500000</v>
      </c>
      <c r="K342" s="51"/>
      <c r="L342" s="52">
        <v>46154</v>
      </c>
      <c r="M342" s="53">
        <v>46093</v>
      </c>
      <c r="N342" s="50" t="s">
        <v>302</v>
      </c>
      <c r="O342" s="50" t="s">
        <v>1276</v>
      </c>
      <c r="P342" s="50" t="s">
        <v>1275</v>
      </c>
      <c r="Q342" s="55" t="s">
        <v>1277</v>
      </c>
      <c r="R342" s="55" t="s">
        <v>1278</v>
      </c>
      <c r="S342" s="53">
        <v>47188</v>
      </c>
      <c r="T342" s="50" t="s">
        <v>1279</v>
      </c>
      <c r="U342" s="50" t="s">
        <v>166</v>
      </c>
      <c r="V342" s="56"/>
      <c r="W342" s="56"/>
      <c r="X342" s="56"/>
      <c r="Y342" s="56"/>
      <c r="Z342" s="56"/>
      <c r="AA342" s="56"/>
      <c r="AB342" s="56"/>
    </row>
    <row x14ac:dyDescent="0.25" r="343" customHeight="1" ht="18.75">
      <c r="A343" s="71"/>
      <c r="B343" s="71"/>
      <c r="C343" s="72" t="s">
        <v>16</v>
      </c>
      <c r="D343" s="72"/>
      <c r="E343" s="72"/>
      <c r="F343" s="72" t="s">
        <v>1280</v>
      </c>
      <c r="G343" s="73">
        <v>10000000</v>
      </c>
      <c r="H343" s="73"/>
      <c r="I343" s="73"/>
      <c r="J343" s="74"/>
      <c r="K343" s="74"/>
      <c r="L343" s="75">
        <v>46152</v>
      </c>
      <c r="M343" s="76">
        <v>46091</v>
      </c>
      <c r="N343" s="72" t="s">
        <v>168</v>
      </c>
      <c r="O343" s="72" t="s">
        <v>1281</v>
      </c>
      <c r="P343" s="72" t="s">
        <v>1280</v>
      </c>
      <c r="Q343" s="73" t="s">
        <v>1282</v>
      </c>
      <c r="R343" s="73" t="s">
        <v>1283</v>
      </c>
      <c r="S343" s="76">
        <v>47186</v>
      </c>
      <c r="T343" s="72"/>
      <c r="U343" s="72" t="s">
        <v>166</v>
      </c>
      <c r="V343" s="71"/>
      <c r="W343" s="56"/>
      <c r="X343" s="56"/>
      <c r="Y343" s="56"/>
      <c r="Z343" s="56"/>
      <c r="AA343" s="56"/>
      <c r="AB343" s="56"/>
    </row>
    <row x14ac:dyDescent="0.25" r="344" customHeight="1" ht="18.75">
      <c r="A344" s="63"/>
      <c r="B344" s="63"/>
      <c r="C344" s="49" t="s">
        <v>16</v>
      </c>
      <c r="D344" s="49"/>
      <c r="E344" s="49"/>
      <c r="F344" s="49" t="s">
        <v>1260</v>
      </c>
      <c r="G344" s="69">
        <v>20000000</v>
      </c>
      <c r="H344" s="69"/>
      <c r="I344" s="69"/>
      <c r="J344" s="64">
        <v>1528000</v>
      </c>
      <c r="K344" s="64"/>
      <c r="L344" s="66">
        <v>46110</v>
      </c>
      <c r="M344" s="67">
        <v>46050</v>
      </c>
      <c r="N344" s="49" t="s">
        <v>234</v>
      </c>
      <c r="O344" s="49" t="s">
        <v>1284</v>
      </c>
      <c r="P344" s="49" t="s">
        <v>1260</v>
      </c>
      <c r="Q344" s="69" t="s">
        <v>1285</v>
      </c>
      <c r="R344" s="69" t="s">
        <v>1286</v>
      </c>
      <c r="S344" s="67">
        <v>47146</v>
      </c>
      <c r="T344" s="49"/>
      <c r="U344" s="49" t="s">
        <v>166</v>
      </c>
      <c r="V344" s="63"/>
      <c r="W344" s="56"/>
      <c r="X344" s="56"/>
      <c r="Y344" s="56"/>
      <c r="Z344" s="56"/>
      <c r="AA344" s="56"/>
      <c r="AB344" s="56"/>
    </row>
    <row x14ac:dyDescent="0.25" r="345" customHeight="1" ht="18.75">
      <c r="A345" s="56"/>
      <c r="B345" s="56"/>
      <c r="C345" s="50" t="s">
        <v>16</v>
      </c>
      <c r="D345" s="50" t="s">
        <v>3276</v>
      </c>
      <c r="E345" s="50"/>
      <c r="F345" s="50" t="s">
        <v>1287</v>
      </c>
      <c r="G345" s="55">
        <v>20000000</v>
      </c>
      <c r="H345" s="55"/>
      <c r="I345" s="55"/>
      <c r="J345" s="51">
        <v>1600000</v>
      </c>
      <c r="K345" s="51"/>
      <c r="L345" s="52">
        <v>45869</v>
      </c>
      <c r="M345" s="53">
        <v>45808</v>
      </c>
      <c r="N345" s="50" t="s">
        <v>155</v>
      </c>
      <c r="O345" s="50" t="s">
        <v>1288</v>
      </c>
      <c r="P345" s="50" t="s">
        <v>1287</v>
      </c>
      <c r="Q345" s="55" t="s">
        <v>1289</v>
      </c>
      <c r="R345" s="55" t="s">
        <v>1290</v>
      </c>
      <c r="S345" s="53">
        <v>46903</v>
      </c>
      <c r="T345" s="50"/>
      <c r="U345" s="50"/>
      <c r="V345" s="56"/>
      <c r="W345" s="56"/>
      <c r="X345" s="56"/>
      <c r="Y345" s="56"/>
      <c r="Z345" s="56"/>
      <c r="AA345" s="56"/>
      <c r="AB345" s="56"/>
    </row>
    <row x14ac:dyDescent="0.25" r="346" customHeight="1" ht="18.75">
      <c r="A346" s="56"/>
      <c r="B346" s="56"/>
      <c r="C346" s="50" t="s">
        <v>16</v>
      </c>
      <c r="D346" s="50" t="s">
        <v>143</v>
      </c>
      <c r="E346" s="50" t="s">
        <v>14</v>
      </c>
      <c r="F346" s="50" t="s">
        <v>513</v>
      </c>
      <c r="G346" s="55">
        <v>10000000</v>
      </c>
      <c r="H346" s="55"/>
      <c r="I346" s="55"/>
      <c r="J346" s="51">
        <v>1200000</v>
      </c>
      <c r="K346" s="51"/>
      <c r="L346" s="52">
        <v>46187</v>
      </c>
      <c r="M346" s="53">
        <v>46126</v>
      </c>
      <c r="N346" s="50" t="s">
        <v>239</v>
      </c>
      <c r="O346" s="50" t="s">
        <v>514</v>
      </c>
      <c r="P346" s="50" t="s">
        <v>513</v>
      </c>
      <c r="Q346" s="55" t="s">
        <v>515</v>
      </c>
      <c r="R346" s="55" t="s">
        <v>516</v>
      </c>
      <c r="S346" s="53">
        <v>47221</v>
      </c>
      <c r="T346" s="50"/>
      <c r="U346" s="50"/>
      <c r="V346" s="56"/>
      <c r="W346" s="56"/>
      <c r="X346" s="56"/>
      <c r="Y346" s="56"/>
      <c r="Z346" s="56"/>
      <c r="AA346" s="56"/>
      <c r="AB346" s="56"/>
    </row>
    <row x14ac:dyDescent="0.25" r="347" customHeight="1" ht="18.75">
      <c r="A347" s="71"/>
      <c r="B347" s="71"/>
      <c r="C347" s="72" t="s">
        <v>16</v>
      </c>
      <c r="D347" s="72"/>
      <c r="E347" s="72" t="s">
        <v>1294</v>
      </c>
      <c r="F347" s="72" t="s">
        <v>1295</v>
      </c>
      <c r="G347" s="73">
        <v>1000000</v>
      </c>
      <c r="H347" s="73"/>
      <c r="I347" s="73"/>
      <c r="J347" s="74"/>
      <c r="K347" s="74"/>
      <c r="L347" s="75">
        <v>46064</v>
      </c>
      <c r="M347" s="76">
        <v>46002</v>
      </c>
      <c r="N347" s="72" t="s">
        <v>282</v>
      </c>
      <c r="O347" s="72" t="s">
        <v>1296</v>
      </c>
      <c r="P347" s="72" t="s">
        <v>1295</v>
      </c>
      <c r="Q347" s="73" t="s">
        <v>1297</v>
      </c>
      <c r="R347" s="73" t="s">
        <v>1298</v>
      </c>
      <c r="S347" s="76">
        <v>47097</v>
      </c>
      <c r="T347" s="72" t="s">
        <v>1299</v>
      </c>
      <c r="U347" s="72" t="s">
        <v>166</v>
      </c>
      <c r="V347" s="71"/>
      <c r="W347" s="56"/>
      <c r="X347" s="56"/>
      <c r="Y347" s="56"/>
      <c r="Z347" s="56"/>
      <c r="AA347" s="56"/>
      <c r="AB347" s="56"/>
    </row>
    <row x14ac:dyDescent="0.25" r="348" customHeight="1" ht="18.75">
      <c r="A348" s="48" t="s">
        <v>3277</v>
      </c>
      <c r="B348" s="48"/>
      <c r="C348" s="50" t="s">
        <v>16</v>
      </c>
      <c r="D348" s="50" t="s">
        <v>454</v>
      </c>
      <c r="E348" s="50"/>
      <c r="F348" s="50" t="s">
        <v>1301</v>
      </c>
      <c r="G348" s="55">
        <v>10000000</v>
      </c>
      <c r="H348" s="55"/>
      <c r="I348" s="55"/>
      <c r="J348" s="51">
        <v>800000</v>
      </c>
      <c r="K348" s="51"/>
      <c r="L348" s="52">
        <v>46090</v>
      </c>
      <c r="M348" s="53">
        <v>46031</v>
      </c>
      <c r="N348" s="50" t="s">
        <v>168</v>
      </c>
      <c r="O348" s="50" t="s">
        <v>1302</v>
      </c>
      <c r="P348" s="50" t="s">
        <v>1301</v>
      </c>
      <c r="Q348" s="55" t="s">
        <v>1303</v>
      </c>
      <c r="R348" s="55" t="s">
        <v>1304</v>
      </c>
      <c r="S348" s="53">
        <v>47126</v>
      </c>
      <c r="T348" s="50"/>
      <c r="U348" s="50"/>
      <c r="V348" s="56"/>
      <c r="W348" s="56"/>
      <c r="X348" s="56"/>
      <c r="Y348" s="56"/>
      <c r="Z348" s="56"/>
      <c r="AA348" s="56"/>
      <c r="AB348" s="56"/>
    </row>
    <row x14ac:dyDescent="0.25" r="349" customHeight="1" ht="18.75">
      <c r="A349" s="56"/>
      <c r="B349" s="56"/>
      <c r="C349" s="50" t="s">
        <v>16</v>
      </c>
      <c r="D349" s="50" t="s">
        <v>454</v>
      </c>
      <c r="E349" s="50"/>
      <c r="F349" s="50" t="s">
        <v>1305</v>
      </c>
      <c r="G349" s="55">
        <v>10000000</v>
      </c>
      <c r="H349" s="55"/>
      <c r="I349" s="55"/>
      <c r="J349" s="51">
        <v>800000</v>
      </c>
      <c r="K349" s="51"/>
      <c r="L349" s="52">
        <v>46154</v>
      </c>
      <c r="M349" s="53">
        <v>46093</v>
      </c>
      <c r="N349" s="50" t="s">
        <v>282</v>
      </c>
      <c r="O349" s="50" t="s">
        <v>1302</v>
      </c>
      <c r="P349" s="50" t="s">
        <v>1305</v>
      </c>
      <c r="Q349" s="55" t="s">
        <v>1306</v>
      </c>
      <c r="R349" s="55" t="s">
        <v>1307</v>
      </c>
      <c r="S349" s="53">
        <v>47188</v>
      </c>
      <c r="T349" s="50"/>
      <c r="U349" s="50"/>
      <c r="V349" s="56"/>
      <c r="W349" s="56"/>
      <c r="X349" s="56"/>
      <c r="Y349" s="56"/>
      <c r="Z349" s="56"/>
      <c r="AA349" s="56"/>
      <c r="AB349" s="56"/>
    </row>
    <row x14ac:dyDescent="0.25" r="350" customHeight="1" ht="18.75">
      <c r="A350" s="56"/>
      <c r="B350" s="56"/>
      <c r="C350" s="50" t="s">
        <v>16</v>
      </c>
      <c r="D350" s="50" t="s">
        <v>88</v>
      </c>
      <c r="E350" s="50" t="s">
        <v>14</v>
      </c>
      <c r="F350" s="50" t="s">
        <v>1892</v>
      </c>
      <c r="G350" s="51">
        <v>10000000</v>
      </c>
      <c r="H350" s="51"/>
      <c r="I350" s="51"/>
      <c r="J350" s="87">
        <f>IF(G350&gt;0,_xludf.IFS(G350=10000000,1200000,G350=20000000,1800000,G350=30000000,2400000,G350=60000000,4000000),"")</f>
      </c>
      <c r="K350" s="51"/>
      <c r="L350" s="52">
        <v>46187</v>
      </c>
      <c r="M350" s="53">
        <f>IF(L350&gt;0,EDATE(L350,-2),"")</f>
        <v>25569.375</v>
      </c>
      <c r="N350" s="50" t="s">
        <v>234</v>
      </c>
      <c r="O350" s="50" t="s">
        <v>1893</v>
      </c>
      <c r="P350" s="50" t="s">
        <v>1892</v>
      </c>
      <c r="Q350" s="55">
        <v>6101181237216</v>
      </c>
      <c r="R350" s="55">
        <v>38950384</v>
      </c>
      <c r="S350" s="53">
        <f>IF(ISNUMBER(M350), EDATE(M350,36)-1, "")</f>
        <v>25569.375</v>
      </c>
      <c r="T350" s="50"/>
      <c r="U350" s="50"/>
      <c r="V350" s="50"/>
      <c r="W350" s="56"/>
      <c r="X350" s="56"/>
      <c r="Y350" s="56"/>
      <c r="Z350" s="56"/>
      <c r="AA350" s="56"/>
      <c r="AB350" s="56"/>
    </row>
    <row x14ac:dyDescent="0.25" r="351" customHeight="1" ht="18.75">
      <c r="A351" s="56"/>
      <c r="B351" s="56"/>
      <c r="C351" s="50" t="s">
        <v>16</v>
      </c>
      <c r="D351" s="50"/>
      <c r="E351" s="50"/>
      <c r="F351" s="50" t="s">
        <v>2479</v>
      </c>
      <c r="G351" s="55">
        <v>10000000</v>
      </c>
      <c r="H351" s="55"/>
      <c r="I351" s="55"/>
      <c r="J351" s="51">
        <v>500000</v>
      </c>
      <c r="K351" s="51"/>
      <c r="L351" s="52">
        <v>46187</v>
      </c>
      <c r="M351" s="53">
        <v>46126</v>
      </c>
      <c r="N351" s="50" t="s">
        <v>212</v>
      </c>
      <c r="O351" s="50" t="s">
        <v>2480</v>
      </c>
      <c r="P351" s="50" t="s">
        <v>2479</v>
      </c>
      <c r="Q351" s="55" t="s">
        <v>2481</v>
      </c>
      <c r="R351" s="55" t="s">
        <v>2482</v>
      </c>
      <c r="S351" s="53">
        <v>47221</v>
      </c>
      <c r="T351" s="50" t="s">
        <v>2483</v>
      </c>
      <c r="U351" s="50" t="s">
        <v>179</v>
      </c>
      <c r="V351" s="56"/>
      <c r="W351" s="56"/>
      <c r="X351" s="56"/>
      <c r="Y351" s="56"/>
      <c r="Z351" s="56"/>
      <c r="AA351" s="56"/>
      <c r="AB351" s="56"/>
    </row>
    <row x14ac:dyDescent="0.25" r="352" customHeight="1" ht="18.75">
      <c r="A352" s="56"/>
      <c r="B352" s="56"/>
      <c r="C352" s="50" t="s">
        <v>16</v>
      </c>
      <c r="D352" s="50"/>
      <c r="E352" s="50"/>
      <c r="F352" s="50" t="s">
        <v>1313</v>
      </c>
      <c r="G352" s="55">
        <v>10000000</v>
      </c>
      <c r="H352" s="55"/>
      <c r="I352" s="55"/>
      <c r="J352" s="51">
        <v>800000</v>
      </c>
      <c r="K352" s="51"/>
      <c r="L352" s="52">
        <v>46030</v>
      </c>
      <c r="M352" s="53">
        <v>45969</v>
      </c>
      <c r="N352" s="50" t="s">
        <v>182</v>
      </c>
      <c r="O352" s="50" t="s">
        <v>1314</v>
      </c>
      <c r="P352" s="50" t="s">
        <v>1313</v>
      </c>
      <c r="Q352" s="55" t="s">
        <v>1315</v>
      </c>
      <c r="R352" s="55" t="s">
        <v>1316</v>
      </c>
      <c r="S352" s="53">
        <v>47064</v>
      </c>
      <c r="T352" s="50"/>
      <c r="U352" s="50" t="s">
        <v>1317</v>
      </c>
      <c r="V352" s="56"/>
      <c r="W352" s="56"/>
      <c r="X352" s="56"/>
      <c r="Y352" s="56"/>
      <c r="Z352" s="56"/>
      <c r="AA352" s="56"/>
      <c r="AB352" s="56"/>
    </row>
    <row x14ac:dyDescent="0.25" r="353" customHeight="1" ht="18.75">
      <c r="A353" s="63"/>
      <c r="B353" s="63"/>
      <c r="C353" s="49" t="s">
        <v>16</v>
      </c>
      <c r="D353" s="49"/>
      <c r="E353" s="49"/>
      <c r="F353" s="49" t="s">
        <v>45</v>
      </c>
      <c r="G353" s="64">
        <v>60000000</v>
      </c>
      <c r="H353" s="64"/>
      <c r="I353" s="64"/>
      <c r="J353" s="64">
        <v>4800000</v>
      </c>
      <c r="K353" s="64"/>
      <c r="L353" s="66">
        <v>46042</v>
      </c>
      <c r="M353" s="67">
        <f>IF(L353&gt;0,EDATE(L353,-2),"")</f>
        <v>25569.375</v>
      </c>
      <c r="N353" s="49" t="s">
        <v>168</v>
      </c>
      <c r="O353" s="49" t="s">
        <v>1318</v>
      </c>
      <c r="P353" s="68">
        <f>IF(F353&gt;0,F353,"")</f>
      </c>
      <c r="Q353" s="69" t="s">
        <v>1319</v>
      </c>
      <c r="R353" s="69">
        <v>90292169</v>
      </c>
      <c r="S353" s="53">
        <f>IF(M353&gt;0,EDATE(M353,36)-1,"")</f>
        <v>25569.375</v>
      </c>
      <c r="T353" s="49"/>
      <c r="U353" s="49"/>
      <c r="V353" s="63" t="s">
        <v>46</v>
      </c>
      <c r="W353" s="56"/>
      <c r="X353" s="56"/>
      <c r="Y353" s="56"/>
      <c r="Z353" s="56"/>
      <c r="AA353" s="56"/>
      <c r="AB353" s="56"/>
    </row>
    <row x14ac:dyDescent="0.25" r="354" customHeight="1" ht="18.75">
      <c r="A354" s="63"/>
      <c r="B354" s="63"/>
      <c r="C354" s="49" t="s">
        <v>16</v>
      </c>
      <c r="D354" s="49"/>
      <c r="E354" s="49"/>
      <c r="F354" s="49" t="s">
        <v>45</v>
      </c>
      <c r="G354" s="64">
        <v>60000000</v>
      </c>
      <c r="H354" s="64"/>
      <c r="I354" s="64"/>
      <c r="J354" s="64">
        <v>4800000</v>
      </c>
      <c r="K354" s="64"/>
      <c r="L354" s="66">
        <v>45876</v>
      </c>
      <c r="M354" s="67">
        <f>IF(L354&gt;0,EDATE(L354,-2),"")</f>
        <v>25569.375</v>
      </c>
      <c r="N354" s="49" t="s">
        <v>168</v>
      </c>
      <c r="O354" s="49" t="s">
        <v>1318</v>
      </c>
      <c r="P354" s="68">
        <f>IF(F354&gt;0,F354,"")</f>
      </c>
      <c r="Q354" s="69" t="s">
        <v>1319</v>
      </c>
      <c r="R354" s="69">
        <v>90292169</v>
      </c>
      <c r="S354" s="53">
        <f>IF(M354&gt;0,EDATE(M354,36)-1,"")</f>
        <v>25569.375</v>
      </c>
      <c r="T354" s="49"/>
      <c r="U354" s="49"/>
      <c r="V354" s="63" t="s">
        <v>1320</v>
      </c>
      <c r="W354" s="56"/>
      <c r="X354" s="56"/>
      <c r="Y354" s="56"/>
      <c r="Z354" s="56"/>
      <c r="AA354" s="56"/>
      <c r="AB354" s="56"/>
    </row>
    <row x14ac:dyDescent="0.25" r="355" customHeight="1" ht="18.75">
      <c r="A355" s="56"/>
      <c r="B355" s="56"/>
      <c r="C355" s="50" t="s">
        <v>16</v>
      </c>
      <c r="D355" s="50"/>
      <c r="E355" s="50"/>
      <c r="F355" s="50" t="s">
        <v>327</v>
      </c>
      <c r="G355" s="55">
        <v>60000000</v>
      </c>
      <c r="H355" s="55"/>
      <c r="I355" s="55"/>
      <c r="J355" s="51">
        <v>4800000</v>
      </c>
      <c r="K355" s="51"/>
      <c r="L355" s="52">
        <v>45904</v>
      </c>
      <c r="M355" s="53">
        <v>45848</v>
      </c>
      <c r="N355" s="50" t="s">
        <v>174</v>
      </c>
      <c r="O355" s="50" t="s">
        <v>1321</v>
      </c>
      <c r="P355" s="50" t="s">
        <v>327</v>
      </c>
      <c r="Q355" s="55" t="s">
        <v>1322</v>
      </c>
      <c r="R355" s="55" t="s">
        <v>1323</v>
      </c>
      <c r="S355" s="53">
        <v>46943</v>
      </c>
      <c r="T355" s="50"/>
      <c r="U355" s="50"/>
      <c r="V355" s="56"/>
      <c r="W355" s="56"/>
      <c r="X355" s="56"/>
      <c r="Y355" s="56"/>
      <c r="Z355" s="56"/>
      <c r="AA355" s="56"/>
      <c r="AB355" s="56"/>
    </row>
    <row x14ac:dyDescent="0.25" r="356" customHeight="1" ht="18.75">
      <c r="A356" s="63"/>
      <c r="B356" s="63"/>
      <c r="C356" s="49" t="s">
        <v>16</v>
      </c>
      <c r="D356" s="49"/>
      <c r="E356" s="49"/>
      <c r="F356" s="49" t="s">
        <v>327</v>
      </c>
      <c r="G356" s="64">
        <v>60000000</v>
      </c>
      <c r="H356" s="64"/>
      <c r="I356" s="64"/>
      <c r="J356" s="64">
        <v>4800000</v>
      </c>
      <c r="K356" s="64"/>
      <c r="L356" s="66">
        <v>45904</v>
      </c>
      <c r="M356" s="67">
        <v>45848</v>
      </c>
      <c r="N356" s="49" t="s">
        <v>222</v>
      </c>
      <c r="O356" s="49" t="s">
        <v>3278</v>
      </c>
      <c r="P356" s="68">
        <f>IF(F356&gt;0,F356,"")</f>
      </c>
      <c r="Q356" s="69" t="s">
        <v>1322</v>
      </c>
      <c r="R356" s="69">
        <v>84307122</v>
      </c>
      <c r="S356" s="53">
        <v>46937</v>
      </c>
      <c r="T356" s="49"/>
      <c r="U356" s="49"/>
      <c r="V356" s="63" t="s">
        <v>3279</v>
      </c>
      <c r="W356" s="56"/>
      <c r="X356" s="56"/>
      <c r="Y356" s="56"/>
      <c r="Z356" s="56"/>
      <c r="AA356" s="56"/>
      <c r="AB356" s="56"/>
    </row>
    <row x14ac:dyDescent="0.25" r="357" customHeight="1" ht="18.75">
      <c r="A357" s="63"/>
      <c r="B357" s="63"/>
      <c r="C357" s="49" t="s">
        <v>16</v>
      </c>
      <c r="D357" s="49"/>
      <c r="E357" s="49" t="s">
        <v>203</v>
      </c>
      <c r="F357" s="49" t="s">
        <v>2767</v>
      </c>
      <c r="G357" s="64">
        <v>10000000</v>
      </c>
      <c r="H357" s="64"/>
      <c r="I357" s="64"/>
      <c r="J357" s="65">
        <f>IF(G357&gt;0,_xludf.IFS(G357=10000000,800000,G357=20000000,1528000,G357=30000000,2028000,G357=60000000,4056000),"")</f>
      </c>
      <c r="K357" s="64"/>
      <c r="L357" s="66">
        <v>46187</v>
      </c>
      <c r="M357" s="67">
        <f>IF(L357&gt;0,EDATE(L357,-2),"")</f>
        <v>25569.375</v>
      </c>
      <c r="N357" s="49" t="s">
        <v>168</v>
      </c>
      <c r="O357" s="49" t="s">
        <v>2768</v>
      </c>
      <c r="P357" s="68">
        <f>IF(F357&gt;0,F357,"")</f>
      </c>
      <c r="Q357" s="69" t="s">
        <v>2769</v>
      </c>
      <c r="R357" s="69">
        <v>55904781</v>
      </c>
      <c r="S357" s="67">
        <f>IF(ISNUMBER(M357), EDATE(M357,36)-1, "")</f>
        <v>25569.375</v>
      </c>
      <c r="T357" s="49"/>
      <c r="U357" s="49"/>
      <c r="V357" s="63"/>
      <c r="W357" s="56"/>
      <c r="X357" s="56"/>
      <c r="Y357" s="56"/>
      <c r="Z357" s="56"/>
      <c r="AA357" s="56"/>
      <c r="AB357" s="56"/>
    </row>
    <row x14ac:dyDescent="0.25" r="358" customHeight="1" ht="18.75">
      <c r="A358" s="56"/>
      <c r="B358" s="56"/>
      <c r="C358" s="50" t="s">
        <v>16</v>
      </c>
      <c r="D358" s="50"/>
      <c r="E358" s="50"/>
      <c r="F358" s="50" t="s">
        <v>1328</v>
      </c>
      <c r="G358" s="55">
        <v>60000000</v>
      </c>
      <c r="H358" s="55"/>
      <c r="I358" s="55"/>
      <c r="J358" s="51">
        <v>4800000</v>
      </c>
      <c r="K358" s="51"/>
      <c r="L358" s="52">
        <v>45915</v>
      </c>
      <c r="M358" s="53">
        <v>45848</v>
      </c>
      <c r="N358" s="50" t="s">
        <v>239</v>
      </c>
      <c r="O358" s="50" t="s">
        <v>1329</v>
      </c>
      <c r="P358" s="50" t="s">
        <v>1328</v>
      </c>
      <c r="Q358" s="55" t="s">
        <v>1330</v>
      </c>
      <c r="R358" s="55" t="s">
        <v>1331</v>
      </c>
      <c r="S358" s="53">
        <v>46943</v>
      </c>
      <c r="T358" s="50"/>
      <c r="U358" s="50"/>
      <c r="V358" s="56"/>
      <c r="W358" s="56"/>
      <c r="X358" s="56"/>
      <c r="Y358" s="56"/>
      <c r="Z358" s="56"/>
      <c r="AA358" s="56"/>
      <c r="AB358" s="56"/>
    </row>
    <row x14ac:dyDescent="0.25" r="359" customHeight="1" ht="18.75">
      <c r="A359" s="48" t="s">
        <v>252</v>
      </c>
      <c r="B359" s="48"/>
      <c r="C359" s="50" t="s">
        <v>16</v>
      </c>
      <c r="D359" s="50" t="s">
        <v>143</v>
      </c>
      <c r="E359" s="50" t="s">
        <v>14</v>
      </c>
      <c r="F359" s="50" t="s">
        <v>963</v>
      </c>
      <c r="G359" s="55">
        <v>10000000</v>
      </c>
      <c r="H359" s="55"/>
      <c r="I359" s="55"/>
      <c r="J359" s="51">
        <v>1200000</v>
      </c>
      <c r="K359" s="51"/>
      <c r="L359" s="52">
        <v>46188</v>
      </c>
      <c r="M359" s="53">
        <v>46127</v>
      </c>
      <c r="N359" s="50" t="s">
        <v>379</v>
      </c>
      <c r="O359" s="50" t="s">
        <v>964</v>
      </c>
      <c r="P359" s="50" t="s">
        <v>963</v>
      </c>
      <c r="Q359" s="55" t="s">
        <v>965</v>
      </c>
      <c r="R359" s="85" t="s">
        <v>966</v>
      </c>
      <c r="S359" s="53">
        <v>47222</v>
      </c>
      <c r="T359" s="50"/>
      <c r="U359" s="50"/>
      <c r="V359" s="56"/>
      <c r="W359" s="56"/>
      <c r="X359" s="56"/>
      <c r="Y359" s="56"/>
      <c r="Z359" s="56"/>
      <c r="AA359" s="56"/>
      <c r="AB359" s="56"/>
    </row>
    <row x14ac:dyDescent="0.25" r="360" customHeight="1" ht="18.75">
      <c r="A360" s="63"/>
      <c r="B360" s="63"/>
      <c r="C360" s="49" t="s">
        <v>16</v>
      </c>
      <c r="D360" s="49"/>
      <c r="E360" s="49" t="s">
        <v>22</v>
      </c>
      <c r="F360" s="49" t="s">
        <v>1335</v>
      </c>
      <c r="G360" s="69">
        <v>60000000</v>
      </c>
      <c r="H360" s="69"/>
      <c r="I360" s="69"/>
      <c r="J360" s="64">
        <v>4056000</v>
      </c>
      <c r="K360" s="64"/>
      <c r="L360" s="66">
        <v>46122</v>
      </c>
      <c r="M360" s="67">
        <v>46063</v>
      </c>
      <c r="N360" s="49" t="s">
        <v>306</v>
      </c>
      <c r="O360" s="49" t="s">
        <v>1336</v>
      </c>
      <c r="P360" s="49" t="s">
        <v>1335</v>
      </c>
      <c r="Q360" s="69" t="s">
        <v>1337</v>
      </c>
      <c r="R360" s="69" t="s">
        <v>1338</v>
      </c>
      <c r="S360" s="67">
        <v>47158</v>
      </c>
      <c r="T360" s="50"/>
      <c r="U360" s="50" t="s">
        <v>166</v>
      </c>
      <c r="V360" s="56"/>
      <c r="W360" s="56"/>
      <c r="X360" s="56"/>
      <c r="Y360" s="56"/>
      <c r="Z360" s="56"/>
      <c r="AA360" s="56"/>
      <c r="AB360" s="56"/>
    </row>
    <row x14ac:dyDescent="0.25" r="361" customHeight="1" ht="18.75">
      <c r="A361" s="56"/>
      <c r="B361" s="56"/>
      <c r="C361" s="50" t="s">
        <v>16</v>
      </c>
      <c r="D361" s="50"/>
      <c r="E361" s="50" t="s">
        <v>22</v>
      </c>
      <c r="F361" s="50" t="s">
        <v>47</v>
      </c>
      <c r="G361" s="55">
        <v>10000000</v>
      </c>
      <c r="H361" s="55"/>
      <c r="I361" s="55"/>
      <c r="J361" s="51">
        <v>800000</v>
      </c>
      <c r="K361" s="51"/>
      <c r="L361" s="52">
        <v>46156</v>
      </c>
      <c r="M361" s="53">
        <v>46095</v>
      </c>
      <c r="N361" s="50" t="s">
        <v>168</v>
      </c>
      <c r="O361" s="50" t="s">
        <v>1339</v>
      </c>
      <c r="P361" s="50" t="s">
        <v>47</v>
      </c>
      <c r="Q361" s="55" t="s">
        <v>1340</v>
      </c>
      <c r="R361" s="55" t="s">
        <v>1341</v>
      </c>
      <c r="S361" s="53">
        <v>47190</v>
      </c>
      <c r="T361" s="50"/>
      <c r="U361" s="50" t="s">
        <v>293</v>
      </c>
      <c r="V361" s="56"/>
      <c r="W361" s="56"/>
      <c r="X361" s="56"/>
      <c r="Y361" s="56"/>
      <c r="Z361" s="56"/>
      <c r="AA361" s="56"/>
      <c r="AB361" s="56"/>
    </row>
    <row x14ac:dyDescent="0.25" r="362" customHeight="1" ht="18.75">
      <c r="A362" s="48" t="s">
        <v>152</v>
      </c>
      <c r="B362" s="62"/>
      <c r="C362" s="49" t="s">
        <v>16</v>
      </c>
      <c r="D362" s="50"/>
      <c r="E362" s="50"/>
      <c r="F362" s="50" t="s">
        <v>1195</v>
      </c>
      <c r="G362" s="51">
        <v>60000000</v>
      </c>
      <c r="H362" s="51"/>
      <c r="I362" s="51"/>
      <c r="J362" s="87">
        <f>IF(G362&gt;0,_xludf.IFS(G362=10000000,800000,G362=20000000,1528000,G362=30000000,2028000,G362=60000000,4056000),"")</f>
      </c>
      <c r="K362" s="51"/>
      <c r="L362" s="52">
        <v>46188</v>
      </c>
      <c r="M362" s="53">
        <f>IF(L362&gt;0,EDATE(L362,-2),"")</f>
        <v>25569.375</v>
      </c>
      <c r="N362" s="50" t="s">
        <v>302</v>
      </c>
      <c r="O362" s="50" t="s">
        <v>1198</v>
      </c>
      <c r="P362" s="54">
        <f>IF(F362&gt;0,F362,"")</f>
      </c>
      <c r="Q362" s="55" t="s">
        <v>1199</v>
      </c>
      <c r="R362" s="55">
        <v>43263850</v>
      </c>
      <c r="S362" s="53">
        <f>IF(ISNUMBER(M362), EDATE(M362,36)-1, "")</f>
        <v>25569.375</v>
      </c>
      <c r="T362" s="50"/>
      <c r="U362" s="50"/>
      <c r="V362" s="48" t="s">
        <v>1200</v>
      </c>
      <c r="W362" s="56"/>
      <c r="X362" s="56"/>
      <c r="Y362" s="56"/>
      <c r="Z362" s="56"/>
      <c r="AA362" s="56"/>
      <c r="AB362" s="56"/>
    </row>
    <row x14ac:dyDescent="0.25" r="363" customHeight="1" ht="18.75">
      <c r="A363" s="56"/>
      <c r="B363" s="56"/>
      <c r="C363" s="50" t="s">
        <v>16</v>
      </c>
      <c r="D363" s="50" t="s">
        <v>143</v>
      </c>
      <c r="E363" s="50" t="s">
        <v>14</v>
      </c>
      <c r="F363" s="50" t="s">
        <v>1347</v>
      </c>
      <c r="G363" s="55">
        <v>10000000</v>
      </c>
      <c r="H363" s="55"/>
      <c r="I363" s="55"/>
      <c r="J363" s="51"/>
      <c r="K363" s="51"/>
      <c r="L363" s="52">
        <v>46149</v>
      </c>
      <c r="M363" s="53">
        <v>46088</v>
      </c>
      <c r="N363" s="50" t="s">
        <v>155</v>
      </c>
      <c r="O363" s="50" t="s">
        <v>3280</v>
      </c>
      <c r="P363" s="50" t="s">
        <v>3281</v>
      </c>
      <c r="Q363" s="55" t="s">
        <v>3282</v>
      </c>
      <c r="R363" s="55" t="s">
        <v>1350</v>
      </c>
      <c r="S363" s="53">
        <v>47183</v>
      </c>
      <c r="T363" s="50" t="s">
        <v>1351</v>
      </c>
      <c r="U363" s="50" t="s">
        <v>293</v>
      </c>
      <c r="V363" s="56" t="s">
        <v>2990</v>
      </c>
      <c r="W363" s="56"/>
      <c r="X363" s="56"/>
      <c r="Y363" s="56"/>
      <c r="Z363" s="56"/>
      <c r="AA363" s="56"/>
      <c r="AB363" s="56"/>
    </row>
    <row x14ac:dyDescent="0.25" r="364" customHeight="1" ht="18.75">
      <c r="A364" s="56"/>
      <c r="B364" s="56"/>
      <c r="C364" s="50" t="s">
        <v>16</v>
      </c>
      <c r="D364" s="50"/>
      <c r="E364" s="50" t="s">
        <v>613</v>
      </c>
      <c r="F364" s="50" t="s">
        <v>1606</v>
      </c>
      <c r="G364" s="55">
        <v>10000000</v>
      </c>
      <c r="H364" s="55"/>
      <c r="I364" s="55"/>
      <c r="J364" s="51">
        <v>500000</v>
      </c>
      <c r="K364" s="51"/>
      <c r="L364" s="52">
        <v>46188</v>
      </c>
      <c r="M364" s="53">
        <v>46127</v>
      </c>
      <c r="N364" s="50" t="s">
        <v>1139</v>
      </c>
      <c r="O364" s="50" t="s">
        <v>1607</v>
      </c>
      <c r="P364" s="50" t="s">
        <v>1606</v>
      </c>
      <c r="Q364" s="55" t="s">
        <v>1608</v>
      </c>
      <c r="R364" s="55" t="s">
        <v>1609</v>
      </c>
      <c r="S364" s="53">
        <v>47222</v>
      </c>
      <c r="T364" s="50" t="s">
        <v>1610</v>
      </c>
      <c r="U364" s="50" t="s">
        <v>166</v>
      </c>
      <c r="V364" s="56"/>
      <c r="W364" s="56"/>
      <c r="X364" s="56"/>
      <c r="Y364" s="56"/>
      <c r="Z364" s="56"/>
      <c r="AA364" s="56"/>
      <c r="AB364" s="56"/>
    </row>
    <row x14ac:dyDescent="0.25" r="365" customHeight="1" ht="18.75">
      <c r="A365" s="56"/>
      <c r="B365" s="56"/>
      <c r="C365" s="50" t="s">
        <v>16</v>
      </c>
      <c r="D365" s="50" t="s">
        <v>627</v>
      </c>
      <c r="E365" s="50"/>
      <c r="F365" s="50" t="s">
        <v>1352</v>
      </c>
      <c r="G365" s="55">
        <v>20000000</v>
      </c>
      <c r="H365" s="55"/>
      <c r="I365" s="55"/>
      <c r="J365" s="51">
        <v>1528000</v>
      </c>
      <c r="K365" s="51"/>
      <c r="L365" s="52">
        <v>46150</v>
      </c>
      <c r="M365" s="53">
        <v>46089</v>
      </c>
      <c r="N365" s="50" t="s">
        <v>205</v>
      </c>
      <c r="O365" s="50" t="s">
        <v>1353</v>
      </c>
      <c r="P365" s="50" t="s">
        <v>1352</v>
      </c>
      <c r="Q365" s="55" t="s">
        <v>1354</v>
      </c>
      <c r="R365" s="55" t="s">
        <v>1355</v>
      </c>
      <c r="S365" s="53">
        <v>47184</v>
      </c>
      <c r="T365" s="50" t="s">
        <v>1356</v>
      </c>
      <c r="U365" s="50" t="s">
        <v>166</v>
      </c>
      <c r="V365" s="56"/>
      <c r="W365" s="56"/>
      <c r="X365" s="56"/>
      <c r="Y365" s="56"/>
      <c r="Z365" s="56"/>
      <c r="AA365" s="56"/>
      <c r="AB365" s="56"/>
    </row>
    <row x14ac:dyDescent="0.25" r="366" customHeight="1" ht="18.75">
      <c r="A366" s="48" t="s">
        <v>3232</v>
      </c>
      <c r="B366" s="48"/>
      <c r="C366" s="50" t="s">
        <v>16</v>
      </c>
      <c r="D366" s="50" t="s">
        <v>627</v>
      </c>
      <c r="E366" s="50" t="s">
        <v>3283</v>
      </c>
      <c r="F366" s="50" t="s">
        <v>1352</v>
      </c>
      <c r="G366" s="55">
        <v>20000000</v>
      </c>
      <c r="H366" s="55"/>
      <c r="I366" s="55"/>
      <c r="J366" s="51">
        <v>1528000</v>
      </c>
      <c r="K366" s="51"/>
      <c r="L366" s="52">
        <v>46150</v>
      </c>
      <c r="M366" s="53">
        <v>46089</v>
      </c>
      <c r="N366" s="50" t="s">
        <v>205</v>
      </c>
      <c r="O366" s="50" t="s">
        <v>1353</v>
      </c>
      <c r="P366" s="50" t="s">
        <v>1352</v>
      </c>
      <c r="Q366" s="55" t="s">
        <v>1354</v>
      </c>
      <c r="R366" s="55" t="s">
        <v>1355</v>
      </c>
      <c r="S366" s="53">
        <v>47184</v>
      </c>
      <c r="T366" s="50"/>
      <c r="U366" s="50" t="s">
        <v>166</v>
      </c>
      <c r="V366" s="56"/>
      <c r="W366" s="56"/>
      <c r="X366" s="56"/>
      <c r="Y366" s="56"/>
      <c r="Z366" s="56"/>
      <c r="AA366" s="56"/>
      <c r="AB366" s="56"/>
    </row>
    <row x14ac:dyDescent="0.25" r="367" customHeight="1" ht="18.75">
      <c r="A367" s="56"/>
      <c r="B367" s="56"/>
      <c r="C367" s="50" t="s">
        <v>16</v>
      </c>
      <c r="D367" s="50" t="s">
        <v>454</v>
      </c>
      <c r="E367" s="50"/>
      <c r="F367" s="50" t="s">
        <v>526</v>
      </c>
      <c r="G367" s="55">
        <v>10000000</v>
      </c>
      <c r="H367" s="55"/>
      <c r="I367" s="55"/>
      <c r="J367" s="51">
        <v>500000</v>
      </c>
      <c r="K367" s="51"/>
      <c r="L367" s="52">
        <v>46166</v>
      </c>
      <c r="M367" s="53">
        <v>46105</v>
      </c>
      <c r="N367" s="50" t="s">
        <v>302</v>
      </c>
      <c r="O367" s="50" t="s">
        <v>1357</v>
      </c>
      <c r="P367" s="50" t="s">
        <v>526</v>
      </c>
      <c r="Q367" s="55" t="s">
        <v>1358</v>
      </c>
      <c r="R367" s="55" t="s">
        <v>528</v>
      </c>
      <c r="S367" s="53">
        <v>47200</v>
      </c>
      <c r="T367" s="50"/>
      <c r="U367" s="50"/>
      <c r="V367" s="56"/>
      <c r="W367" s="56"/>
      <c r="X367" s="56"/>
      <c r="Y367" s="56"/>
      <c r="Z367" s="56"/>
      <c r="AA367" s="56"/>
      <c r="AB367" s="56"/>
    </row>
    <row x14ac:dyDescent="0.25" r="368" customHeight="1" ht="18.75">
      <c r="A368" s="63"/>
      <c r="B368" s="63"/>
      <c r="C368" s="49" t="s">
        <v>16</v>
      </c>
      <c r="D368" s="49" t="s">
        <v>454</v>
      </c>
      <c r="E368" s="49" t="s">
        <v>455</v>
      </c>
      <c r="F368" s="49" t="s">
        <v>526</v>
      </c>
      <c r="G368" s="64">
        <v>10000000</v>
      </c>
      <c r="H368" s="64"/>
      <c r="I368" s="64"/>
      <c r="J368" s="64">
        <v>800000</v>
      </c>
      <c r="K368" s="64"/>
      <c r="L368" s="66">
        <v>46166</v>
      </c>
      <c r="M368" s="67">
        <f>IF(L368&gt;0,EDATE(L368,-2),"")</f>
        <v>25569.375</v>
      </c>
      <c r="N368" s="49" t="s">
        <v>302</v>
      </c>
      <c r="O368" s="49" t="s">
        <v>1357</v>
      </c>
      <c r="P368" s="68">
        <f>IF(F368&gt;0,F368,"")</f>
      </c>
      <c r="Q368" s="69" t="s">
        <v>1358</v>
      </c>
      <c r="R368" s="69">
        <v>51751545</v>
      </c>
      <c r="S368" s="67">
        <f>IF(ISNUMBER(M368), EDATE(M368,36)-1, "")</f>
        <v>25569.375</v>
      </c>
      <c r="T368" s="49"/>
      <c r="U368" s="49"/>
      <c r="V368" s="63"/>
      <c r="W368" s="56"/>
      <c r="X368" s="56"/>
      <c r="Y368" s="56"/>
      <c r="Z368" s="56"/>
      <c r="AA368" s="56"/>
      <c r="AB368" s="56"/>
    </row>
    <row x14ac:dyDescent="0.25" r="369" customHeight="1" ht="18.75">
      <c r="A369" s="56"/>
      <c r="B369" s="56"/>
      <c r="C369" s="50" t="s">
        <v>16</v>
      </c>
      <c r="D369" s="50"/>
      <c r="E369" s="50"/>
      <c r="F369" s="50" t="s">
        <v>1359</v>
      </c>
      <c r="G369" s="55">
        <v>30000000</v>
      </c>
      <c r="H369" s="55"/>
      <c r="I369" s="55"/>
      <c r="J369" s="51">
        <v>2028000</v>
      </c>
      <c r="K369" s="51"/>
      <c r="L369" s="52">
        <v>46009</v>
      </c>
      <c r="M369" s="53">
        <v>45948</v>
      </c>
      <c r="N369" s="50" t="s">
        <v>1360</v>
      </c>
      <c r="O369" s="50" t="s">
        <v>1361</v>
      </c>
      <c r="P369" s="50" t="s">
        <v>1359</v>
      </c>
      <c r="Q369" s="55" t="s">
        <v>1362</v>
      </c>
      <c r="R369" s="55" t="s">
        <v>1363</v>
      </c>
      <c r="S369" s="53">
        <v>47043</v>
      </c>
      <c r="T369" s="50"/>
      <c r="U369" s="50"/>
      <c r="V369" s="56"/>
      <c r="W369" s="56"/>
      <c r="X369" s="56"/>
      <c r="Y369" s="56"/>
      <c r="Z369" s="56"/>
      <c r="AA369" s="56"/>
      <c r="AB369" s="56"/>
    </row>
    <row x14ac:dyDescent="0.25" r="370" customHeight="1" ht="18.75">
      <c r="A370" s="56"/>
      <c r="B370" s="56"/>
      <c r="C370" s="50" t="s">
        <v>16</v>
      </c>
      <c r="D370" s="50"/>
      <c r="E370" s="50"/>
      <c r="F370" s="50" t="s">
        <v>1364</v>
      </c>
      <c r="G370" s="55">
        <v>20000000</v>
      </c>
      <c r="H370" s="55"/>
      <c r="I370" s="55"/>
      <c r="J370" s="51">
        <v>1528000</v>
      </c>
      <c r="K370" s="51"/>
      <c r="L370" s="52">
        <v>46159</v>
      </c>
      <c r="M370" s="53">
        <v>46098</v>
      </c>
      <c r="N370" s="50" t="s">
        <v>161</v>
      </c>
      <c r="O370" s="50" t="s">
        <v>1365</v>
      </c>
      <c r="P370" s="50" t="s">
        <v>1364</v>
      </c>
      <c r="Q370" s="55" t="s">
        <v>1366</v>
      </c>
      <c r="R370" s="55" t="s">
        <v>1367</v>
      </c>
      <c r="S370" s="53">
        <v>47193</v>
      </c>
      <c r="T370" s="50" t="s">
        <v>1368</v>
      </c>
      <c r="U370" s="50" t="s">
        <v>166</v>
      </c>
      <c r="V370" s="56"/>
      <c r="W370" s="56"/>
      <c r="X370" s="56"/>
      <c r="Y370" s="56"/>
      <c r="Z370" s="56"/>
      <c r="AA370" s="56"/>
      <c r="AB370" s="56"/>
    </row>
    <row x14ac:dyDescent="0.25" r="371" customHeight="1" ht="18.75">
      <c r="A371" s="56"/>
      <c r="B371" s="56"/>
      <c r="C371" s="50" t="s">
        <v>16</v>
      </c>
      <c r="D371" s="50"/>
      <c r="E371" s="50"/>
      <c r="F371" s="50" t="s">
        <v>1369</v>
      </c>
      <c r="G371" s="55">
        <v>10000000</v>
      </c>
      <c r="H371" s="55"/>
      <c r="I371" s="55"/>
      <c r="J371" s="51">
        <v>800000</v>
      </c>
      <c r="K371" s="51"/>
      <c r="L371" s="52">
        <v>45988</v>
      </c>
      <c r="M371" s="53">
        <v>45927</v>
      </c>
      <c r="N371" s="50" t="s">
        <v>940</v>
      </c>
      <c r="O371" s="50" t="s">
        <v>416</v>
      </c>
      <c r="P371" s="50" t="s">
        <v>1369</v>
      </c>
      <c r="Q371" s="55" t="s">
        <v>1370</v>
      </c>
      <c r="R371" s="55" t="s">
        <v>1371</v>
      </c>
      <c r="S371" s="53">
        <v>47083</v>
      </c>
      <c r="T371" s="50"/>
      <c r="U371" s="50" t="s">
        <v>293</v>
      </c>
      <c r="V371" s="56"/>
      <c r="W371" s="56"/>
      <c r="X371" s="56"/>
      <c r="Y371" s="56"/>
      <c r="Z371" s="56"/>
      <c r="AA371" s="56"/>
      <c r="AB371" s="56"/>
    </row>
    <row x14ac:dyDescent="0.25" r="372" customHeight="1" ht="18.75">
      <c r="A372" s="48" t="s">
        <v>152</v>
      </c>
      <c r="B372" s="62"/>
      <c r="C372" s="49" t="s">
        <v>16</v>
      </c>
      <c r="D372" s="50"/>
      <c r="E372" s="50"/>
      <c r="F372" s="50" t="s">
        <v>2213</v>
      </c>
      <c r="G372" s="51">
        <v>60000000</v>
      </c>
      <c r="H372" s="51"/>
      <c r="I372" s="51"/>
      <c r="J372" s="87">
        <f>IF(G372&gt;0,_xludf.IFS(G372=10000000,800000,G372=20000000,1528000,G372=30000000,2028000,G372=60000000,4056000),"")</f>
      </c>
      <c r="K372" s="51"/>
      <c r="L372" s="52">
        <v>46188</v>
      </c>
      <c r="M372" s="53">
        <f>IF(L372&gt;0,EDATE(L372,-2),"")</f>
        <v>25569.375</v>
      </c>
      <c r="N372" s="50" t="s">
        <v>168</v>
      </c>
      <c r="O372" s="50" t="s">
        <v>471</v>
      </c>
      <c r="P372" s="50" t="s">
        <v>2213</v>
      </c>
      <c r="Q372" s="55" t="s">
        <v>2214</v>
      </c>
      <c r="R372" s="55">
        <v>73033828</v>
      </c>
      <c r="S372" s="53">
        <f>IF(ISNUMBER(M372), EDATE(M372,36)-1, "")</f>
        <v>25569.375</v>
      </c>
      <c r="T372" s="50"/>
      <c r="U372" s="50"/>
      <c r="V372" s="48" t="s">
        <v>2218</v>
      </c>
      <c r="W372" s="56"/>
      <c r="X372" s="56"/>
      <c r="Y372" s="56"/>
      <c r="Z372" s="56"/>
      <c r="AA372" s="56"/>
      <c r="AB372" s="56"/>
    </row>
    <row x14ac:dyDescent="0.25" r="373" customHeight="1" ht="18.75">
      <c r="A373" s="63"/>
      <c r="B373" s="63"/>
      <c r="C373" s="49" t="s">
        <v>16</v>
      </c>
      <c r="D373" s="49" t="s">
        <v>454</v>
      </c>
      <c r="E373" s="49" t="s">
        <v>574</v>
      </c>
      <c r="F373" s="49" t="s">
        <v>1377</v>
      </c>
      <c r="G373" s="64">
        <v>10000000</v>
      </c>
      <c r="H373" s="64"/>
      <c r="I373" s="64"/>
      <c r="J373" s="65">
        <f>IF(G373&gt;0,_xludf.IFS(G373=10000000,800000,G373=20000000,1528000,G373=30000000,2028000,G373=60000000,4056000),"")</f>
      </c>
      <c r="K373" s="64"/>
      <c r="L373" s="66">
        <v>46147</v>
      </c>
      <c r="M373" s="67">
        <f>IF(L373&gt;0,EDATE(L373,-2),"")</f>
        <v>25569.375</v>
      </c>
      <c r="N373" s="49" t="s">
        <v>212</v>
      </c>
      <c r="O373" s="49" t="s">
        <v>1378</v>
      </c>
      <c r="P373" s="68">
        <f>IF(F373&gt;0,F373,"")</f>
      </c>
      <c r="Q373" s="69" t="s">
        <v>1379</v>
      </c>
      <c r="R373" s="69">
        <v>56569321</v>
      </c>
      <c r="S373" s="67">
        <f>IF(ISNUMBER(M373), EDATE(M373,36)-1, "")</f>
        <v>25569.375</v>
      </c>
      <c r="T373" s="49"/>
      <c r="U373" s="49"/>
      <c r="V373" s="63"/>
      <c r="W373" s="56"/>
      <c r="X373" s="56"/>
      <c r="Y373" s="56"/>
      <c r="Z373" s="56"/>
      <c r="AA373" s="56"/>
      <c r="AB373" s="56"/>
    </row>
    <row x14ac:dyDescent="0.25" r="374" customHeight="1" ht="18.75">
      <c r="A374" s="56"/>
      <c r="B374" s="56"/>
      <c r="C374" s="50" t="s">
        <v>16</v>
      </c>
      <c r="D374" s="50" t="s">
        <v>143</v>
      </c>
      <c r="E374" s="50" t="s">
        <v>14</v>
      </c>
      <c r="F374" s="50" t="s">
        <v>1380</v>
      </c>
      <c r="G374" s="55">
        <v>10000000</v>
      </c>
      <c r="H374" s="55"/>
      <c r="I374" s="55"/>
      <c r="J374" s="51">
        <v>500000</v>
      </c>
      <c r="K374" s="51"/>
      <c r="L374" s="52">
        <v>46154</v>
      </c>
      <c r="M374" s="53">
        <v>46093</v>
      </c>
      <c r="N374" s="50" t="s">
        <v>168</v>
      </c>
      <c r="O374" s="50" t="s">
        <v>1381</v>
      </c>
      <c r="P374" s="50" t="s">
        <v>1380</v>
      </c>
      <c r="Q374" s="55" t="s">
        <v>1382</v>
      </c>
      <c r="R374" s="55" t="s">
        <v>1383</v>
      </c>
      <c r="S374" s="53">
        <v>47188</v>
      </c>
      <c r="T374" s="50" t="s">
        <v>1384</v>
      </c>
      <c r="U374" s="50" t="s">
        <v>166</v>
      </c>
      <c r="V374" s="56" t="s">
        <v>772</v>
      </c>
      <c r="W374" s="56"/>
      <c r="X374" s="56"/>
      <c r="Y374" s="56"/>
      <c r="Z374" s="56"/>
      <c r="AA374" s="56"/>
      <c r="AB374" s="56"/>
    </row>
    <row x14ac:dyDescent="0.25" r="375" customHeight="1" ht="18.75">
      <c r="A375" s="56"/>
      <c r="B375" s="56"/>
      <c r="C375" s="50" t="s">
        <v>16</v>
      </c>
      <c r="D375" s="50"/>
      <c r="E375" s="50"/>
      <c r="F375" s="50" t="s">
        <v>2446</v>
      </c>
      <c r="G375" s="55">
        <v>60000000</v>
      </c>
      <c r="H375" s="55"/>
      <c r="I375" s="55"/>
      <c r="J375" s="51">
        <v>3000000</v>
      </c>
      <c r="K375" s="51"/>
      <c r="L375" s="52">
        <v>46188</v>
      </c>
      <c r="M375" s="53">
        <v>46127</v>
      </c>
      <c r="N375" s="50" t="s">
        <v>161</v>
      </c>
      <c r="O375" s="50" t="s">
        <v>2447</v>
      </c>
      <c r="P375" s="50" t="s">
        <v>2446</v>
      </c>
      <c r="Q375" s="55" t="s">
        <v>2448</v>
      </c>
      <c r="R375" s="55" t="s">
        <v>2449</v>
      </c>
      <c r="S375" s="53">
        <v>47222</v>
      </c>
      <c r="T375" s="50" t="s">
        <v>2450</v>
      </c>
      <c r="U375" s="50" t="s">
        <v>166</v>
      </c>
      <c r="V375" s="56"/>
      <c r="W375" s="56"/>
      <c r="X375" s="56"/>
      <c r="Y375" s="56"/>
      <c r="Z375" s="56"/>
      <c r="AA375" s="56"/>
      <c r="AB375" s="56"/>
    </row>
    <row x14ac:dyDescent="0.25" r="376" customHeight="1" ht="18.75">
      <c r="A376" s="56"/>
      <c r="B376" s="56"/>
      <c r="C376" s="50" t="s">
        <v>16</v>
      </c>
      <c r="D376" s="50"/>
      <c r="E376" s="50"/>
      <c r="F376" s="50" t="s">
        <v>1385</v>
      </c>
      <c r="G376" s="55">
        <v>10000000</v>
      </c>
      <c r="H376" s="55"/>
      <c r="I376" s="55"/>
      <c r="J376" s="51">
        <v>800000</v>
      </c>
      <c r="K376" s="51"/>
      <c r="L376" s="52">
        <v>45930</v>
      </c>
      <c r="M376" s="53">
        <v>45848</v>
      </c>
      <c r="N376" s="50" t="s">
        <v>306</v>
      </c>
      <c r="O376" s="50" t="s">
        <v>1386</v>
      </c>
      <c r="P376" s="50" t="s">
        <v>1385</v>
      </c>
      <c r="Q376" s="55" t="s">
        <v>1387</v>
      </c>
      <c r="R376" s="55" t="s">
        <v>1388</v>
      </c>
      <c r="S376" s="53">
        <v>46943</v>
      </c>
      <c r="T376" s="50"/>
      <c r="U376" s="50"/>
      <c r="V376" s="56"/>
      <c r="W376" s="56"/>
      <c r="X376" s="56"/>
      <c r="Y376" s="56"/>
      <c r="Z376" s="56"/>
      <c r="AA376" s="56"/>
      <c r="AB376" s="56"/>
    </row>
    <row x14ac:dyDescent="0.25" r="377" customHeight="1" ht="18.75">
      <c r="A377" s="56"/>
      <c r="B377" s="56"/>
      <c r="C377" s="50" t="s">
        <v>16</v>
      </c>
      <c r="D377" s="50"/>
      <c r="E377" s="50"/>
      <c r="F377" s="50" t="s">
        <v>1389</v>
      </c>
      <c r="G377" s="55">
        <v>30000000</v>
      </c>
      <c r="H377" s="55"/>
      <c r="I377" s="55"/>
      <c r="J377" s="51">
        <v>2400000</v>
      </c>
      <c r="K377" s="51"/>
      <c r="L377" s="52">
        <v>46090</v>
      </c>
      <c r="M377" s="53">
        <v>46022</v>
      </c>
      <c r="N377" s="50" t="s">
        <v>302</v>
      </c>
      <c r="O377" s="50" t="s">
        <v>1390</v>
      </c>
      <c r="P377" s="50" t="s">
        <v>1389</v>
      </c>
      <c r="Q377" s="55" t="s">
        <v>1391</v>
      </c>
      <c r="R377" s="55" t="s">
        <v>1392</v>
      </c>
      <c r="S377" s="53">
        <v>46760</v>
      </c>
      <c r="T377" s="50"/>
      <c r="U377" s="50"/>
      <c r="V377" s="56"/>
      <c r="W377" s="56"/>
      <c r="X377" s="56"/>
      <c r="Y377" s="56"/>
      <c r="Z377" s="56"/>
      <c r="AA377" s="56"/>
      <c r="AB377" s="56"/>
    </row>
    <row x14ac:dyDescent="0.25" r="378" customHeight="1" ht="18.75">
      <c r="A378" s="56"/>
      <c r="B378" s="56"/>
      <c r="C378" s="50" t="s">
        <v>16</v>
      </c>
      <c r="D378" s="50"/>
      <c r="E378" s="50"/>
      <c r="F378" s="50" t="s">
        <v>3284</v>
      </c>
      <c r="G378" s="51">
        <v>60000000</v>
      </c>
      <c r="H378" s="51"/>
      <c r="I378" s="51"/>
      <c r="J378" s="51">
        <v>4800000</v>
      </c>
      <c r="K378" s="51"/>
      <c r="L378" s="52">
        <v>45841</v>
      </c>
      <c r="M378" s="53">
        <f>IF(L378&gt;0,EDATE(L378,-2),"")</f>
        <v>25569.375</v>
      </c>
      <c r="N378" s="50" t="s">
        <v>168</v>
      </c>
      <c r="O378" s="50" t="s">
        <v>3285</v>
      </c>
      <c r="P378" s="54">
        <f>IF(F378&gt;0,F378,"")</f>
      </c>
      <c r="Q378" s="55">
        <v>6703131890211</v>
      </c>
      <c r="R378" s="55">
        <v>42652655</v>
      </c>
      <c r="S378" s="53">
        <f>IF(ISNUMBER(M378), EDATE(M378,36)-1, "")</f>
        <v>25569.375</v>
      </c>
      <c r="T378" s="50"/>
      <c r="U378" s="50"/>
      <c r="V378" s="56"/>
      <c r="W378" s="56"/>
      <c r="X378" s="56"/>
      <c r="Y378" s="56"/>
      <c r="Z378" s="56"/>
      <c r="AA378" s="56"/>
      <c r="AB378" s="56"/>
    </row>
    <row x14ac:dyDescent="0.25" r="379" customHeight="1" ht="18.75">
      <c r="A379" s="48" t="s">
        <v>1133</v>
      </c>
      <c r="B379" s="48"/>
      <c r="C379" s="50" t="s">
        <v>16</v>
      </c>
      <c r="D379" s="50"/>
      <c r="E379" s="50"/>
      <c r="F379" s="50" t="s">
        <v>1393</v>
      </c>
      <c r="G379" s="55">
        <v>30000000</v>
      </c>
      <c r="H379" s="55"/>
      <c r="I379" s="55"/>
      <c r="J379" s="51">
        <v>2028000</v>
      </c>
      <c r="K379" s="51"/>
      <c r="L379" s="52">
        <v>46043</v>
      </c>
      <c r="M379" s="53">
        <v>45982</v>
      </c>
      <c r="N379" s="50" t="s">
        <v>217</v>
      </c>
      <c r="O379" s="50" t="s">
        <v>1394</v>
      </c>
      <c r="P379" s="50" t="s">
        <v>1393</v>
      </c>
      <c r="Q379" s="55" t="s">
        <v>1395</v>
      </c>
      <c r="R379" s="55" t="s">
        <v>1396</v>
      </c>
      <c r="S379" s="53">
        <v>47077</v>
      </c>
      <c r="T379" s="50"/>
      <c r="U379" s="50"/>
      <c r="V379" s="56"/>
      <c r="W379" s="56"/>
      <c r="X379" s="56"/>
      <c r="Y379" s="56"/>
      <c r="Z379" s="56"/>
      <c r="AA379" s="56"/>
      <c r="AB379" s="56"/>
    </row>
    <row x14ac:dyDescent="0.25" r="380" customHeight="1" ht="18.75">
      <c r="A380" s="48" t="s">
        <v>63</v>
      </c>
      <c r="B380" s="48"/>
      <c r="C380" s="49" t="s">
        <v>16</v>
      </c>
      <c r="D380" s="50" t="s">
        <v>116</v>
      </c>
      <c r="E380" s="50" t="s">
        <v>117</v>
      </c>
      <c r="F380" s="50" t="s">
        <v>118</v>
      </c>
      <c r="G380" s="51">
        <v>20000000</v>
      </c>
      <c r="H380" s="51"/>
      <c r="I380" s="51"/>
      <c r="J380" s="87">
        <f>IF(G380&gt;0,_xludf.IFS(G380=10000000,800000,G380=20000000,1528000,G380=30000000,2028000,G380=60000000,4056000),"")</f>
      </c>
      <c r="K380" s="51"/>
      <c r="L380" s="52">
        <v>46188</v>
      </c>
      <c r="M380" s="53">
        <f>IF(L380&gt;0,EDATE(L380,-2),"")</f>
        <v>25569.375</v>
      </c>
      <c r="N380" s="50" t="s">
        <v>217</v>
      </c>
      <c r="O380" s="50" t="s">
        <v>2498</v>
      </c>
      <c r="P380" s="54">
        <f>IF(F380&gt;0,F380,"")</f>
      </c>
      <c r="Q380" s="55" t="s">
        <v>2499</v>
      </c>
      <c r="R380" s="55" t="s">
        <v>2500</v>
      </c>
      <c r="S380" s="53">
        <f>IF(ISNUMBER(M380), EDATE(M380,36)-1, "")</f>
        <v>25569.375</v>
      </c>
      <c r="T380" s="50"/>
      <c r="U380" s="50"/>
      <c r="V380" s="56"/>
      <c r="W380" s="56"/>
      <c r="X380" s="56"/>
      <c r="Y380" s="56"/>
      <c r="Z380" s="56"/>
      <c r="AA380" s="56"/>
      <c r="AB380" s="56"/>
    </row>
    <row x14ac:dyDescent="0.25" r="381" customHeight="1" ht="18.75">
      <c r="A381" s="56"/>
      <c r="B381" s="56"/>
      <c r="C381" s="50" t="s">
        <v>16</v>
      </c>
      <c r="D381" s="50"/>
      <c r="E381" s="50"/>
      <c r="F381" s="50" t="s">
        <v>160</v>
      </c>
      <c r="G381" s="55">
        <v>10000000</v>
      </c>
      <c r="H381" s="55"/>
      <c r="I381" s="55"/>
      <c r="J381" s="51">
        <v>800000</v>
      </c>
      <c r="K381" s="51"/>
      <c r="L381" s="52">
        <v>46190</v>
      </c>
      <c r="M381" s="53">
        <v>46129</v>
      </c>
      <c r="N381" s="50" t="s">
        <v>161</v>
      </c>
      <c r="O381" s="50" t="s">
        <v>162</v>
      </c>
      <c r="P381" s="50" t="s">
        <v>160</v>
      </c>
      <c r="Q381" s="55" t="s">
        <v>163</v>
      </c>
      <c r="R381" s="55" t="s">
        <v>164</v>
      </c>
      <c r="S381" s="53">
        <v>47224</v>
      </c>
      <c r="T381" s="50" t="s">
        <v>165</v>
      </c>
      <c r="U381" s="50" t="s">
        <v>166</v>
      </c>
      <c r="V381" s="56"/>
      <c r="W381" s="56"/>
      <c r="X381" s="56"/>
      <c r="Y381" s="56"/>
      <c r="Z381" s="56"/>
      <c r="AA381" s="56"/>
      <c r="AB381" s="56"/>
    </row>
    <row x14ac:dyDescent="0.25" r="382" customHeight="1" ht="18.75">
      <c r="A382" s="56"/>
      <c r="B382" s="56"/>
      <c r="C382" s="50" t="s">
        <v>16</v>
      </c>
      <c r="D382" s="50"/>
      <c r="E382" s="50"/>
      <c r="F382" s="50" t="s">
        <v>1403</v>
      </c>
      <c r="G382" s="55">
        <v>60000000</v>
      </c>
      <c r="H382" s="55"/>
      <c r="I382" s="55"/>
      <c r="J382" s="51">
        <v>4800000</v>
      </c>
      <c r="K382" s="51"/>
      <c r="L382" s="52">
        <v>45988</v>
      </c>
      <c r="M382" s="53">
        <v>45931</v>
      </c>
      <c r="N382" s="50" t="s">
        <v>217</v>
      </c>
      <c r="O382" s="50" t="s">
        <v>1404</v>
      </c>
      <c r="P382" s="50" t="s">
        <v>1403</v>
      </c>
      <c r="Q382" s="55" t="s">
        <v>1405</v>
      </c>
      <c r="R382" s="55" t="s">
        <v>1406</v>
      </c>
      <c r="S382" s="53">
        <v>47022</v>
      </c>
      <c r="T382" s="50"/>
      <c r="U382" s="50"/>
      <c r="V382" s="56"/>
      <c r="W382" s="56"/>
      <c r="X382" s="56"/>
      <c r="Y382" s="56"/>
      <c r="Z382" s="56"/>
      <c r="AA382" s="56"/>
      <c r="AB382" s="56"/>
    </row>
    <row x14ac:dyDescent="0.25" r="383" customHeight="1" ht="18.75">
      <c r="A383" s="56"/>
      <c r="B383" s="56"/>
      <c r="C383" s="50" t="s">
        <v>16</v>
      </c>
      <c r="D383" s="50" t="s">
        <v>80</v>
      </c>
      <c r="E383" s="50" t="s">
        <v>172</v>
      </c>
      <c r="F383" s="50" t="s">
        <v>173</v>
      </c>
      <c r="G383" s="55">
        <v>20000000</v>
      </c>
      <c r="H383" s="55"/>
      <c r="I383" s="55"/>
      <c r="J383" s="51">
        <v>1528000</v>
      </c>
      <c r="K383" s="51"/>
      <c r="L383" s="52">
        <v>46190</v>
      </c>
      <c r="M383" s="53">
        <v>46129</v>
      </c>
      <c r="N383" s="50" t="s">
        <v>174</v>
      </c>
      <c r="O383" s="50" t="s">
        <v>175</v>
      </c>
      <c r="P383" s="50" t="s">
        <v>173</v>
      </c>
      <c r="Q383" s="55" t="s">
        <v>176</v>
      </c>
      <c r="R383" s="55" t="s">
        <v>177</v>
      </c>
      <c r="S383" s="53">
        <v>47224</v>
      </c>
      <c r="T383" s="50" t="s">
        <v>178</v>
      </c>
      <c r="U383" s="50" t="s">
        <v>179</v>
      </c>
      <c r="V383" s="48" t="s">
        <v>180</v>
      </c>
      <c r="W383" s="56"/>
      <c r="X383" s="56"/>
      <c r="Y383" s="56"/>
      <c r="Z383" s="56"/>
      <c r="AA383" s="56"/>
      <c r="AB383" s="56"/>
    </row>
    <row x14ac:dyDescent="0.25" r="384" customHeight="1" ht="18.75">
      <c r="A384" s="56"/>
      <c r="B384" s="56"/>
      <c r="C384" s="50" t="s">
        <v>16</v>
      </c>
      <c r="D384" s="50"/>
      <c r="E384" s="50" t="s">
        <v>22</v>
      </c>
      <c r="F384" s="50" t="s">
        <v>1214</v>
      </c>
      <c r="G384" s="55">
        <v>20000000</v>
      </c>
      <c r="H384" s="55"/>
      <c r="I384" s="55"/>
      <c r="J384" s="51">
        <v>1528000</v>
      </c>
      <c r="K384" s="51"/>
      <c r="L384" s="52">
        <v>46190</v>
      </c>
      <c r="M384" s="53">
        <v>46129</v>
      </c>
      <c r="N384" s="50" t="s">
        <v>161</v>
      </c>
      <c r="O384" s="50" t="s">
        <v>1215</v>
      </c>
      <c r="P384" s="50" t="s">
        <v>1214</v>
      </c>
      <c r="Q384" s="55" t="s">
        <v>1216</v>
      </c>
      <c r="R384" s="55" t="s">
        <v>1217</v>
      </c>
      <c r="S384" s="53">
        <v>47224</v>
      </c>
      <c r="T384" s="50" t="s">
        <v>1218</v>
      </c>
      <c r="U384" s="50" t="s">
        <v>166</v>
      </c>
      <c r="V384" s="56"/>
      <c r="W384" s="56"/>
      <c r="X384" s="56"/>
      <c r="Y384" s="56"/>
      <c r="Z384" s="56"/>
      <c r="AA384" s="56"/>
      <c r="AB384" s="56"/>
    </row>
    <row x14ac:dyDescent="0.25" r="385" customHeight="1" ht="18.75">
      <c r="A385" s="56"/>
      <c r="B385" s="56"/>
      <c r="C385" s="50" t="s">
        <v>16</v>
      </c>
      <c r="D385" s="50" t="s">
        <v>627</v>
      </c>
      <c r="E385" s="50" t="s">
        <v>373</v>
      </c>
      <c r="F385" s="50" t="s">
        <v>1403</v>
      </c>
      <c r="G385" s="55">
        <v>10000000</v>
      </c>
      <c r="H385" s="55"/>
      <c r="I385" s="55"/>
      <c r="J385" s="51">
        <v>800000</v>
      </c>
      <c r="K385" s="51"/>
      <c r="L385" s="52">
        <v>46190</v>
      </c>
      <c r="M385" s="53">
        <v>46129</v>
      </c>
      <c r="N385" s="50" t="s">
        <v>205</v>
      </c>
      <c r="O385" s="50" t="s">
        <v>1407</v>
      </c>
      <c r="P385" s="50" t="s">
        <v>1403</v>
      </c>
      <c r="Q385" s="55" t="s">
        <v>1408</v>
      </c>
      <c r="R385" s="55" t="s">
        <v>1407</v>
      </c>
      <c r="S385" s="53">
        <v>47224</v>
      </c>
      <c r="T385" s="50" t="s">
        <v>1409</v>
      </c>
      <c r="U385" s="50" t="s">
        <v>166</v>
      </c>
      <c r="V385" s="56"/>
      <c r="W385" s="56"/>
      <c r="X385" s="56"/>
      <c r="Y385" s="56"/>
      <c r="Z385" s="56"/>
      <c r="AA385" s="56"/>
      <c r="AB385" s="56"/>
    </row>
    <row x14ac:dyDescent="0.25" r="386" customHeight="1" ht="18.75">
      <c r="A386" s="56"/>
      <c r="B386" s="56"/>
      <c r="C386" s="50" t="s">
        <v>16</v>
      </c>
      <c r="D386" s="50"/>
      <c r="E386" s="50"/>
      <c r="F386" s="50" t="s">
        <v>1413</v>
      </c>
      <c r="G386" s="55">
        <v>20000000</v>
      </c>
      <c r="H386" s="55"/>
      <c r="I386" s="55"/>
      <c r="J386" s="51">
        <v>1528000</v>
      </c>
      <c r="K386" s="51"/>
      <c r="L386" s="52">
        <v>46090</v>
      </c>
      <c r="M386" s="53">
        <v>46022</v>
      </c>
      <c r="N386" s="50" t="s">
        <v>217</v>
      </c>
      <c r="O386" s="50" t="s">
        <v>1414</v>
      </c>
      <c r="P386" s="50" t="s">
        <v>1413</v>
      </c>
      <c r="Q386" s="55" t="s">
        <v>1415</v>
      </c>
      <c r="R386" s="55" t="s">
        <v>1416</v>
      </c>
      <c r="S386" s="53">
        <v>47126</v>
      </c>
      <c r="T386" s="50"/>
      <c r="U386" s="50"/>
      <c r="V386" s="56"/>
      <c r="W386" s="56"/>
      <c r="X386" s="56"/>
      <c r="Y386" s="56"/>
      <c r="Z386" s="56"/>
      <c r="AA386" s="56"/>
      <c r="AB386" s="56"/>
    </row>
    <row x14ac:dyDescent="0.25" r="387" customHeight="1" ht="18.75">
      <c r="A387" s="56"/>
      <c r="B387" s="56"/>
      <c r="C387" s="50" t="s">
        <v>16</v>
      </c>
      <c r="D387" s="50"/>
      <c r="E387" s="50"/>
      <c r="F387" s="50" t="s">
        <v>1417</v>
      </c>
      <c r="G387" s="55">
        <v>10000000</v>
      </c>
      <c r="H387" s="55"/>
      <c r="I387" s="55"/>
      <c r="J387" s="51">
        <v>800000</v>
      </c>
      <c r="K387" s="51"/>
      <c r="L387" s="52">
        <v>46071</v>
      </c>
      <c r="M387" s="53">
        <v>46009</v>
      </c>
      <c r="N387" s="50" t="s">
        <v>168</v>
      </c>
      <c r="O387" s="50" t="s">
        <v>1418</v>
      </c>
      <c r="P387" s="50" t="s">
        <v>1417</v>
      </c>
      <c r="Q387" s="55" t="s">
        <v>1419</v>
      </c>
      <c r="R387" s="55" t="s">
        <v>1420</v>
      </c>
      <c r="S387" s="53">
        <v>47104</v>
      </c>
      <c r="T387" s="50"/>
      <c r="U387" s="50"/>
      <c r="V387" s="56"/>
      <c r="W387" s="56"/>
      <c r="X387" s="56"/>
      <c r="Y387" s="56"/>
      <c r="Z387" s="56"/>
      <c r="AA387" s="56"/>
      <c r="AB387" s="56"/>
    </row>
    <row x14ac:dyDescent="0.25" r="388" customHeight="1" ht="18.75">
      <c r="A388" s="56"/>
      <c r="B388" s="56"/>
      <c r="C388" s="49" t="s">
        <v>16</v>
      </c>
      <c r="D388" s="50" t="s">
        <v>410</v>
      </c>
      <c r="E388" s="50" t="s">
        <v>411</v>
      </c>
      <c r="F388" s="50" t="s">
        <v>1599</v>
      </c>
      <c r="G388" s="51">
        <v>10000000</v>
      </c>
      <c r="H388" s="51"/>
      <c r="I388" s="51"/>
      <c r="J388" s="87">
        <f>IF(G388&gt;0,_xludf.IFS(G388=10000000,1200000,G388=20000000,1800000,G388=30000000,2400000,G388=60000000,4000000),"")</f>
      </c>
      <c r="K388" s="51"/>
      <c r="L388" s="52">
        <v>46190</v>
      </c>
      <c r="M388" s="53">
        <f>IF(L388&gt;0,EDATE(L388,-2),"")</f>
        <v>25569.375</v>
      </c>
      <c r="N388" s="50" t="s">
        <v>217</v>
      </c>
      <c r="O388" s="50" t="s">
        <v>1600</v>
      </c>
      <c r="P388" s="54">
        <f>IF(F388&gt;0,F388,"")</f>
      </c>
      <c r="Q388" s="55">
        <v>303224041529</v>
      </c>
      <c r="R388" s="55">
        <v>83003530</v>
      </c>
      <c r="S388" s="53">
        <f>IF(ISNUMBER(M388), EDATE(M388,36)-1, "")</f>
        <v>25569.375</v>
      </c>
      <c r="T388" s="50"/>
      <c r="U388" s="50"/>
      <c r="V388" s="56"/>
      <c r="W388" s="56"/>
      <c r="X388" s="56"/>
      <c r="Y388" s="56"/>
      <c r="Z388" s="56"/>
      <c r="AA388" s="56"/>
      <c r="AB388" s="56"/>
    </row>
    <row x14ac:dyDescent="0.25" r="389" customHeight="1" ht="18.75">
      <c r="A389" s="56"/>
      <c r="B389" s="56"/>
      <c r="C389" s="50" t="s">
        <v>16</v>
      </c>
      <c r="D389" s="50"/>
      <c r="E389" s="50"/>
      <c r="F389" s="50" t="s">
        <v>1425</v>
      </c>
      <c r="G389" s="55">
        <v>10000000</v>
      </c>
      <c r="H389" s="55"/>
      <c r="I389" s="55"/>
      <c r="J389" s="51">
        <v>800000</v>
      </c>
      <c r="K389" s="51"/>
      <c r="L389" s="52">
        <v>46061</v>
      </c>
      <c r="M389" s="53">
        <v>45999</v>
      </c>
      <c r="N389" s="50" t="s">
        <v>239</v>
      </c>
      <c r="O389" s="50" t="s">
        <v>1426</v>
      </c>
      <c r="P389" s="50" t="s">
        <v>1425</v>
      </c>
      <c r="Q389" s="55" t="s">
        <v>1427</v>
      </c>
      <c r="R389" s="55" t="s">
        <v>1428</v>
      </c>
      <c r="S389" s="53">
        <v>47094</v>
      </c>
      <c r="T389" s="50"/>
      <c r="U389" s="50"/>
      <c r="V389" s="56"/>
      <c r="W389" s="56"/>
      <c r="X389" s="56"/>
      <c r="Y389" s="56"/>
      <c r="Z389" s="56"/>
      <c r="AA389" s="56"/>
      <c r="AB389" s="56"/>
    </row>
    <row x14ac:dyDescent="0.25" r="390" customHeight="1" ht="18.75">
      <c r="A390" s="56"/>
      <c r="B390" s="56"/>
      <c r="C390" s="50" t="s">
        <v>13</v>
      </c>
      <c r="D390" s="50"/>
      <c r="E390" s="50"/>
      <c r="F390" s="50" t="s">
        <v>1429</v>
      </c>
      <c r="G390" s="55">
        <v>20000000</v>
      </c>
      <c r="H390" s="55"/>
      <c r="I390" s="55"/>
      <c r="J390" s="51">
        <v>1650000</v>
      </c>
      <c r="K390" s="51"/>
      <c r="L390" s="52">
        <v>45778</v>
      </c>
      <c r="M390" s="53">
        <v>45717</v>
      </c>
      <c r="N390" s="50" t="s">
        <v>239</v>
      </c>
      <c r="O390" s="50" t="s">
        <v>1430</v>
      </c>
      <c r="P390" s="50" t="s">
        <v>1429</v>
      </c>
      <c r="Q390" s="55" t="s">
        <v>1431</v>
      </c>
      <c r="R390" s="55" t="s">
        <v>1432</v>
      </c>
      <c r="S390" s="53">
        <v>46812</v>
      </c>
      <c r="T390" s="50"/>
      <c r="U390" s="50"/>
      <c r="V390" s="56"/>
      <c r="W390" s="56"/>
      <c r="X390" s="56"/>
      <c r="Y390" s="56"/>
      <c r="Z390" s="56"/>
      <c r="AA390" s="56"/>
      <c r="AB390" s="56"/>
    </row>
    <row x14ac:dyDescent="0.25" r="391" customHeight="1" ht="18.75">
      <c r="A391" s="48" t="s">
        <v>1433</v>
      </c>
      <c r="B391" s="48"/>
      <c r="C391" s="50" t="s">
        <v>1434</v>
      </c>
      <c r="D391" s="50"/>
      <c r="E391" s="50"/>
      <c r="F391" s="50" t="s">
        <v>1429</v>
      </c>
      <c r="G391" s="55">
        <v>10000000</v>
      </c>
      <c r="H391" s="55"/>
      <c r="I391" s="55"/>
      <c r="J391" s="51">
        <v>900000</v>
      </c>
      <c r="K391" s="51"/>
      <c r="L391" s="52">
        <v>45838</v>
      </c>
      <c r="M391" s="53">
        <v>45777</v>
      </c>
      <c r="N391" s="50" t="s">
        <v>239</v>
      </c>
      <c r="O391" s="50" t="s">
        <v>1430</v>
      </c>
      <c r="P391" s="50" t="s">
        <v>1429</v>
      </c>
      <c r="Q391" s="55" t="s">
        <v>1431</v>
      </c>
      <c r="R391" s="55" t="s">
        <v>1432</v>
      </c>
      <c r="S391" s="53">
        <v>46872</v>
      </c>
      <c r="T391" s="50"/>
      <c r="U391" s="50"/>
      <c r="V391" s="56"/>
      <c r="W391" s="56"/>
      <c r="X391" s="56"/>
      <c r="Y391" s="56"/>
      <c r="Z391" s="56"/>
      <c r="AA391" s="56"/>
      <c r="AB391" s="56"/>
    </row>
    <row x14ac:dyDescent="0.25" r="392" customHeight="1" ht="18.75">
      <c r="A392" s="56"/>
      <c r="B392" s="56"/>
      <c r="C392" s="50" t="s">
        <v>16</v>
      </c>
      <c r="D392" s="50"/>
      <c r="E392" s="50"/>
      <c r="F392" s="50" t="s">
        <v>1429</v>
      </c>
      <c r="G392" s="55">
        <v>30000000</v>
      </c>
      <c r="H392" s="55"/>
      <c r="I392" s="55"/>
      <c r="J392" s="51">
        <v>2400000</v>
      </c>
      <c r="K392" s="51"/>
      <c r="L392" s="52">
        <v>45871</v>
      </c>
      <c r="M392" s="53">
        <v>45810</v>
      </c>
      <c r="N392" s="50" t="s">
        <v>239</v>
      </c>
      <c r="O392" s="50" t="s">
        <v>1430</v>
      </c>
      <c r="P392" s="50" t="s">
        <v>1429</v>
      </c>
      <c r="Q392" s="55" t="s">
        <v>1431</v>
      </c>
      <c r="R392" s="55" t="s">
        <v>1432</v>
      </c>
      <c r="S392" s="53">
        <v>46905</v>
      </c>
      <c r="T392" s="50"/>
      <c r="U392" s="50"/>
      <c r="V392" s="56"/>
      <c r="W392" s="56"/>
      <c r="X392" s="56"/>
      <c r="Y392" s="56"/>
      <c r="Z392" s="56"/>
      <c r="AA392" s="56"/>
      <c r="AB392" s="56"/>
    </row>
    <row x14ac:dyDescent="0.25" r="393" customHeight="1" ht="18.75">
      <c r="A393" s="48" t="s">
        <v>1133</v>
      </c>
      <c r="B393" s="48"/>
      <c r="C393" s="50" t="s">
        <v>16</v>
      </c>
      <c r="D393" s="50"/>
      <c r="E393" s="50"/>
      <c r="F393" s="50" t="s">
        <v>1429</v>
      </c>
      <c r="G393" s="55">
        <v>60000000</v>
      </c>
      <c r="H393" s="55"/>
      <c r="I393" s="55"/>
      <c r="J393" s="51">
        <v>4800000</v>
      </c>
      <c r="K393" s="51"/>
      <c r="L393" s="52">
        <v>46031</v>
      </c>
      <c r="M393" s="53">
        <v>45970</v>
      </c>
      <c r="N393" s="50" t="s">
        <v>217</v>
      </c>
      <c r="O393" s="50" t="s">
        <v>1437</v>
      </c>
      <c r="P393" s="50" t="s">
        <v>1429</v>
      </c>
      <c r="Q393" s="55" t="s">
        <v>1431</v>
      </c>
      <c r="R393" s="55" t="s">
        <v>1432</v>
      </c>
      <c r="S393" s="53">
        <v>47065</v>
      </c>
      <c r="T393" s="50"/>
      <c r="U393" s="50"/>
      <c r="V393" s="56"/>
      <c r="W393" s="56"/>
      <c r="X393" s="56"/>
      <c r="Y393" s="56"/>
      <c r="Z393" s="56"/>
      <c r="AA393" s="56"/>
      <c r="AB393" s="56"/>
    </row>
    <row x14ac:dyDescent="0.25" r="394" customHeight="1" ht="18.75">
      <c r="A394" s="56"/>
      <c r="B394" s="56"/>
      <c r="C394" s="50" t="s">
        <v>13</v>
      </c>
      <c r="D394" s="50"/>
      <c r="E394" s="50"/>
      <c r="F394" s="50" t="s">
        <v>1436</v>
      </c>
      <c r="G394" s="55">
        <v>30000000</v>
      </c>
      <c r="H394" s="55"/>
      <c r="I394" s="55"/>
      <c r="J394" s="51">
        <v>2400000</v>
      </c>
      <c r="K394" s="51"/>
      <c r="L394" s="52">
        <v>45778</v>
      </c>
      <c r="M394" s="53">
        <v>45717</v>
      </c>
      <c r="N394" s="50" t="s">
        <v>217</v>
      </c>
      <c r="O394" s="50" t="s">
        <v>1438</v>
      </c>
      <c r="P394" s="50" t="s">
        <v>1436</v>
      </c>
      <c r="Q394" s="55" t="s">
        <v>1439</v>
      </c>
      <c r="R394" s="55" t="s">
        <v>1440</v>
      </c>
      <c r="S394" s="53">
        <v>46812</v>
      </c>
      <c r="T394" s="50"/>
      <c r="U394" s="50"/>
      <c r="V394" s="56"/>
      <c r="W394" s="56"/>
      <c r="X394" s="56"/>
      <c r="Y394" s="56"/>
      <c r="Z394" s="56"/>
      <c r="AA394" s="56"/>
      <c r="AB394" s="56"/>
    </row>
    <row x14ac:dyDescent="0.25" r="395" customHeight="1" ht="18.75">
      <c r="A395" s="56"/>
      <c r="B395" s="56"/>
      <c r="C395" s="50" t="s">
        <v>16</v>
      </c>
      <c r="D395" s="50"/>
      <c r="E395" s="50"/>
      <c r="F395" s="50" t="s">
        <v>1436</v>
      </c>
      <c r="G395" s="55">
        <v>30000000</v>
      </c>
      <c r="H395" s="55"/>
      <c r="I395" s="55"/>
      <c r="J395" s="51">
        <v>2400000</v>
      </c>
      <c r="K395" s="51"/>
      <c r="L395" s="52">
        <v>45892</v>
      </c>
      <c r="M395" s="53">
        <v>45835</v>
      </c>
      <c r="N395" s="50" t="s">
        <v>217</v>
      </c>
      <c r="O395" s="50" t="s">
        <v>1438</v>
      </c>
      <c r="P395" s="50" t="s">
        <v>1436</v>
      </c>
      <c r="Q395" s="55" t="s">
        <v>1439</v>
      </c>
      <c r="R395" s="55" t="s">
        <v>1440</v>
      </c>
      <c r="S395" s="53">
        <v>46930</v>
      </c>
      <c r="T395" s="50"/>
      <c r="U395" s="50"/>
      <c r="V395" s="56"/>
      <c r="W395" s="56"/>
      <c r="X395" s="56"/>
      <c r="Y395" s="56"/>
      <c r="Z395" s="56"/>
      <c r="AA395" s="56"/>
      <c r="AB395" s="56"/>
    </row>
    <row x14ac:dyDescent="0.25" r="396" customHeight="1" ht="18.75">
      <c r="A396" s="56"/>
      <c r="B396" s="56"/>
      <c r="C396" s="50" t="s">
        <v>16</v>
      </c>
      <c r="D396" s="50"/>
      <c r="E396" s="50"/>
      <c r="F396" s="50" t="s">
        <v>1436</v>
      </c>
      <c r="G396" s="55">
        <v>60000000</v>
      </c>
      <c r="H396" s="55"/>
      <c r="I396" s="55"/>
      <c r="J396" s="51">
        <v>4800000</v>
      </c>
      <c r="K396" s="51"/>
      <c r="L396" s="52">
        <v>45910</v>
      </c>
      <c r="M396" s="53">
        <v>45848</v>
      </c>
      <c r="N396" s="50" t="s">
        <v>217</v>
      </c>
      <c r="O396" s="50" t="s">
        <v>1438</v>
      </c>
      <c r="P396" s="50" t="s">
        <v>1436</v>
      </c>
      <c r="Q396" s="55" t="s">
        <v>1439</v>
      </c>
      <c r="R396" s="55" t="s">
        <v>1440</v>
      </c>
      <c r="S396" s="53">
        <v>46943</v>
      </c>
      <c r="T396" s="50"/>
      <c r="U396" s="50"/>
      <c r="V396" s="56"/>
      <c r="W396" s="56"/>
      <c r="X396" s="56"/>
      <c r="Y396" s="56"/>
      <c r="Z396" s="56"/>
      <c r="AA396" s="56"/>
      <c r="AB396" s="56"/>
    </row>
    <row x14ac:dyDescent="0.25" r="397" customHeight="1" ht="18.75">
      <c r="A397" s="56"/>
      <c r="B397" s="56"/>
      <c r="C397" s="50" t="s">
        <v>16</v>
      </c>
      <c r="D397" s="50"/>
      <c r="E397" s="50"/>
      <c r="F397" s="50" t="s">
        <v>1441</v>
      </c>
      <c r="G397" s="55">
        <v>10000000</v>
      </c>
      <c r="H397" s="55"/>
      <c r="I397" s="55"/>
      <c r="J397" s="51">
        <v>800000</v>
      </c>
      <c r="K397" s="51"/>
      <c r="L397" s="52">
        <v>46147</v>
      </c>
      <c r="M397" s="53">
        <v>46086</v>
      </c>
      <c r="N397" s="50" t="s">
        <v>161</v>
      </c>
      <c r="O397" s="50" t="s">
        <v>1442</v>
      </c>
      <c r="P397" s="50" t="s">
        <v>1441</v>
      </c>
      <c r="Q397" s="55" t="s">
        <v>1443</v>
      </c>
      <c r="R397" s="55" t="s">
        <v>1444</v>
      </c>
      <c r="S397" s="53">
        <v>47181</v>
      </c>
      <c r="T397" s="50" t="s">
        <v>1445</v>
      </c>
      <c r="U397" s="50" t="s">
        <v>166</v>
      </c>
      <c r="V397" s="56"/>
      <c r="W397" s="56"/>
      <c r="X397" s="56"/>
      <c r="Y397" s="56"/>
      <c r="Z397" s="56"/>
      <c r="AA397" s="56"/>
      <c r="AB397" s="56"/>
    </row>
    <row x14ac:dyDescent="0.25" r="398" customHeight="1" ht="18.75">
      <c r="A398" s="56"/>
      <c r="B398" s="56"/>
      <c r="C398" s="50" t="s">
        <v>16</v>
      </c>
      <c r="D398" s="50" t="s">
        <v>48</v>
      </c>
      <c r="E398" s="50" t="s">
        <v>23</v>
      </c>
      <c r="F398" s="50" t="s">
        <v>1850</v>
      </c>
      <c r="G398" s="55">
        <v>10000000</v>
      </c>
      <c r="H398" s="55"/>
      <c r="I398" s="55"/>
      <c r="J398" s="51">
        <v>1200000</v>
      </c>
      <c r="K398" s="51"/>
      <c r="L398" s="52">
        <v>46190</v>
      </c>
      <c r="M398" s="53">
        <v>46129</v>
      </c>
      <c r="N398" s="50" t="s">
        <v>155</v>
      </c>
      <c r="O398" s="50" t="s">
        <v>1851</v>
      </c>
      <c r="P398" s="50" t="s">
        <v>1850</v>
      </c>
      <c r="Q398" s="55" t="s">
        <v>1852</v>
      </c>
      <c r="R398" s="55" t="s">
        <v>1853</v>
      </c>
      <c r="S398" s="53">
        <v>47224</v>
      </c>
      <c r="T398" s="50"/>
      <c r="U398" s="50" t="s">
        <v>166</v>
      </c>
      <c r="V398" s="56"/>
      <c r="W398" s="56"/>
      <c r="X398" s="56"/>
      <c r="Y398" s="56"/>
      <c r="Z398" s="56"/>
      <c r="AA398" s="56"/>
      <c r="AB398" s="56"/>
    </row>
    <row x14ac:dyDescent="0.25" r="399" customHeight="1" ht="18.75">
      <c r="A399" s="56" t="s">
        <v>152</v>
      </c>
      <c r="B399" s="56"/>
      <c r="C399" s="50" t="s">
        <v>16</v>
      </c>
      <c r="D399" s="50" t="s">
        <v>627</v>
      </c>
      <c r="E399" s="50" t="s">
        <v>373</v>
      </c>
      <c r="F399" s="50" t="s">
        <v>1446</v>
      </c>
      <c r="G399" s="51">
        <v>20000000</v>
      </c>
      <c r="H399" s="51"/>
      <c r="I399" s="51"/>
      <c r="J399" s="51">
        <v>1528000</v>
      </c>
      <c r="K399" s="51"/>
      <c r="L399" s="52">
        <v>46158</v>
      </c>
      <c r="M399" s="53">
        <f>IF(L399&gt;0,EDATE(L399,-2),"")</f>
        <v>25569.375</v>
      </c>
      <c r="N399" s="50" t="s">
        <v>239</v>
      </c>
      <c r="O399" s="50" t="s">
        <v>1447</v>
      </c>
      <c r="P399" s="54">
        <f>IF(F399&gt;0,F399,"")</f>
      </c>
      <c r="Q399" s="55">
        <v>5503181042718</v>
      </c>
      <c r="R399" s="55"/>
      <c r="S399" s="53">
        <f>IF(ISNUMBER(M399), EDATE(M399,36)-1, "")</f>
        <v>25569.375</v>
      </c>
      <c r="T399" s="50"/>
      <c r="U399" s="50"/>
      <c r="V399" s="56"/>
      <c r="W399" s="56"/>
      <c r="X399" s="56"/>
      <c r="Y399" s="56"/>
      <c r="Z399" s="56"/>
      <c r="AA399" s="56"/>
      <c r="AB399" s="56"/>
    </row>
    <row x14ac:dyDescent="0.25" r="400" customHeight="1" ht="18.75">
      <c r="A400" s="56"/>
      <c r="B400" s="56"/>
      <c r="C400" s="50" t="s">
        <v>16</v>
      </c>
      <c r="D400" s="50" t="s">
        <v>143</v>
      </c>
      <c r="E400" s="50" t="s">
        <v>14</v>
      </c>
      <c r="F400" s="50" t="s">
        <v>2171</v>
      </c>
      <c r="G400" s="55">
        <v>10000000</v>
      </c>
      <c r="H400" s="55"/>
      <c r="I400" s="55"/>
      <c r="J400" s="51">
        <v>1200000</v>
      </c>
      <c r="K400" s="51"/>
      <c r="L400" s="52">
        <v>46190</v>
      </c>
      <c r="M400" s="53">
        <v>46129</v>
      </c>
      <c r="N400" s="50" t="s">
        <v>168</v>
      </c>
      <c r="O400" s="50" t="s">
        <v>2172</v>
      </c>
      <c r="P400" s="50" t="s">
        <v>2171</v>
      </c>
      <c r="Q400" s="55" t="s">
        <v>2173</v>
      </c>
      <c r="R400" s="85" t="s">
        <v>2174</v>
      </c>
      <c r="S400" s="53">
        <v>47224</v>
      </c>
      <c r="T400" s="50" t="s">
        <v>2175</v>
      </c>
      <c r="U400" s="50"/>
      <c r="V400" s="56"/>
      <c r="W400" s="56"/>
      <c r="X400" s="56"/>
      <c r="Y400" s="56"/>
      <c r="Z400" s="56"/>
      <c r="AA400" s="56"/>
      <c r="AB400" s="56"/>
    </row>
    <row x14ac:dyDescent="0.25" r="401" customHeight="1" ht="18.75">
      <c r="A401" s="56"/>
      <c r="B401" s="56"/>
      <c r="C401" s="50" t="s">
        <v>16</v>
      </c>
      <c r="D401" s="50"/>
      <c r="E401" s="50" t="s">
        <v>22</v>
      </c>
      <c r="F401" s="50" t="s">
        <v>1452</v>
      </c>
      <c r="G401" s="55">
        <v>10000000</v>
      </c>
      <c r="H401" s="55"/>
      <c r="I401" s="55"/>
      <c r="J401" s="51">
        <v>800000</v>
      </c>
      <c r="K401" s="51"/>
      <c r="L401" s="52">
        <v>46165</v>
      </c>
      <c r="M401" s="53">
        <v>46104</v>
      </c>
      <c r="N401" s="50" t="s">
        <v>217</v>
      </c>
      <c r="O401" s="50" t="s">
        <v>1194</v>
      </c>
      <c r="P401" s="50" t="s">
        <v>1452</v>
      </c>
      <c r="Q401" s="55" t="s">
        <v>1453</v>
      </c>
      <c r="R401" s="55" t="s">
        <v>1454</v>
      </c>
      <c r="S401" s="53">
        <v>47199</v>
      </c>
      <c r="T401" s="50" t="s">
        <v>1455</v>
      </c>
      <c r="U401" s="50" t="s">
        <v>166</v>
      </c>
      <c r="V401" s="56"/>
      <c r="W401" s="56"/>
      <c r="X401" s="56"/>
      <c r="Y401" s="56"/>
      <c r="Z401" s="56"/>
      <c r="AA401" s="56"/>
      <c r="AB401" s="56"/>
    </row>
    <row x14ac:dyDescent="0.25" r="402" customHeight="1" ht="18.75">
      <c r="A402" s="71" t="s">
        <v>275</v>
      </c>
      <c r="B402" s="71"/>
      <c r="C402" s="72" t="s">
        <v>16</v>
      </c>
      <c r="D402" s="72"/>
      <c r="E402" s="72"/>
      <c r="F402" s="72" t="s">
        <v>1452</v>
      </c>
      <c r="G402" s="73"/>
      <c r="H402" s="73"/>
      <c r="I402" s="73"/>
      <c r="J402" s="74"/>
      <c r="K402" s="74"/>
      <c r="L402" s="75" t="s">
        <v>449</v>
      </c>
      <c r="M402" s="76" t="s">
        <v>449</v>
      </c>
      <c r="N402" s="72"/>
      <c r="O402" s="72"/>
      <c r="P402" s="72" t="s">
        <v>1452</v>
      </c>
      <c r="Q402" s="73" t="s">
        <v>1453</v>
      </c>
      <c r="R402" s="73" t="s">
        <v>1454</v>
      </c>
      <c r="S402" s="76" t="s">
        <v>449</v>
      </c>
      <c r="T402" s="72"/>
      <c r="U402" s="72"/>
      <c r="V402" s="71"/>
      <c r="W402" s="56"/>
      <c r="X402" s="56"/>
      <c r="Y402" s="56"/>
      <c r="Z402" s="56"/>
      <c r="AA402" s="56"/>
      <c r="AB402" s="56"/>
    </row>
    <row x14ac:dyDescent="0.25" r="403" customHeight="1" ht="18.75">
      <c r="A403" s="56"/>
      <c r="B403" s="56"/>
      <c r="C403" s="50" t="s">
        <v>16</v>
      </c>
      <c r="D403" s="50"/>
      <c r="E403" s="50"/>
      <c r="F403" s="50" t="s">
        <v>1456</v>
      </c>
      <c r="G403" s="55">
        <v>10000000</v>
      </c>
      <c r="H403" s="55"/>
      <c r="I403" s="55"/>
      <c r="J403" s="51">
        <v>800000</v>
      </c>
      <c r="K403" s="51"/>
      <c r="L403" s="52">
        <v>45997</v>
      </c>
      <c r="M403" s="53">
        <v>45936</v>
      </c>
      <c r="N403" s="50" t="s">
        <v>155</v>
      </c>
      <c r="O403" s="50" t="s">
        <v>1457</v>
      </c>
      <c r="P403" s="50" t="s">
        <v>1456</v>
      </c>
      <c r="Q403" s="55" t="s">
        <v>1458</v>
      </c>
      <c r="R403" s="55" t="s">
        <v>1459</v>
      </c>
      <c r="S403" s="53">
        <v>47031</v>
      </c>
      <c r="T403" s="50"/>
      <c r="U403" s="50"/>
      <c r="V403" s="56"/>
      <c r="W403" s="56"/>
      <c r="X403" s="56"/>
      <c r="Y403" s="56"/>
      <c r="Z403" s="56"/>
      <c r="AA403" s="56"/>
      <c r="AB403" s="56"/>
    </row>
    <row x14ac:dyDescent="0.25" r="404" customHeight="1" ht="18.75">
      <c r="A404" s="48" t="s">
        <v>152</v>
      </c>
      <c r="B404" s="48"/>
      <c r="C404" s="50" t="s">
        <v>16</v>
      </c>
      <c r="D404" s="50" t="s">
        <v>202</v>
      </c>
      <c r="E404" s="50" t="s">
        <v>203</v>
      </c>
      <c r="F404" s="50" t="s">
        <v>1460</v>
      </c>
      <c r="G404" s="51">
        <v>10000000</v>
      </c>
      <c r="H404" s="51"/>
      <c r="I404" s="51"/>
      <c r="J404" s="51">
        <v>500000</v>
      </c>
      <c r="K404" s="51"/>
      <c r="L404" s="52">
        <v>46065</v>
      </c>
      <c r="M404" s="53">
        <v>46021</v>
      </c>
      <c r="N404" s="50" t="s">
        <v>205</v>
      </c>
      <c r="O404" s="50" t="s">
        <v>1461</v>
      </c>
      <c r="P404" s="54">
        <f>IF(F404&gt;0,F404,"")</f>
      </c>
      <c r="Q404" s="55">
        <v>9223236716</v>
      </c>
      <c r="R404" s="55">
        <v>40286463</v>
      </c>
      <c r="S404" s="53">
        <f>IF(ISNUMBER(M404), EDATE(M404,36)-1, "")</f>
        <v>25569.375</v>
      </c>
      <c r="T404" s="50"/>
      <c r="U404" s="50"/>
      <c r="V404" s="48" t="s">
        <v>1462</v>
      </c>
      <c r="W404" s="56"/>
      <c r="X404" s="56"/>
      <c r="Y404" s="56"/>
      <c r="Z404" s="56"/>
      <c r="AA404" s="56"/>
      <c r="AB404" s="56"/>
    </row>
    <row x14ac:dyDescent="0.25" r="405" customHeight="1" ht="18.75">
      <c r="A405" s="56"/>
      <c r="B405" s="56"/>
      <c r="C405" s="50" t="s">
        <v>16</v>
      </c>
      <c r="D405" s="50"/>
      <c r="E405" s="50"/>
      <c r="F405" s="50" t="s">
        <v>51</v>
      </c>
      <c r="G405" s="55">
        <v>10000000</v>
      </c>
      <c r="H405" s="55"/>
      <c r="I405" s="55"/>
      <c r="J405" s="51">
        <v>400000</v>
      </c>
      <c r="K405" s="51"/>
      <c r="L405" s="52">
        <v>45470</v>
      </c>
      <c r="M405" s="53">
        <v>45409</v>
      </c>
      <c r="N405" s="50" t="s">
        <v>239</v>
      </c>
      <c r="O405" s="50" t="s">
        <v>1463</v>
      </c>
      <c r="P405" s="50" t="s">
        <v>51</v>
      </c>
      <c r="Q405" s="55" t="s">
        <v>1464</v>
      </c>
      <c r="R405" s="55" t="s">
        <v>1465</v>
      </c>
      <c r="S405" s="53">
        <v>46503</v>
      </c>
      <c r="T405" s="50" t="s">
        <v>52</v>
      </c>
      <c r="U405" s="50" t="s">
        <v>166</v>
      </c>
      <c r="V405" s="56"/>
      <c r="W405" s="56"/>
      <c r="X405" s="56"/>
      <c r="Y405" s="56"/>
      <c r="Z405" s="56"/>
      <c r="AA405" s="56"/>
      <c r="AB405" s="56"/>
    </row>
    <row x14ac:dyDescent="0.25" r="406" customHeight="1" ht="18.75">
      <c r="A406" s="56"/>
      <c r="B406" s="56"/>
      <c r="C406" s="50" t="s">
        <v>16</v>
      </c>
      <c r="D406" s="50"/>
      <c r="E406" s="50" t="s">
        <v>22</v>
      </c>
      <c r="F406" s="50" t="s">
        <v>2171</v>
      </c>
      <c r="G406" s="55">
        <v>10000000</v>
      </c>
      <c r="H406" s="55"/>
      <c r="I406" s="55"/>
      <c r="J406" s="51">
        <v>800000</v>
      </c>
      <c r="K406" s="51"/>
      <c r="L406" s="52">
        <v>46190</v>
      </c>
      <c r="M406" s="53">
        <v>46129</v>
      </c>
      <c r="N406" s="50" t="s">
        <v>168</v>
      </c>
      <c r="O406" s="50" t="s">
        <v>2172</v>
      </c>
      <c r="P406" s="50" t="s">
        <v>2171</v>
      </c>
      <c r="Q406" s="55" t="s">
        <v>2173</v>
      </c>
      <c r="R406" s="55" t="s">
        <v>2174</v>
      </c>
      <c r="S406" s="53">
        <v>47224</v>
      </c>
      <c r="T406" s="50"/>
      <c r="U406" s="50" t="s">
        <v>179</v>
      </c>
      <c r="V406" s="56"/>
      <c r="W406" s="56"/>
      <c r="X406" s="56"/>
      <c r="Y406" s="56"/>
      <c r="Z406" s="56"/>
      <c r="AA406" s="56"/>
      <c r="AB406" s="56"/>
    </row>
    <row x14ac:dyDescent="0.25" r="407" customHeight="1" ht="18.75">
      <c r="A407" s="56"/>
      <c r="B407" s="56"/>
      <c r="C407" s="50" t="s">
        <v>16</v>
      </c>
      <c r="D407" s="50" t="s">
        <v>410</v>
      </c>
      <c r="E407" s="50" t="s">
        <v>1294</v>
      </c>
      <c r="F407" s="50" t="s">
        <v>1467</v>
      </c>
      <c r="G407" s="55">
        <v>30000000</v>
      </c>
      <c r="H407" s="55"/>
      <c r="I407" s="55"/>
      <c r="J407" s="51">
        <v>2028000</v>
      </c>
      <c r="K407" s="51"/>
      <c r="L407" s="52">
        <v>46165</v>
      </c>
      <c r="M407" s="53">
        <v>46099</v>
      </c>
      <c r="N407" s="50" t="s">
        <v>168</v>
      </c>
      <c r="O407" s="50" t="s">
        <v>1468</v>
      </c>
      <c r="P407" s="50" t="s">
        <v>1467</v>
      </c>
      <c r="Q407" s="55" t="s">
        <v>1469</v>
      </c>
      <c r="R407" s="55" t="s">
        <v>1470</v>
      </c>
      <c r="S407" s="53">
        <v>47194</v>
      </c>
      <c r="T407" s="50"/>
      <c r="U407" s="50"/>
      <c r="V407" s="56"/>
      <c r="W407" s="56"/>
      <c r="X407" s="56"/>
      <c r="Y407" s="56"/>
      <c r="Z407" s="56"/>
      <c r="AA407" s="56"/>
      <c r="AB407" s="56"/>
    </row>
    <row x14ac:dyDescent="0.25" r="408" customHeight="1" ht="18.75">
      <c r="A408" s="71"/>
      <c r="B408" s="71"/>
      <c r="C408" s="72" t="s">
        <v>16</v>
      </c>
      <c r="D408" s="72"/>
      <c r="E408" s="72"/>
      <c r="F408" s="72" t="s">
        <v>1471</v>
      </c>
      <c r="G408" s="73">
        <v>20000000</v>
      </c>
      <c r="H408" s="73"/>
      <c r="I408" s="73"/>
      <c r="J408" s="88"/>
      <c r="K408" s="88"/>
      <c r="L408" s="75">
        <v>46131</v>
      </c>
      <c r="M408" s="76">
        <v>46072</v>
      </c>
      <c r="N408" s="72" t="s">
        <v>239</v>
      </c>
      <c r="O408" s="72" t="s">
        <v>1472</v>
      </c>
      <c r="P408" s="72" t="s">
        <v>1471</v>
      </c>
      <c r="Q408" s="73" t="s">
        <v>1473</v>
      </c>
      <c r="R408" s="73" t="s">
        <v>1474</v>
      </c>
      <c r="S408" s="76">
        <v>47167</v>
      </c>
      <c r="T408" s="72" t="s">
        <v>1475</v>
      </c>
      <c r="U408" s="72" t="s">
        <v>166</v>
      </c>
      <c r="V408" s="71" t="s">
        <v>3286</v>
      </c>
      <c r="W408" s="56"/>
      <c r="X408" s="56"/>
      <c r="Y408" s="56"/>
      <c r="Z408" s="56"/>
      <c r="AA408" s="56"/>
      <c r="AB408" s="56"/>
    </row>
    <row x14ac:dyDescent="0.25" r="409" customHeight="1" ht="18.75">
      <c r="A409" s="56"/>
      <c r="B409" s="56"/>
      <c r="C409" s="50" t="s">
        <v>16</v>
      </c>
      <c r="D409" s="50"/>
      <c r="E409" s="50"/>
      <c r="F409" s="50" t="s">
        <v>1471</v>
      </c>
      <c r="G409" s="55">
        <v>60000000</v>
      </c>
      <c r="H409" s="55"/>
      <c r="I409" s="55"/>
      <c r="J409" s="51">
        <v>3000000</v>
      </c>
      <c r="K409" s="51"/>
      <c r="L409" s="52">
        <v>46152</v>
      </c>
      <c r="M409" s="53">
        <v>46091</v>
      </c>
      <c r="N409" s="50" t="s">
        <v>239</v>
      </c>
      <c r="O409" s="50" t="s">
        <v>1472</v>
      </c>
      <c r="P409" s="50" t="s">
        <v>1471</v>
      </c>
      <c r="Q409" s="55" t="s">
        <v>1473</v>
      </c>
      <c r="R409" s="55" t="s">
        <v>1474</v>
      </c>
      <c r="S409" s="53">
        <v>47186</v>
      </c>
      <c r="T409" s="50"/>
      <c r="U409" s="50" t="s">
        <v>166</v>
      </c>
      <c r="V409" s="48" t="s">
        <v>418</v>
      </c>
      <c r="W409" s="56"/>
      <c r="X409" s="56"/>
      <c r="Y409" s="56"/>
      <c r="Z409" s="56"/>
      <c r="AA409" s="56"/>
      <c r="AB409" s="56"/>
    </row>
    <row x14ac:dyDescent="0.25" r="410" customHeight="1" ht="18.75">
      <c r="A410" s="56"/>
      <c r="B410" s="56"/>
      <c r="C410" s="50" t="s">
        <v>16</v>
      </c>
      <c r="D410" s="50"/>
      <c r="E410" s="50"/>
      <c r="F410" s="50" t="s">
        <v>1478</v>
      </c>
      <c r="G410" s="55">
        <v>20000000</v>
      </c>
      <c r="H410" s="55"/>
      <c r="I410" s="55"/>
      <c r="J410" s="51">
        <v>1528000</v>
      </c>
      <c r="K410" s="51"/>
      <c r="L410" s="52">
        <v>46032</v>
      </c>
      <c r="M410" s="53">
        <v>45983</v>
      </c>
      <c r="N410" s="50" t="s">
        <v>155</v>
      </c>
      <c r="O410" s="50" t="s">
        <v>1479</v>
      </c>
      <c r="P410" s="50" t="s">
        <v>1478</v>
      </c>
      <c r="Q410" s="55" t="s">
        <v>1480</v>
      </c>
      <c r="R410" s="55" t="s">
        <v>1481</v>
      </c>
      <c r="S410" s="53">
        <v>47066</v>
      </c>
      <c r="T410" s="50"/>
      <c r="U410" s="50"/>
      <c r="V410" s="56"/>
      <c r="W410" s="56"/>
      <c r="X410" s="56"/>
      <c r="Y410" s="56"/>
      <c r="Z410" s="56"/>
      <c r="AA410" s="56"/>
      <c r="AB410" s="56"/>
    </row>
    <row x14ac:dyDescent="0.25" r="411" customHeight="1" ht="18.75">
      <c r="A411" s="56"/>
      <c r="B411" s="56"/>
      <c r="C411" s="50" t="s">
        <v>16</v>
      </c>
      <c r="D411" s="50"/>
      <c r="E411" s="50"/>
      <c r="F411" s="50" t="s">
        <v>53</v>
      </c>
      <c r="G411" s="55">
        <v>10000000</v>
      </c>
      <c r="H411" s="55"/>
      <c r="I411" s="55"/>
      <c r="J411" s="51"/>
      <c r="K411" s="51"/>
      <c r="L411" s="52">
        <v>46020</v>
      </c>
      <c r="M411" s="53">
        <v>45959</v>
      </c>
      <c r="N411" s="50" t="s">
        <v>379</v>
      </c>
      <c r="O411" s="50" t="s">
        <v>3287</v>
      </c>
      <c r="P411" s="50" t="s">
        <v>53</v>
      </c>
      <c r="Q411" s="55" t="s">
        <v>1485</v>
      </c>
      <c r="R411" s="55" t="s">
        <v>1484</v>
      </c>
      <c r="S411" s="53">
        <v>47054</v>
      </c>
      <c r="T411" s="50"/>
      <c r="U411" s="50"/>
      <c r="V411" s="48" t="s">
        <v>3288</v>
      </c>
      <c r="W411" s="56"/>
      <c r="X411" s="56"/>
      <c r="Y411" s="56"/>
      <c r="Z411" s="56"/>
      <c r="AA411" s="56"/>
      <c r="AB411" s="56"/>
    </row>
    <row x14ac:dyDescent="0.25" r="412" customHeight="1" ht="18.75">
      <c r="A412" s="56"/>
      <c r="B412" s="56"/>
      <c r="C412" s="50" t="s">
        <v>16</v>
      </c>
      <c r="D412" s="50"/>
      <c r="E412" s="50" t="s">
        <v>862</v>
      </c>
      <c r="F412" s="50" t="s">
        <v>1486</v>
      </c>
      <c r="G412" s="55">
        <v>10000000</v>
      </c>
      <c r="H412" s="55"/>
      <c r="I412" s="55"/>
      <c r="J412" s="51">
        <v>500000</v>
      </c>
      <c r="K412" s="51"/>
      <c r="L412" s="52">
        <v>46151</v>
      </c>
      <c r="M412" s="53">
        <v>46090</v>
      </c>
      <c r="N412" s="50" t="s">
        <v>1487</v>
      </c>
      <c r="O412" s="50" t="s">
        <v>1488</v>
      </c>
      <c r="P412" s="50" t="s">
        <v>1486</v>
      </c>
      <c r="Q412" s="55" t="s">
        <v>1489</v>
      </c>
      <c r="R412" s="55" t="s">
        <v>1490</v>
      </c>
      <c r="S412" s="53">
        <v>47185</v>
      </c>
      <c r="T412" s="50" t="s">
        <v>1491</v>
      </c>
      <c r="U412" s="50" t="s">
        <v>166</v>
      </c>
      <c r="V412" s="56"/>
      <c r="W412" s="56"/>
      <c r="X412" s="56"/>
      <c r="Y412" s="56"/>
      <c r="Z412" s="56"/>
      <c r="AA412" s="56"/>
      <c r="AB412" s="56"/>
    </row>
    <row x14ac:dyDescent="0.25" r="413" customHeight="1" ht="18.75">
      <c r="A413" s="56"/>
      <c r="B413" s="56"/>
      <c r="C413" s="50" t="s">
        <v>16</v>
      </c>
      <c r="D413" s="50" t="s">
        <v>143</v>
      </c>
      <c r="E413" s="50" t="s">
        <v>22</v>
      </c>
      <c r="F413" s="50" t="s">
        <v>1492</v>
      </c>
      <c r="G413" s="55">
        <v>10000000</v>
      </c>
      <c r="H413" s="55"/>
      <c r="I413" s="55"/>
      <c r="J413" s="51">
        <v>800000</v>
      </c>
      <c r="K413" s="51"/>
      <c r="L413" s="52">
        <v>46166</v>
      </c>
      <c r="M413" s="53">
        <v>46105</v>
      </c>
      <c r="N413" s="50" t="s">
        <v>1493</v>
      </c>
      <c r="O413" s="50" t="s">
        <v>1494</v>
      </c>
      <c r="P413" s="50" t="s">
        <v>1492</v>
      </c>
      <c r="Q413" s="55" t="s">
        <v>1495</v>
      </c>
      <c r="R413" s="55" t="s">
        <v>1496</v>
      </c>
      <c r="S413" s="53">
        <v>47200</v>
      </c>
      <c r="T413" s="50" t="s">
        <v>1497</v>
      </c>
      <c r="U413" s="50" t="s">
        <v>166</v>
      </c>
      <c r="V413" s="56"/>
      <c r="W413" s="56"/>
      <c r="X413" s="56"/>
      <c r="Y413" s="56"/>
      <c r="Z413" s="56"/>
      <c r="AA413" s="56"/>
      <c r="AB413" s="56"/>
    </row>
    <row x14ac:dyDescent="0.25" r="414" customHeight="1" ht="18.75">
      <c r="A414" s="56"/>
      <c r="B414" s="56"/>
      <c r="C414" s="50" t="s">
        <v>16</v>
      </c>
      <c r="D414" s="50"/>
      <c r="E414" s="50" t="s">
        <v>22</v>
      </c>
      <c r="F414" s="50" t="s">
        <v>1498</v>
      </c>
      <c r="G414" s="55">
        <v>10000000</v>
      </c>
      <c r="H414" s="55"/>
      <c r="I414" s="55"/>
      <c r="J414" s="51">
        <v>800000</v>
      </c>
      <c r="K414" s="51"/>
      <c r="L414" s="52">
        <v>46165</v>
      </c>
      <c r="M414" s="53">
        <v>46104</v>
      </c>
      <c r="N414" s="50" t="s">
        <v>161</v>
      </c>
      <c r="O414" s="50" t="s">
        <v>1499</v>
      </c>
      <c r="P414" s="50" t="s">
        <v>1498</v>
      </c>
      <c r="Q414" s="55" t="s">
        <v>1500</v>
      </c>
      <c r="R414" s="55" t="s">
        <v>1501</v>
      </c>
      <c r="S414" s="53">
        <v>47199</v>
      </c>
      <c r="T414" s="50" t="s">
        <v>1502</v>
      </c>
      <c r="U414" s="50" t="s">
        <v>166</v>
      </c>
      <c r="V414" s="56"/>
      <c r="W414" s="56"/>
      <c r="X414" s="56"/>
      <c r="Y414" s="56"/>
      <c r="Z414" s="56"/>
      <c r="AA414" s="56"/>
      <c r="AB414" s="56"/>
    </row>
    <row x14ac:dyDescent="0.25" r="415" customHeight="1" ht="18.75">
      <c r="A415" s="56"/>
      <c r="B415" s="56"/>
      <c r="C415" s="50" t="s">
        <v>16</v>
      </c>
      <c r="D415" s="50"/>
      <c r="E415" s="50"/>
      <c r="F415" s="50" t="s">
        <v>685</v>
      </c>
      <c r="G415" s="55">
        <v>10000000</v>
      </c>
      <c r="H415" s="55"/>
      <c r="I415" s="55"/>
      <c r="J415" s="51">
        <v>800000</v>
      </c>
      <c r="K415" s="51"/>
      <c r="L415" s="52">
        <v>46191</v>
      </c>
      <c r="M415" s="53">
        <v>46130</v>
      </c>
      <c r="N415" s="50" t="s">
        <v>239</v>
      </c>
      <c r="O415" s="50" t="s">
        <v>686</v>
      </c>
      <c r="P415" s="50" t="s">
        <v>685</v>
      </c>
      <c r="Q415" s="55" t="s">
        <v>687</v>
      </c>
      <c r="R415" s="55" t="s">
        <v>688</v>
      </c>
      <c r="S415" s="53">
        <v>47225</v>
      </c>
      <c r="T415" s="50" t="s">
        <v>689</v>
      </c>
      <c r="U415" s="50" t="s">
        <v>166</v>
      </c>
      <c r="V415" s="56"/>
      <c r="W415" s="56"/>
      <c r="X415" s="56"/>
      <c r="Y415" s="56"/>
      <c r="Z415" s="56"/>
      <c r="AA415" s="56"/>
      <c r="AB415" s="56"/>
    </row>
    <row x14ac:dyDescent="0.25" r="416" customHeight="1" ht="18.75">
      <c r="A416" s="48" t="s">
        <v>152</v>
      </c>
      <c r="B416" s="62"/>
      <c r="C416" s="50" t="s">
        <v>16</v>
      </c>
      <c r="D416" s="50" t="s">
        <v>48</v>
      </c>
      <c r="E416" s="50" t="s">
        <v>1044</v>
      </c>
      <c r="F416" s="50" t="s">
        <v>1827</v>
      </c>
      <c r="G416" s="55">
        <v>10000000</v>
      </c>
      <c r="H416" s="55"/>
      <c r="I416" s="55"/>
      <c r="J416" s="51">
        <v>800000</v>
      </c>
      <c r="K416" s="51"/>
      <c r="L416" s="52">
        <v>46191</v>
      </c>
      <c r="M416" s="53">
        <v>46130</v>
      </c>
      <c r="N416" s="50" t="s">
        <v>155</v>
      </c>
      <c r="O416" s="50" t="s">
        <v>1828</v>
      </c>
      <c r="P416" s="50" t="s">
        <v>1827</v>
      </c>
      <c r="Q416" s="55" t="s">
        <v>1829</v>
      </c>
      <c r="R416" s="55" t="s">
        <v>1830</v>
      </c>
      <c r="S416" s="53">
        <v>47226</v>
      </c>
      <c r="T416" s="50" t="s">
        <v>1831</v>
      </c>
      <c r="U416" s="50"/>
      <c r="V416" s="56" t="s">
        <v>1832</v>
      </c>
      <c r="W416" s="56"/>
      <c r="X416" s="56"/>
      <c r="Y416" s="56"/>
      <c r="Z416" s="56"/>
      <c r="AA416" s="56"/>
      <c r="AB416" s="56"/>
    </row>
    <row x14ac:dyDescent="0.25" r="417" customHeight="1" ht="18.75">
      <c r="A417" s="56"/>
      <c r="B417" s="56"/>
      <c r="C417" s="50" t="s">
        <v>16</v>
      </c>
      <c r="D417" s="50" t="s">
        <v>48</v>
      </c>
      <c r="E417" s="50" t="s">
        <v>1044</v>
      </c>
      <c r="F417" s="50" t="s">
        <v>2688</v>
      </c>
      <c r="G417" s="55">
        <v>10000000</v>
      </c>
      <c r="H417" s="55"/>
      <c r="I417" s="55"/>
      <c r="J417" s="51">
        <v>800000</v>
      </c>
      <c r="K417" s="51"/>
      <c r="L417" s="52">
        <v>46191</v>
      </c>
      <c r="M417" s="53">
        <v>46130</v>
      </c>
      <c r="N417" s="50" t="s">
        <v>168</v>
      </c>
      <c r="O417" s="50" t="s">
        <v>2689</v>
      </c>
      <c r="P417" s="50" t="s">
        <v>2688</v>
      </c>
      <c r="Q417" s="55" t="s">
        <v>2690</v>
      </c>
      <c r="R417" s="55" t="s">
        <v>2691</v>
      </c>
      <c r="S417" s="53">
        <v>47225</v>
      </c>
      <c r="T417" s="50" t="s">
        <v>2692</v>
      </c>
      <c r="U417" s="50" t="s">
        <v>166</v>
      </c>
      <c r="V417" s="56"/>
      <c r="W417" s="56"/>
      <c r="X417" s="56"/>
      <c r="Y417" s="56"/>
      <c r="Z417" s="56"/>
      <c r="AA417" s="56"/>
      <c r="AB417" s="56"/>
    </row>
    <row x14ac:dyDescent="0.25" r="418" customHeight="1" ht="18.75">
      <c r="A418" s="56"/>
      <c r="B418" s="56"/>
      <c r="C418" s="50" t="s">
        <v>16</v>
      </c>
      <c r="D418" s="50"/>
      <c r="E418" s="50"/>
      <c r="F418" s="50" t="s">
        <v>1509</v>
      </c>
      <c r="G418" s="55">
        <v>30000000</v>
      </c>
      <c r="H418" s="55"/>
      <c r="I418" s="55"/>
      <c r="J418" s="51">
        <v>2400000</v>
      </c>
      <c r="K418" s="51"/>
      <c r="L418" s="52">
        <v>45915</v>
      </c>
      <c r="M418" s="53">
        <v>45848</v>
      </c>
      <c r="N418" s="50" t="s">
        <v>155</v>
      </c>
      <c r="O418" s="50" t="s">
        <v>1510</v>
      </c>
      <c r="P418" s="50" t="s">
        <v>1509</v>
      </c>
      <c r="Q418" s="55" t="s">
        <v>1511</v>
      </c>
      <c r="R418" s="55" t="s">
        <v>1512</v>
      </c>
      <c r="S418" s="53">
        <v>46943</v>
      </c>
      <c r="T418" s="50"/>
      <c r="U418" s="50"/>
      <c r="V418" s="56"/>
      <c r="W418" s="56"/>
      <c r="X418" s="56"/>
      <c r="Y418" s="56"/>
      <c r="Z418" s="56"/>
      <c r="AA418" s="56"/>
      <c r="AB418" s="56"/>
    </row>
    <row x14ac:dyDescent="0.25" r="419" customHeight="1" ht="18.75">
      <c r="A419" s="56"/>
      <c r="B419" s="56"/>
      <c r="C419" s="50" t="s">
        <v>16</v>
      </c>
      <c r="D419" s="50"/>
      <c r="E419" s="50"/>
      <c r="F419" s="50" t="s">
        <v>1513</v>
      </c>
      <c r="G419" s="55">
        <v>10000000</v>
      </c>
      <c r="H419" s="55"/>
      <c r="I419" s="55"/>
      <c r="J419" s="51">
        <v>800000</v>
      </c>
      <c r="K419" s="51"/>
      <c r="L419" s="52">
        <v>46159</v>
      </c>
      <c r="M419" s="53">
        <v>46098</v>
      </c>
      <c r="N419" s="50" t="s">
        <v>302</v>
      </c>
      <c r="O419" s="50" t="s">
        <v>1514</v>
      </c>
      <c r="P419" s="50" t="s">
        <v>1513</v>
      </c>
      <c r="Q419" s="55" t="s">
        <v>1515</v>
      </c>
      <c r="R419" s="55" t="s">
        <v>1516</v>
      </c>
      <c r="S419" s="53">
        <v>47193</v>
      </c>
      <c r="T419" s="50"/>
      <c r="U419" s="50" t="s">
        <v>166</v>
      </c>
      <c r="V419" s="56"/>
      <c r="W419" s="56"/>
      <c r="X419" s="56"/>
      <c r="Y419" s="56"/>
      <c r="Z419" s="56"/>
      <c r="AA419" s="56"/>
      <c r="AB419" s="56"/>
    </row>
    <row x14ac:dyDescent="0.25" r="420" customHeight="1" ht="18.75">
      <c r="A420" s="63" t="s">
        <v>63</v>
      </c>
      <c r="B420" s="63"/>
      <c r="C420" s="49" t="s">
        <v>16</v>
      </c>
      <c r="D420" s="49"/>
      <c r="E420" s="49" t="s">
        <v>203</v>
      </c>
      <c r="F420" s="49" t="s">
        <v>1513</v>
      </c>
      <c r="G420" s="64">
        <v>20000000</v>
      </c>
      <c r="H420" s="64"/>
      <c r="I420" s="64"/>
      <c r="J420" s="65">
        <f>IF(G420&gt;0,_xludf.IFS(G420=10000000,800000,G420=20000000,1528000,G420=30000000,2028000,G420=60000000,4056000),"")</f>
      </c>
      <c r="K420" s="64"/>
      <c r="L420" s="66">
        <v>46213</v>
      </c>
      <c r="M420" s="67">
        <v>46098</v>
      </c>
      <c r="N420" s="49" t="s">
        <v>302</v>
      </c>
      <c r="O420" s="49" t="s">
        <v>1514</v>
      </c>
      <c r="P420" s="68">
        <f>IF(F420&gt;0,F420,"")</f>
      </c>
      <c r="Q420" s="69" t="s">
        <v>1515</v>
      </c>
      <c r="R420" s="69">
        <v>86992689</v>
      </c>
      <c r="S420" s="67">
        <f>IF(ISNUMBER(M420), EDATE(M420,36)-1, "")</f>
        <v>25569.375</v>
      </c>
      <c r="T420" s="49"/>
      <c r="U420" s="49"/>
      <c r="V420" s="63"/>
      <c r="W420" s="56"/>
      <c r="X420" s="56"/>
      <c r="Y420" s="56"/>
      <c r="Z420" s="56"/>
      <c r="AA420" s="56"/>
      <c r="AB420" s="56"/>
    </row>
    <row x14ac:dyDescent="0.25" r="421" customHeight="1" ht="18.75">
      <c r="A421" s="56"/>
      <c r="B421" s="56"/>
      <c r="C421" s="50" t="s">
        <v>16</v>
      </c>
      <c r="D421" s="50"/>
      <c r="E421" s="50"/>
      <c r="F421" s="50" t="s">
        <v>54</v>
      </c>
      <c r="G421" s="55">
        <v>30000000</v>
      </c>
      <c r="H421" s="55"/>
      <c r="I421" s="55"/>
      <c r="J421" s="51">
        <v>1528000</v>
      </c>
      <c r="K421" s="51"/>
      <c r="L421" s="52">
        <v>46027</v>
      </c>
      <c r="M421" s="53">
        <v>45965</v>
      </c>
      <c r="N421" s="50" t="s">
        <v>282</v>
      </c>
      <c r="O421" s="50" t="s">
        <v>1517</v>
      </c>
      <c r="P421" s="50" t="s">
        <v>54</v>
      </c>
      <c r="Q421" s="55" t="s">
        <v>1518</v>
      </c>
      <c r="R421" s="55" t="s">
        <v>1519</v>
      </c>
      <c r="S421" s="53">
        <v>47060</v>
      </c>
      <c r="T421" s="50"/>
      <c r="U421" s="50"/>
      <c r="V421" s="56"/>
      <c r="W421" s="56"/>
      <c r="X421" s="56"/>
      <c r="Y421" s="56"/>
      <c r="Z421" s="56"/>
      <c r="AA421" s="56"/>
      <c r="AB421" s="56"/>
    </row>
    <row x14ac:dyDescent="0.25" r="422" customHeight="1" ht="18.75">
      <c r="A422" s="56"/>
      <c r="B422" s="56"/>
      <c r="C422" s="50" t="s">
        <v>16</v>
      </c>
      <c r="D422" s="50"/>
      <c r="E422" s="50"/>
      <c r="F422" s="50" t="s">
        <v>318</v>
      </c>
      <c r="G422" s="55">
        <v>10000000</v>
      </c>
      <c r="H422" s="55"/>
      <c r="I422" s="55"/>
      <c r="J422" s="51">
        <v>800000</v>
      </c>
      <c r="K422" s="51"/>
      <c r="L422" s="52">
        <v>46091</v>
      </c>
      <c r="M422" s="53">
        <v>45667</v>
      </c>
      <c r="N422" s="50" t="s">
        <v>155</v>
      </c>
      <c r="O422" s="50" t="s">
        <v>1520</v>
      </c>
      <c r="P422" s="50" t="s">
        <v>318</v>
      </c>
      <c r="Q422" s="55" t="s">
        <v>1521</v>
      </c>
      <c r="R422" s="55" t="s">
        <v>1522</v>
      </c>
      <c r="S422" s="53">
        <v>47127</v>
      </c>
      <c r="T422" s="50"/>
      <c r="U422" s="50"/>
      <c r="V422" s="56"/>
      <c r="W422" s="56"/>
      <c r="X422" s="56"/>
      <c r="Y422" s="56"/>
      <c r="Z422" s="56"/>
      <c r="AA422" s="56"/>
      <c r="AB422" s="56"/>
    </row>
    <row x14ac:dyDescent="0.25" r="423" customHeight="1" ht="18.75">
      <c r="A423" s="56"/>
      <c r="B423" s="56"/>
      <c r="C423" s="50" t="s">
        <v>16</v>
      </c>
      <c r="D423" s="50"/>
      <c r="E423" s="50"/>
      <c r="F423" s="50" t="s">
        <v>1523</v>
      </c>
      <c r="G423" s="55">
        <v>10000000</v>
      </c>
      <c r="H423" s="55"/>
      <c r="I423" s="55"/>
      <c r="J423" s="51">
        <v>800000</v>
      </c>
      <c r="K423" s="51"/>
      <c r="L423" s="52">
        <v>46021</v>
      </c>
      <c r="M423" s="53">
        <v>45960</v>
      </c>
      <c r="N423" s="50" t="s">
        <v>306</v>
      </c>
      <c r="O423" s="50" t="s">
        <v>1524</v>
      </c>
      <c r="P423" s="50" t="s">
        <v>1523</v>
      </c>
      <c r="Q423" s="55" t="s">
        <v>1525</v>
      </c>
      <c r="R423" s="55" t="s">
        <v>1526</v>
      </c>
      <c r="S423" s="53">
        <v>47055</v>
      </c>
      <c r="T423" s="50"/>
      <c r="U423" s="50"/>
      <c r="V423" s="56"/>
      <c r="W423" s="56"/>
      <c r="X423" s="56"/>
      <c r="Y423" s="56"/>
      <c r="Z423" s="56"/>
      <c r="AA423" s="56"/>
      <c r="AB423" s="56"/>
    </row>
    <row x14ac:dyDescent="0.25" r="424" customHeight="1" ht="18.75">
      <c r="A424" s="48" t="s">
        <v>152</v>
      </c>
      <c r="B424" s="48"/>
      <c r="C424" s="50" t="s">
        <v>16</v>
      </c>
      <c r="D424" s="50" t="s">
        <v>55</v>
      </c>
      <c r="E424" s="50" t="s">
        <v>56</v>
      </c>
      <c r="F424" s="50" t="s">
        <v>57</v>
      </c>
      <c r="G424" s="51">
        <v>20000000</v>
      </c>
      <c r="H424" s="51"/>
      <c r="I424" s="51"/>
      <c r="J424" s="51">
        <v>1000000</v>
      </c>
      <c r="K424" s="51"/>
      <c r="L424" s="52">
        <v>46061</v>
      </c>
      <c r="M424" s="53">
        <f>IF(L424&gt;0,EDATE(L424,-2),"")</f>
        <v>25569.375</v>
      </c>
      <c r="N424" s="50" t="s">
        <v>234</v>
      </c>
      <c r="O424" s="50" t="s">
        <v>235</v>
      </c>
      <c r="P424" s="54">
        <f>IF(F424&gt;0,F424,"")</f>
      </c>
      <c r="Q424" s="55">
        <v>6904082396527</v>
      </c>
      <c r="R424" s="55">
        <v>86270733</v>
      </c>
      <c r="S424" s="53">
        <f>IF(ISNUMBER(M424), EDATE(M424,36)-1, "")</f>
        <v>25569.375</v>
      </c>
      <c r="T424" s="50"/>
      <c r="U424" s="50"/>
      <c r="V424" s="56" t="s">
        <v>58</v>
      </c>
      <c r="W424" s="56"/>
      <c r="X424" s="56"/>
      <c r="Y424" s="56"/>
      <c r="Z424" s="56"/>
      <c r="AA424" s="56"/>
      <c r="AB424" s="56"/>
    </row>
    <row x14ac:dyDescent="0.25" r="425" customHeight="1" ht="18.75">
      <c r="A425" s="56"/>
      <c r="B425" s="56"/>
      <c r="C425" s="50" t="s">
        <v>1527</v>
      </c>
      <c r="D425" s="50"/>
      <c r="E425" s="50"/>
      <c r="F425" s="50" t="s">
        <v>1528</v>
      </c>
      <c r="G425" s="55">
        <v>30000000</v>
      </c>
      <c r="H425" s="55"/>
      <c r="I425" s="55"/>
      <c r="J425" s="51">
        <v>1500000</v>
      </c>
      <c r="K425" s="51"/>
      <c r="L425" s="52">
        <v>45725</v>
      </c>
      <c r="M425" s="53">
        <v>45666</v>
      </c>
      <c r="N425" s="50" t="s">
        <v>217</v>
      </c>
      <c r="O425" s="50" t="s">
        <v>1529</v>
      </c>
      <c r="P425" s="50" t="s">
        <v>1528</v>
      </c>
      <c r="Q425" s="55" t="s">
        <v>1530</v>
      </c>
      <c r="R425" s="55" t="s">
        <v>1440</v>
      </c>
      <c r="S425" s="53">
        <v>46760</v>
      </c>
      <c r="T425" s="50"/>
      <c r="U425" s="50"/>
      <c r="V425" s="56"/>
      <c r="W425" s="56"/>
      <c r="X425" s="56"/>
      <c r="Y425" s="56"/>
      <c r="Z425" s="56"/>
      <c r="AA425" s="56"/>
      <c r="AB425" s="56"/>
    </row>
    <row x14ac:dyDescent="0.25" r="426" customHeight="1" ht="18.75">
      <c r="A426" s="56"/>
      <c r="B426" s="56"/>
      <c r="C426" s="49" t="s">
        <v>16</v>
      </c>
      <c r="D426" s="50" t="s">
        <v>816</v>
      </c>
      <c r="E426" s="50" t="s">
        <v>2203</v>
      </c>
      <c r="F426" s="50" t="s">
        <v>450</v>
      </c>
      <c r="G426" s="51">
        <v>10000000</v>
      </c>
      <c r="H426" s="51"/>
      <c r="I426" s="51"/>
      <c r="J426" s="87">
        <f>IF(G426&gt;0,_xludf.IFS(G426=10000000,800000,G426=20000000,1528000,G426=30000000,2028000,G426=60000000,4056000),"")</f>
      </c>
      <c r="K426" s="51"/>
      <c r="L426" s="52">
        <v>46192</v>
      </c>
      <c r="M426" s="53">
        <f>IF(L426&gt;0,EDATE(L426,-2),"")</f>
        <v>25569.375</v>
      </c>
      <c r="N426" s="50" t="s">
        <v>205</v>
      </c>
      <c r="O426" s="50" t="s">
        <v>3289</v>
      </c>
      <c r="P426" s="54">
        <f>IF(F426&gt;0,F426,"")</f>
      </c>
      <c r="Q426" s="55" t="s">
        <v>3290</v>
      </c>
      <c r="R426" s="55">
        <v>32510727</v>
      </c>
      <c r="S426" s="53">
        <f>IF(ISNUMBER(M426), EDATE(M426,36)-1, "")</f>
        <v>25569.375</v>
      </c>
      <c r="T426" s="50"/>
      <c r="U426" s="50"/>
      <c r="V426" s="56"/>
      <c r="W426" s="56"/>
      <c r="X426" s="56"/>
      <c r="Y426" s="56"/>
      <c r="Z426" s="56"/>
      <c r="AA426" s="56"/>
      <c r="AB426" s="56"/>
    </row>
    <row x14ac:dyDescent="0.25" r="427" customHeight="1" ht="18.75">
      <c r="A427" s="63"/>
      <c r="B427" s="63"/>
      <c r="C427" s="49" t="s">
        <v>16</v>
      </c>
      <c r="D427" s="49" t="s">
        <v>454</v>
      </c>
      <c r="E427" s="49" t="s">
        <v>574</v>
      </c>
      <c r="F427" s="49" t="s">
        <v>575</v>
      </c>
      <c r="G427" s="64">
        <v>10000000</v>
      </c>
      <c r="H427" s="64"/>
      <c r="I427" s="64"/>
      <c r="J427" s="64">
        <v>500000</v>
      </c>
      <c r="K427" s="64"/>
      <c r="L427" s="66">
        <v>46192</v>
      </c>
      <c r="M427" s="67">
        <f>IF(L427&gt;0,EDATE(L427,-2),"")</f>
        <v>25569.375</v>
      </c>
      <c r="N427" s="49" t="s">
        <v>155</v>
      </c>
      <c r="O427" s="49" t="s">
        <v>576</v>
      </c>
      <c r="P427" s="68">
        <f>IF(F427&gt;0,F427,"")</f>
      </c>
      <c r="Q427" s="69" t="s">
        <v>577</v>
      </c>
      <c r="R427" s="69">
        <v>63116622</v>
      </c>
      <c r="S427" s="67">
        <f>IF(ISNUMBER(M427), EDATE(M427,36)-1, "")</f>
        <v>25569.375</v>
      </c>
      <c r="T427" s="49"/>
      <c r="U427" s="49"/>
      <c r="V427" s="63"/>
      <c r="W427" s="56"/>
      <c r="X427" s="56"/>
      <c r="Y427" s="56"/>
      <c r="Z427" s="56"/>
      <c r="AA427" s="56"/>
      <c r="AB427" s="56"/>
    </row>
    <row x14ac:dyDescent="0.25" r="428" customHeight="1" ht="18.75">
      <c r="A428" s="56"/>
      <c r="B428" s="56"/>
      <c r="C428" s="50" t="s">
        <v>16</v>
      </c>
      <c r="D428" s="50"/>
      <c r="E428" s="50"/>
      <c r="F428" s="50" t="s">
        <v>1539</v>
      </c>
      <c r="G428" s="55">
        <v>10000000</v>
      </c>
      <c r="H428" s="55"/>
      <c r="I428" s="55"/>
      <c r="J428" s="51">
        <v>800000</v>
      </c>
      <c r="K428" s="51"/>
      <c r="L428" s="52">
        <v>46055</v>
      </c>
      <c r="M428" s="53">
        <v>45993</v>
      </c>
      <c r="N428" s="50" t="s">
        <v>217</v>
      </c>
      <c r="O428" s="50" t="s">
        <v>1540</v>
      </c>
      <c r="P428" s="50" t="s">
        <v>1539</v>
      </c>
      <c r="Q428" s="55" t="s">
        <v>1541</v>
      </c>
      <c r="R428" s="55" t="s">
        <v>1542</v>
      </c>
      <c r="S428" s="53">
        <v>47088</v>
      </c>
      <c r="T428" s="50"/>
      <c r="U428" s="50"/>
      <c r="V428" s="56"/>
      <c r="W428" s="56"/>
      <c r="X428" s="56"/>
      <c r="Y428" s="56"/>
      <c r="Z428" s="56"/>
      <c r="AA428" s="56"/>
      <c r="AB428" s="56"/>
    </row>
    <row x14ac:dyDescent="0.25" r="429" customHeight="1" ht="18.75">
      <c r="A429" s="48" t="s">
        <v>63</v>
      </c>
      <c r="B429" s="48"/>
      <c r="C429" s="49" t="s">
        <v>16</v>
      </c>
      <c r="D429" s="50" t="s">
        <v>202</v>
      </c>
      <c r="E429" s="50" t="s">
        <v>203</v>
      </c>
      <c r="F429" s="50" t="s">
        <v>1543</v>
      </c>
      <c r="G429" s="51">
        <v>20000000</v>
      </c>
      <c r="H429" s="51"/>
      <c r="I429" s="51"/>
      <c r="J429" s="87">
        <f>IF(G429&gt;0,_xludf.IFS(G429=10000000,800000,G429=20000000,1528000,G429=30000000,2028000,G429=60000000,4056000),"")</f>
      </c>
      <c r="K429" s="51"/>
      <c r="L429" s="52">
        <v>46213</v>
      </c>
      <c r="M429" s="53">
        <v>46009</v>
      </c>
      <c r="N429" s="50" t="s">
        <v>239</v>
      </c>
      <c r="O429" s="50" t="s">
        <v>1544</v>
      </c>
      <c r="P429" s="54">
        <f>IF(F429&gt;0,F429,"")</f>
      </c>
      <c r="Q429" s="55" t="s">
        <v>1545</v>
      </c>
      <c r="R429" s="55">
        <v>27162186</v>
      </c>
      <c r="S429" s="53">
        <f>IF(ISNUMBER(M429), EDATE(M429,36)-1, "")</f>
        <v>25569.375</v>
      </c>
      <c r="T429" s="50"/>
      <c r="U429" s="50"/>
      <c r="V429" s="48" t="s">
        <v>3291</v>
      </c>
      <c r="W429" s="56"/>
      <c r="X429" s="56"/>
      <c r="Y429" s="56"/>
      <c r="Z429" s="56"/>
      <c r="AA429" s="56"/>
      <c r="AB429" s="56"/>
    </row>
    <row x14ac:dyDescent="0.25" r="430" customHeight="1" ht="18.75">
      <c r="A430" s="56"/>
      <c r="B430" s="56"/>
      <c r="C430" s="50" t="s">
        <v>16</v>
      </c>
      <c r="D430" s="50" t="s">
        <v>454</v>
      </c>
      <c r="E430" s="50" t="s">
        <v>318</v>
      </c>
      <c r="F430" s="50" t="s">
        <v>1547</v>
      </c>
      <c r="G430" s="55">
        <v>10000000</v>
      </c>
      <c r="H430" s="55"/>
      <c r="I430" s="55"/>
      <c r="J430" s="51">
        <v>800000</v>
      </c>
      <c r="K430" s="51"/>
      <c r="L430" s="52">
        <v>46126</v>
      </c>
      <c r="M430" s="53">
        <v>46067</v>
      </c>
      <c r="N430" s="50" t="s">
        <v>988</v>
      </c>
      <c r="O430" s="50" t="s">
        <v>1548</v>
      </c>
      <c r="P430" s="50" t="s">
        <v>1547</v>
      </c>
      <c r="Q430" s="55" t="s">
        <v>1550</v>
      </c>
      <c r="R430" s="55" t="s">
        <v>1551</v>
      </c>
      <c r="S430" s="53">
        <v>47162</v>
      </c>
      <c r="T430" s="50" t="s">
        <v>1552</v>
      </c>
      <c r="U430" s="50" t="s">
        <v>166</v>
      </c>
      <c r="V430" s="48" t="s">
        <v>1553</v>
      </c>
      <c r="W430" s="56"/>
      <c r="X430" s="56"/>
      <c r="Y430" s="56"/>
      <c r="Z430" s="56"/>
      <c r="AA430" s="56"/>
      <c r="AB430" s="56"/>
    </row>
    <row x14ac:dyDescent="0.25" r="431" customHeight="1" ht="18.75">
      <c r="A431" s="48" t="s">
        <v>152</v>
      </c>
      <c r="B431" s="48"/>
      <c r="C431" s="50" t="s">
        <v>16</v>
      </c>
      <c r="D431" s="50" t="s">
        <v>454</v>
      </c>
      <c r="E431" s="50" t="s">
        <v>1547</v>
      </c>
      <c r="F431" s="50" t="s">
        <v>1547</v>
      </c>
      <c r="G431" s="55">
        <v>10000000</v>
      </c>
      <c r="H431" s="55"/>
      <c r="I431" s="55"/>
      <c r="J431" s="51">
        <v>800000</v>
      </c>
      <c r="K431" s="51"/>
      <c r="L431" s="52">
        <v>46167</v>
      </c>
      <c r="M431" s="53">
        <v>46106</v>
      </c>
      <c r="N431" s="50" t="s">
        <v>302</v>
      </c>
      <c r="O431" s="50" t="s">
        <v>1554</v>
      </c>
      <c r="P431" s="50" t="s">
        <v>1547</v>
      </c>
      <c r="Q431" s="55" t="s">
        <v>1550</v>
      </c>
      <c r="R431" s="55" t="s">
        <v>1551</v>
      </c>
      <c r="S431" s="53">
        <v>47201</v>
      </c>
      <c r="T431" s="50" t="s">
        <v>1556</v>
      </c>
      <c r="U431" s="50" t="s">
        <v>166</v>
      </c>
      <c r="V431" s="48" t="s">
        <v>3292</v>
      </c>
      <c r="W431" s="56"/>
      <c r="X431" s="56"/>
      <c r="Y431" s="56"/>
      <c r="Z431" s="56"/>
      <c r="AA431" s="56"/>
      <c r="AB431" s="56"/>
    </row>
    <row x14ac:dyDescent="0.25" r="432" customHeight="1" ht="18.75">
      <c r="A432" s="63" t="s">
        <v>152</v>
      </c>
      <c r="B432" s="63"/>
      <c r="C432" s="49" t="s">
        <v>16</v>
      </c>
      <c r="D432" s="49" t="s">
        <v>454</v>
      </c>
      <c r="E432" s="49" t="s">
        <v>318</v>
      </c>
      <c r="F432" s="49" t="s">
        <v>1547</v>
      </c>
      <c r="G432" s="64">
        <v>20000000</v>
      </c>
      <c r="H432" s="64"/>
      <c r="I432" s="64"/>
      <c r="J432" s="65">
        <f>IF(G432&gt;0,_xludf.IFS(G432=10000000,800000,G432=20000000,1528000,G432=30000000,2028000,G432=60000000,4056000),"")</f>
      </c>
      <c r="K432" s="64"/>
      <c r="L432" s="66">
        <v>46162</v>
      </c>
      <c r="M432" s="67">
        <v>46057</v>
      </c>
      <c r="N432" s="49" t="s">
        <v>555</v>
      </c>
      <c r="O432" s="49" t="s">
        <v>1559</v>
      </c>
      <c r="P432" s="68">
        <f>IF(F432&gt;0,F432,"")</f>
      </c>
      <c r="Q432" s="69" t="s">
        <v>1560</v>
      </c>
      <c r="R432" s="69">
        <v>33646259</v>
      </c>
      <c r="S432" s="53">
        <f>IF(M432&gt;0,EDATE(M432,36)-1,"")</f>
        <v>25569.375</v>
      </c>
      <c r="T432" s="49"/>
      <c r="U432" s="49"/>
      <c r="V432" s="63" t="s">
        <v>1561</v>
      </c>
      <c r="W432" s="56"/>
      <c r="X432" s="56"/>
      <c r="Y432" s="56"/>
      <c r="Z432" s="56"/>
      <c r="AA432" s="56"/>
      <c r="AB432" s="56"/>
    </row>
    <row x14ac:dyDescent="0.25" r="433" customHeight="1" ht="18.75">
      <c r="A433" s="56"/>
      <c r="B433" s="56"/>
      <c r="C433" s="50" t="s">
        <v>16</v>
      </c>
      <c r="D433" s="50"/>
      <c r="E433" s="50"/>
      <c r="F433" s="50" t="s">
        <v>1562</v>
      </c>
      <c r="G433" s="55">
        <v>20000000</v>
      </c>
      <c r="H433" s="55"/>
      <c r="I433" s="55"/>
      <c r="J433" s="51">
        <v>1528000</v>
      </c>
      <c r="K433" s="51"/>
      <c r="L433" s="52">
        <v>46158</v>
      </c>
      <c r="M433" s="53">
        <v>46097</v>
      </c>
      <c r="N433" s="50" t="s">
        <v>217</v>
      </c>
      <c r="O433" s="50" t="s">
        <v>1563</v>
      </c>
      <c r="P433" s="50" t="s">
        <v>1562</v>
      </c>
      <c r="Q433" s="55" t="s">
        <v>1564</v>
      </c>
      <c r="R433" s="55" t="s">
        <v>1565</v>
      </c>
      <c r="S433" s="53">
        <v>47192</v>
      </c>
      <c r="T433" s="50" t="s">
        <v>1566</v>
      </c>
      <c r="U433" s="50" t="s">
        <v>166</v>
      </c>
      <c r="V433" s="56"/>
      <c r="W433" s="56"/>
      <c r="X433" s="56"/>
      <c r="Y433" s="56"/>
      <c r="Z433" s="56"/>
      <c r="AA433" s="56"/>
      <c r="AB433" s="56"/>
    </row>
    <row x14ac:dyDescent="0.25" r="434" customHeight="1" ht="18.75">
      <c r="A434" s="56"/>
      <c r="B434" s="56"/>
      <c r="C434" s="50" t="s">
        <v>16</v>
      </c>
      <c r="D434" s="50"/>
      <c r="E434" s="50"/>
      <c r="F434" s="50" t="s">
        <v>1567</v>
      </c>
      <c r="G434" s="55">
        <v>60000000</v>
      </c>
      <c r="H434" s="55"/>
      <c r="I434" s="55"/>
      <c r="J434" s="51">
        <v>4056000</v>
      </c>
      <c r="K434" s="51"/>
      <c r="L434" s="52">
        <v>46004</v>
      </c>
      <c r="M434" s="53">
        <v>45943</v>
      </c>
      <c r="N434" s="50" t="s">
        <v>306</v>
      </c>
      <c r="O434" s="50" t="s">
        <v>1568</v>
      </c>
      <c r="P434" s="50" t="s">
        <v>1567</v>
      </c>
      <c r="Q434" s="55" t="s">
        <v>1569</v>
      </c>
      <c r="R434" s="55" t="s">
        <v>1570</v>
      </c>
      <c r="S434" s="53">
        <v>47038</v>
      </c>
      <c r="T434" s="50"/>
      <c r="U434" s="50"/>
      <c r="V434" s="56"/>
      <c r="W434" s="56"/>
      <c r="X434" s="56"/>
      <c r="Y434" s="56"/>
      <c r="Z434" s="56"/>
      <c r="AA434" s="56"/>
      <c r="AB434" s="56"/>
    </row>
    <row x14ac:dyDescent="0.25" r="435" customHeight="1" ht="18.75">
      <c r="A435" s="63"/>
      <c r="B435" s="63"/>
      <c r="C435" s="49" t="s">
        <v>16</v>
      </c>
      <c r="D435" s="49" t="s">
        <v>116</v>
      </c>
      <c r="E435" s="49" t="s">
        <v>117</v>
      </c>
      <c r="F435" s="49" t="s">
        <v>851</v>
      </c>
      <c r="G435" s="64">
        <v>10000000</v>
      </c>
      <c r="H435" s="64"/>
      <c r="I435" s="64"/>
      <c r="J435" s="65">
        <f>IF(G435&gt;0,_xludf.IFS(G435=10000000,800000,G435=20000000,1528000,G435=30000000,2028000,G435=60000000,4056000),"")</f>
      </c>
      <c r="K435" s="64"/>
      <c r="L435" s="66">
        <v>46192</v>
      </c>
      <c r="M435" s="67">
        <f>IF(L435&gt;0,EDATE(L435,-2),"")</f>
        <v>25569.375</v>
      </c>
      <c r="N435" s="49" t="s">
        <v>239</v>
      </c>
      <c r="O435" s="49" t="s">
        <v>852</v>
      </c>
      <c r="P435" s="68">
        <f>IF(F435&gt;0,F435,"")</f>
      </c>
      <c r="Q435" s="69" t="s">
        <v>853</v>
      </c>
      <c r="R435" s="69">
        <v>33247307</v>
      </c>
      <c r="S435" s="67">
        <f>IF(ISNUMBER(M435), EDATE(M435,36)-1, "")</f>
        <v>25569.375</v>
      </c>
      <c r="T435" s="49"/>
      <c r="U435" s="49"/>
      <c r="V435" s="63"/>
      <c r="W435" s="56"/>
      <c r="X435" s="56"/>
      <c r="Y435" s="56"/>
      <c r="Z435" s="56"/>
      <c r="AA435" s="56"/>
      <c r="AB435" s="56"/>
    </row>
    <row x14ac:dyDescent="0.25" r="436" customHeight="1" ht="18.75">
      <c r="A436" s="56"/>
      <c r="B436" s="56"/>
      <c r="C436" s="50" t="s">
        <v>16</v>
      </c>
      <c r="D436" s="50"/>
      <c r="E436" s="50"/>
      <c r="F436" s="50" t="s">
        <v>1575</v>
      </c>
      <c r="G436" s="55">
        <v>30000000</v>
      </c>
      <c r="H436" s="55"/>
      <c r="I436" s="55"/>
      <c r="J436" s="51">
        <v>2400000</v>
      </c>
      <c r="K436" s="51"/>
      <c r="L436" s="52">
        <v>45986</v>
      </c>
      <c r="M436" s="53">
        <v>45925</v>
      </c>
      <c r="N436" s="50" t="s">
        <v>302</v>
      </c>
      <c r="O436" s="50" t="s">
        <v>1576</v>
      </c>
      <c r="P436" s="50" t="s">
        <v>1575</v>
      </c>
      <c r="Q436" s="55" t="s">
        <v>1577</v>
      </c>
      <c r="R436" s="55" t="s">
        <v>1578</v>
      </c>
      <c r="S436" s="53">
        <v>47020</v>
      </c>
      <c r="T436" s="50"/>
      <c r="U436" s="50"/>
      <c r="V436" s="56"/>
      <c r="W436" s="56"/>
      <c r="X436" s="56"/>
      <c r="Y436" s="56"/>
      <c r="Z436" s="56"/>
      <c r="AA436" s="56"/>
      <c r="AB436" s="56"/>
    </row>
    <row x14ac:dyDescent="0.25" r="437" customHeight="1" ht="18.75">
      <c r="A437" s="63"/>
      <c r="B437" s="63"/>
      <c r="C437" s="49" t="s">
        <v>16</v>
      </c>
      <c r="D437" s="49" t="s">
        <v>454</v>
      </c>
      <c r="E437" s="49" t="s">
        <v>574</v>
      </c>
      <c r="F437" s="49" t="s">
        <v>1701</v>
      </c>
      <c r="G437" s="64">
        <v>10000000</v>
      </c>
      <c r="H437" s="64"/>
      <c r="I437" s="64"/>
      <c r="J437" s="64">
        <v>1200000</v>
      </c>
      <c r="K437" s="64"/>
      <c r="L437" s="66">
        <v>46192</v>
      </c>
      <c r="M437" s="67">
        <f>IF(L437&gt;0,EDATE(L437,-2),"")</f>
        <v>25569.375</v>
      </c>
      <c r="N437" s="49" t="s">
        <v>217</v>
      </c>
      <c r="O437" s="49" t="s">
        <v>1702</v>
      </c>
      <c r="P437" s="68">
        <f>IF(F437&gt;0,F437,"")</f>
      </c>
      <c r="Q437" s="69" t="s">
        <v>1703</v>
      </c>
      <c r="R437" s="69">
        <v>64158162</v>
      </c>
      <c r="S437" s="67">
        <f>IF(ISNUMBER(M437), EDATE(M437,36)-1, "")</f>
        <v>25569.375</v>
      </c>
      <c r="T437" s="49"/>
      <c r="U437" s="49"/>
      <c r="V437" s="63"/>
      <c r="W437" s="56"/>
      <c r="X437" s="56"/>
      <c r="Y437" s="56"/>
      <c r="Z437" s="56"/>
      <c r="AA437" s="56"/>
      <c r="AB437" s="56"/>
    </row>
    <row x14ac:dyDescent="0.25" r="438" customHeight="1" ht="18.75">
      <c r="A438" s="63"/>
      <c r="B438" s="63"/>
      <c r="C438" s="49" t="s">
        <v>16</v>
      </c>
      <c r="D438" s="49" t="s">
        <v>454</v>
      </c>
      <c r="E438" s="49" t="s">
        <v>574</v>
      </c>
      <c r="F438" s="49" t="s">
        <v>1713</v>
      </c>
      <c r="G438" s="64">
        <v>10000000</v>
      </c>
      <c r="H438" s="64"/>
      <c r="I438" s="64"/>
      <c r="J438" s="64">
        <v>1200000</v>
      </c>
      <c r="K438" s="64"/>
      <c r="L438" s="66">
        <v>46192</v>
      </c>
      <c r="M438" s="67">
        <f>IF(L438&gt;0,EDATE(L438,-2),"")</f>
        <v>25569.375</v>
      </c>
      <c r="N438" s="49" t="s">
        <v>302</v>
      </c>
      <c r="O438" s="49" t="s">
        <v>1714</v>
      </c>
      <c r="P438" s="68">
        <f>IF(F438&gt;0,F438,"")</f>
      </c>
      <c r="Q438" s="69" t="s">
        <v>1715</v>
      </c>
      <c r="R438" s="69">
        <v>90075073</v>
      </c>
      <c r="S438" s="67">
        <f>IF(ISNUMBER(M438), EDATE(M438,36)-1, "")</f>
        <v>25569.375</v>
      </c>
      <c r="T438" s="49"/>
      <c r="U438" s="49"/>
      <c r="V438" s="63"/>
      <c r="W438" s="56"/>
      <c r="X438" s="56"/>
      <c r="Y438" s="56"/>
      <c r="Z438" s="56"/>
      <c r="AA438" s="56"/>
      <c r="AB438" s="56"/>
    </row>
    <row x14ac:dyDescent="0.25" r="439" customHeight="1" ht="18.75">
      <c r="A439" s="56"/>
      <c r="B439" s="56"/>
      <c r="C439" s="50" t="s">
        <v>16</v>
      </c>
      <c r="D439" s="50" t="s">
        <v>143</v>
      </c>
      <c r="E439" s="50" t="s">
        <v>22</v>
      </c>
      <c r="F439" s="50" t="s">
        <v>1589</v>
      </c>
      <c r="G439" s="55">
        <v>10000000</v>
      </c>
      <c r="H439" s="55"/>
      <c r="I439" s="55"/>
      <c r="J439" s="51">
        <v>800000</v>
      </c>
      <c r="K439" s="51"/>
      <c r="L439" s="52">
        <v>46172</v>
      </c>
      <c r="M439" s="53">
        <v>46111</v>
      </c>
      <c r="N439" s="50" t="s">
        <v>217</v>
      </c>
      <c r="O439" s="50" t="s">
        <v>1590</v>
      </c>
      <c r="P439" s="50" t="s">
        <v>1589</v>
      </c>
      <c r="Q439" s="55" t="s">
        <v>1591</v>
      </c>
      <c r="R439" s="55" t="s">
        <v>1592</v>
      </c>
      <c r="S439" s="53">
        <v>47206</v>
      </c>
      <c r="T439" s="50" t="s">
        <v>1593</v>
      </c>
      <c r="U439" s="50" t="s">
        <v>166</v>
      </c>
      <c r="V439" s="56"/>
      <c r="W439" s="56"/>
      <c r="X439" s="56"/>
      <c r="Y439" s="56"/>
      <c r="Z439" s="56"/>
      <c r="AA439" s="56"/>
      <c r="AB439" s="56"/>
    </row>
    <row x14ac:dyDescent="0.25" r="440" customHeight="1" ht="18.75">
      <c r="A440" s="71"/>
      <c r="B440" s="71"/>
      <c r="C440" s="72" t="s">
        <v>16</v>
      </c>
      <c r="D440" s="72"/>
      <c r="E440" s="72"/>
      <c r="F440" s="72" t="s">
        <v>59</v>
      </c>
      <c r="G440" s="73"/>
      <c r="H440" s="73"/>
      <c r="I440" s="73"/>
      <c r="J440" s="74"/>
      <c r="K440" s="74"/>
      <c r="L440" s="75">
        <v>45819</v>
      </c>
      <c r="M440" s="76">
        <v>45758</v>
      </c>
      <c r="N440" s="72" t="s">
        <v>168</v>
      </c>
      <c r="O440" s="72" t="s">
        <v>471</v>
      </c>
      <c r="P440" s="72" t="s">
        <v>59</v>
      </c>
      <c r="Q440" s="73" t="s">
        <v>1594</v>
      </c>
      <c r="R440" s="73" t="s">
        <v>1595</v>
      </c>
      <c r="S440" s="76">
        <v>46853</v>
      </c>
      <c r="T440" s="72" t="s">
        <v>60</v>
      </c>
      <c r="U440" s="72"/>
      <c r="V440" s="71"/>
      <c r="W440" s="56"/>
      <c r="X440" s="56"/>
      <c r="Y440" s="56"/>
      <c r="Z440" s="56"/>
      <c r="AA440" s="56"/>
      <c r="AB440" s="56"/>
    </row>
    <row x14ac:dyDescent="0.25" r="441" customHeight="1" ht="18.75">
      <c r="A441" s="56"/>
      <c r="B441" s="56"/>
      <c r="C441" s="50" t="s">
        <v>16</v>
      </c>
      <c r="D441" s="50"/>
      <c r="E441" s="50" t="s">
        <v>1260</v>
      </c>
      <c r="F441" s="50" t="s">
        <v>1801</v>
      </c>
      <c r="G441" s="55">
        <v>10000000</v>
      </c>
      <c r="H441" s="55"/>
      <c r="I441" s="55"/>
      <c r="J441" s="51">
        <v>1200000</v>
      </c>
      <c r="K441" s="51"/>
      <c r="L441" s="52">
        <v>46192</v>
      </c>
      <c r="M441" s="53">
        <v>46131</v>
      </c>
      <c r="N441" s="50" t="s">
        <v>161</v>
      </c>
      <c r="O441" s="50" t="s">
        <v>1802</v>
      </c>
      <c r="P441" s="50" t="s">
        <v>1801</v>
      </c>
      <c r="Q441" s="55" t="s">
        <v>1803</v>
      </c>
      <c r="R441" s="55" t="s">
        <v>1804</v>
      </c>
      <c r="S441" s="53">
        <v>47226</v>
      </c>
      <c r="T441" s="50" t="s">
        <v>1805</v>
      </c>
      <c r="U441" s="50" t="s">
        <v>166</v>
      </c>
      <c r="V441" s="56"/>
      <c r="W441" s="56"/>
      <c r="X441" s="56"/>
      <c r="Y441" s="56"/>
      <c r="Z441" s="56"/>
      <c r="AA441" s="56"/>
      <c r="AB441" s="56"/>
    </row>
    <row x14ac:dyDescent="0.25" r="442" customHeight="1" ht="18.75">
      <c r="A442" s="48" t="s">
        <v>152</v>
      </c>
      <c r="B442" s="62"/>
      <c r="C442" s="50" t="s">
        <v>16</v>
      </c>
      <c r="D442" s="50"/>
      <c r="E442" s="50"/>
      <c r="F442" s="50" t="s">
        <v>84</v>
      </c>
      <c r="G442" s="55">
        <v>10000000</v>
      </c>
      <c r="H442" s="55"/>
      <c r="I442" s="55"/>
      <c r="J442" s="51">
        <v>800000</v>
      </c>
      <c r="K442" s="51"/>
      <c r="L442" s="52">
        <v>46192</v>
      </c>
      <c r="M442" s="53">
        <v>46131</v>
      </c>
      <c r="N442" s="50" t="s">
        <v>580</v>
      </c>
      <c r="O442" s="50" t="s">
        <v>1806</v>
      </c>
      <c r="P442" s="50" t="s">
        <v>84</v>
      </c>
      <c r="Q442" s="55" t="s">
        <v>1807</v>
      </c>
      <c r="R442" s="55" t="s">
        <v>1808</v>
      </c>
      <c r="S442" s="53">
        <v>47226</v>
      </c>
      <c r="T442" s="50" t="s">
        <v>85</v>
      </c>
      <c r="U442" s="50"/>
      <c r="V442" s="56" t="s">
        <v>86</v>
      </c>
      <c r="W442" s="56"/>
      <c r="X442" s="56"/>
      <c r="Y442" s="56"/>
      <c r="Z442" s="56"/>
      <c r="AA442" s="56"/>
      <c r="AB442" s="56"/>
    </row>
    <row x14ac:dyDescent="0.25" r="443" customHeight="1" ht="18.75">
      <c r="A443" s="48" t="s">
        <v>275</v>
      </c>
      <c r="B443" s="62"/>
      <c r="C443" s="50" t="s">
        <v>16</v>
      </c>
      <c r="D443" s="50"/>
      <c r="E443" s="50"/>
      <c r="F443" s="50" t="s">
        <v>2152</v>
      </c>
      <c r="G443" s="55">
        <v>10000000</v>
      </c>
      <c r="H443" s="55"/>
      <c r="I443" s="55"/>
      <c r="J443" s="51">
        <v>800000</v>
      </c>
      <c r="K443" s="51"/>
      <c r="L443" s="52">
        <v>46192</v>
      </c>
      <c r="M443" s="53">
        <v>46131</v>
      </c>
      <c r="N443" s="50" t="s">
        <v>205</v>
      </c>
      <c r="O443" s="50" t="s">
        <v>2153</v>
      </c>
      <c r="P443" s="50" t="s">
        <v>2152</v>
      </c>
      <c r="Q443" s="55" t="s">
        <v>2154</v>
      </c>
      <c r="R443" s="55" t="s">
        <v>1808</v>
      </c>
      <c r="S443" s="53">
        <v>47226</v>
      </c>
      <c r="T443" s="50" t="s">
        <v>85</v>
      </c>
      <c r="U443" s="50" t="s">
        <v>166</v>
      </c>
      <c r="V443" s="56" t="s">
        <v>2155</v>
      </c>
      <c r="W443" s="56"/>
      <c r="X443" s="56"/>
      <c r="Y443" s="56"/>
      <c r="Z443" s="56"/>
      <c r="AA443" s="56"/>
      <c r="AB443" s="56"/>
    </row>
    <row x14ac:dyDescent="0.25" r="444" customHeight="1" ht="18.75">
      <c r="A444" s="56"/>
      <c r="B444" s="56"/>
      <c r="C444" s="50" t="s">
        <v>16</v>
      </c>
      <c r="D444" s="50"/>
      <c r="E444" s="50"/>
      <c r="F444" s="50" t="s">
        <v>62</v>
      </c>
      <c r="G444" s="55">
        <v>10000000</v>
      </c>
      <c r="H444" s="55"/>
      <c r="I444" s="55"/>
      <c r="J444" s="51">
        <v>800000</v>
      </c>
      <c r="K444" s="51"/>
      <c r="L444" s="52">
        <v>45983</v>
      </c>
      <c r="M444" s="53">
        <v>45922</v>
      </c>
      <c r="N444" s="50" t="s">
        <v>282</v>
      </c>
      <c r="O444" s="50" t="s">
        <v>1601</v>
      </c>
      <c r="P444" s="50" t="s">
        <v>62</v>
      </c>
      <c r="Q444" s="55" t="s">
        <v>1602</v>
      </c>
      <c r="R444" s="55" t="s">
        <v>1603</v>
      </c>
      <c r="S444" s="53">
        <v>47017</v>
      </c>
      <c r="T444" s="50"/>
      <c r="U444" s="50"/>
      <c r="V444" s="56"/>
      <c r="W444" s="56"/>
      <c r="X444" s="56"/>
      <c r="Y444" s="56"/>
      <c r="Z444" s="56"/>
      <c r="AA444" s="56"/>
      <c r="AB444" s="56"/>
    </row>
    <row x14ac:dyDescent="0.25" r="445" customHeight="1" ht="18.75">
      <c r="A445" s="56"/>
      <c r="B445" s="56"/>
      <c r="C445" s="50" t="s">
        <v>16</v>
      </c>
      <c r="D445" s="50"/>
      <c r="E445" s="50"/>
      <c r="F445" s="50" t="s">
        <v>62</v>
      </c>
      <c r="G445" s="55">
        <v>20000000</v>
      </c>
      <c r="H445" s="55"/>
      <c r="I445" s="55"/>
      <c r="J445" s="51">
        <v>1528000</v>
      </c>
      <c r="K445" s="51"/>
      <c r="L445" s="52">
        <v>46056</v>
      </c>
      <c r="M445" s="53">
        <v>45994</v>
      </c>
      <c r="N445" s="50" t="s">
        <v>168</v>
      </c>
      <c r="O445" s="50" t="s">
        <v>3293</v>
      </c>
      <c r="P445" s="50" t="s">
        <v>62</v>
      </c>
      <c r="Q445" s="55" t="s">
        <v>1602</v>
      </c>
      <c r="R445" s="55" t="s">
        <v>1603</v>
      </c>
      <c r="S445" s="53">
        <v>47089</v>
      </c>
      <c r="T445" s="50"/>
      <c r="U445" s="50"/>
      <c r="V445" s="56"/>
      <c r="W445" s="56"/>
      <c r="X445" s="56"/>
      <c r="Y445" s="56"/>
      <c r="Z445" s="56"/>
      <c r="AA445" s="56"/>
      <c r="AB445" s="56"/>
    </row>
    <row x14ac:dyDescent="0.25" r="446" customHeight="1" ht="18.75">
      <c r="A446" s="56"/>
      <c r="B446" s="56"/>
      <c r="C446" s="50" t="s">
        <v>16</v>
      </c>
      <c r="D446" s="50" t="s">
        <v>48</v>
      </c>
      <c r="E446" s="50" t="s">
        <v>1044</v>
      </c>
      <c r="F446" s="50" t="s">
        <v>2540</v>
      </c>
      <c r="G446" s="55">
        <v>10000000</v>
      </c>
      <c r="H446" s="55"/>
      <c r="I446" s="55"/>
      <c r="J446" s="51">
        <v>800000</v>
      </c>
      <c r="K446" s="51"/>
      <c r="L446" s="52">
        <v>46192</v>
      </c>
      <c r="M446" s="53">
        <v>46131</v>
      </c>
      <c r="N446" s="50" t="s">
        <v>302</v>
      </c>
      <c r="O446" s="50" t="s">
        <v>2541</v>
      </c>
      <c r="P446" s="50" t="s">
        <v>2540</v>
      </c>
      <c r="Q446" s="55" t="s">
        <v>2542</v>
      </c>
      <c r="R446" s="55" t="s">
        <v>2543</v>
      </c>
      <c r="S446" s="53">
        <v>47226</v>
      </c>
      <c r="T446" s="50" t="s">
        <v>2544</v>
      </c>
      <c r="U446" s="50" t="s">
        <v>166</v>
      </c>
      <c r="V446" s="56"/>
      <c r="W446" s="56"/>
      <c r="X446" s="56"/>
      <c r="Y446" s="56"/>
      <c r="Z446" s="56"/>
      <c r="AA446" s="56"/>
      <c r="AB446" s="56"/>
    </row>
    <row x14ac:dyDescent="0.25" r="447" customHeight="1" ht="18.75">
      <c r="A447" s="48" t="s">
        <v>152</v>
      </c>
      <c r="B447" s="48"/>
      <c r="C447" s="50" t="s">
        <v>16</v>
      </c>
      <c r="D447" s="50" t="s">
        <v>80</v>
      </c>
      <c r="E447" s="50" t="s">
        <v>97</v>
      </c>
      <c r="F447" s="50" t="s">
        <v>3294</v>
      </c>
      <c r="G447" s="51">
        <v>20000000</v>
      </c>
      <c r="H447" s="51"/>
      <c r="I447" s="51"/>
      <c r="J447" s="51">
        <v>1528000</v>
      </c>
      <c r="K447" s="51"/>
      <c r="L447" s="52">
        <v>46113</v>
      </c>
      <c r="M447" s="53">
        <f>IF(L447&gt;0,EDATE(L447,-2),"")</f>
        <v>25569.375</v>
      </c>
      <c r="N447" s="50" t="s">
        <v>168</v>
      </c>
      <c r="O447" s="50" t="s">
        <v>3295</v>
      </c>
      <c r="P447" s="54">
        <f>IF(F447&gt;0,F447,"")</f>
      </c>
      <c r="Q447" s="55">
        <v>8505272399010</v>
      </c>
      <c r="R447" s="55">
        <v>87759431</v>
      </c>
      <c r="S447" s="53">
        <f>IF(ISNUMBER(M447), EDATE(M447,36)-1, "")</f>
        <v>25569.375</v>
      </c>
      <c r="T447" s="50"/>
      <c r="U447" s="50"/>
      <c r="V447" s="56"/>
      <c r="W447" s="56"/>
      <c r="X447" s="56"/>
      <c r="Y447" s="56"/>
      <c r="Z447" s="56"/>
      <c r="AA447" s="56"/>
      <c r="AB447" s="56"/>
    </row>
    <row x14ac:dyDescent="0.25" r="448" customHeight="1" ht="18.75">
      <c r="A448" s="56"/>
      <c r="B448" s="56"/>
      <c r="C448" s="50" t="s">
        <v>16</v>
      </c>
      <c r="D448" s="50"/>
      <c r="E448" s="50" t="s">
        <v>34</v>
      </c>
      <c r="F448" s="50" t="s">
        <v>2569</v>
      </c>
      <c r="G448" s="55">
        <v>60000000</v>
      </c>
      <c r="H448" s="55"/>
      <c r="I448" s="55"/>
      <c r="J448" s="51">
        <v>3000000</v>
      </c>
      <c r="K448" s="51"/>
      <c r="L448" s="52">
        <v>46192</v>
      </c>
      <c r="M448" s="53">
        <v>46131</v>
      </c>
      <c r="N448" s="50" t="s">
        <v>302</v>
      </c>
      <c r="O448" s="50" t="s">
        <v>2570</v>
      </c>
      <c r="P448" s="50" t="s">
        <v>2569</v>
      </c>
      <c r="Q448" s="55" t="s">
        <v>2571</v>
      </c>
      <c r="R448" s="55" t="s">
        <v>2572</v>
      </c>
      <c r="S448" s="53">
        <v>47226</v>
      </c>
      <c r="T448" s="50" t="s">
        <v>2573</v>
      </c>
      <c r="U448" s="50" t="s">
        <v>166</v>
      </c>
      <c r="V448" s="56"/>
      <c r="W448" s="56"/>
      <c r="X448" s="56"/>
      <c r="Y448" s="56"/>
      <c r="Z448" s="56"/>
      <c r="AA448" s="56"/>
      <c r="AB448" s="56"/>
    </row>
    <row x14ac:dyDescent="0.25" r="449" customHeight="1" ht="18.75">
      <c r="A449" s="63"/>
      <c r="B449" s="63"/>
      <c r="C449" s="49" t="s">
        <v>16</v>
      </c>
      <c r="D449" s="49" t="s">
        <v>454</v>
      </c>
      <c r="E449" s="49" t="s">
        <v>2506</v>
      </c>
      <c r="F449" s="49" t="s">
        <v>2678</v>
      </c>
      <c r="G449" s="64">
        <v>10000000</v>
      </c>
      <c r="H449" s="64"/>
      <c r="I449" s="64"/>
      <c r="J449" s="64">
        <v>500000</v>
      </c>
      <c r="K449" s="64"/>
      <c r="L449" s="66">
        <v>46192</v>
      </c>
      <c r="M449" s="67">
        <f>IF(L449&gt;0,EDATE(L449,-2),"")</f>
        <v>25569.375</v>
      </c>
      <c r="N449" s="49" t="s">
        <v>217</v>
      </c>
      <c r="O449" s="49" t="s">
        <v>2679</v>
      </c>
      <c r="P449" s="68">
        <f>IF(F449&gt;0,F449,"")</f>
      </c>
      <c r="Q449" s="69" t="s">
        <v>2680</v>
      </c>
      <c r="R449" s="69">
        <v>39397081</v>
      </c>
      <c r="S449" s="67">
        <f>IF(ISNUMBER(M449), EDATE(M449,36)-1, "")</f>
        <v>25569.375</v>
      </c>
      <c r="T449" s="49"/>
      <c r="U449" s="49"/>
      <c r="V449" s="63" t="s">
        <v>2681</v>
      </c>
      <c r="W449" s="56"/>
      <c r="X449" s="56"/>
      <c r="Y449" s="56"/>
      <c r="Z449" s="56"/>
      <c r="AA449" s="56"/>
      <c r="AB449" s="56"/>
    </row>
    <row x14ac:dyDescent="0.25" r="450" customHeight="1" ht="18.75">
      <c r="A450" s="56"/>
      <c r="B450" s="56"/>
      <c r="C450" s="50" t="s">
        <v>16</v>
      </c>
      <c r="D450" s="50"/>
      <c r="E450" s="50"/>
      <c r="F450" s="50" t="s">
        <v>2711</v>
      </c>
      <c r="G450" s="55">
        <v>10000000</v>
      </c>
      <c r="H450" s="55"/>
      <c r="I450" s="55"/>
      <c r="J450" s="51">
        <v>800000</v>
      </c>
      <c r="K450" s="51"/>
      <c r="L450" s="52">
        <v>46192</v>
      </c>
      <c r="M450" s="53">
        <v>46131</v>
      </c>
      <c r="N450" s="50" t="s">
        <v>161</v>
      </c>
      <c r="O450" s="50" t="s">
        <v>2712</v>
      </c>
      <c r="P450" s="50" t="s">
        <v>2711</v>
      </c>
      <c r="Q450" s="55" t="s">
        <v>2713</v>
      </c>
      <c r="R450" s="55" t="s">
        <v>2714</v>
      </c>
      <c r="S450" s="53">
        <v>47226</v>
      </c>
      <c r="T450" s="50" t="s">
        <v>2715</v>
      </c>
      <c r="U450" s="50" t="s">
        <v>166</v>
      </c>
      <c r="V450" s="56"/>
      <c r="W450" s="56"/>
      <c r="X450" s="56"/>
      <c r="Y450" s="56"/>
      <c r="Z450" s="56"/>
      <c r="AA450" s="56"/>
      <c r="AB450" s="56"/>
    </row>
    <row x14ac:dyDescent="0.25" r="451" customHeight="1" ht="18.75">
      <c r="A451" s="56"/>
      <c r="B451" s="56"/>
      <c r="C451" s="49" t="s">
        <v>16</v>
      </c>
      <c r="D451" s="50" t="s">
        <v>410</v>
      </c>
      <c r="E451" s="50" t="s">
        <v>411</v>
      </c>
      <c r="F451" s="50" t="s">
        <v>1619</v>
      </c>
      <c r="G451" s="51">
        <v>20000000</v>
      </c>
      <c r="H451" s="51"/>
      <c r="I451" s="51"/>
      <c r="J451" s="51">
        <v>1528000</v>
      </c>
      <c r="K451" s="51"/>
      <c r="L451" s="52">
        <v>46170</v>
      </c>
      <c r="M451" s="53">
        <f>IF(L451&gt;0,EDATE(L451,-2),"")</f>
        <v>25569.375</v>
      </c>
      <c r="N451" s="50" t="s">
        <v>302</v>
      </c>
      <c r="O451" s="50" t="s">
        <v>1620</v>
      </c>
      <c r="P451" s="54">
        <f>IF(F451&gt;0,F451,"")</f>
      </c>
      <c r="Q451" s="55">
        <v>8206252471216</v>
      </c>
      <c r="R451" s="55">
        <v>21722632</v>
      </c>
      <c r="S451" s="53">
        <f>IF(ISNUMBER(M451), EDATE(M451,36)-1, "")</f>
        <v>25569.375</v>
      </c>
      <c r="T451" s="50"/>
      <c r="U451" s="50"/>
      <c r="V451" s="56"/>
      <c r="W451" s="56"/>
      <c r="X451" s="56"/>
      <c r="Y451" s="56"/>
      <c r="Z451" s="56"/>
      <c r="AA451" s="56"/>
      <c r="AB451" s="56"/>
    </row>
    <row x14ac:dyDescent="0.25" r="452" customHeight="1" ht="18.75">
      <c r="A452" s="56"/>
      <c r="B452" s="56"/>
      <c r="C452" s="50" t="s">
        <v>16</v>
      </c>
      <c r="D452" s="50"/>
      <c r="E452" s="50"/>
      <c r="F452" s="50" t="s">
        <v>378</v>
      </c>
      <c r="G452" s="55">
        <v>10000000</v>
      </c>
      <c r="H452" s="55"/>
      <c r="I452" s="55"/>
      <c r="J452" s="51">
        <v>800000</v>
      </c>
      <c r="K452" s="51"/>
      <c r="L452" s="52">
        <v>46193</v>
      </c>
      <c r="M452" s="53">
        <v>46132</v>
      </c>
      <c r="N452" s="50" t="s">
        <v>379</v>
      </c>
      <c r="O452" s="50" t="s">
        <v>380</v>
      </c>
      <c r="P452" s="50" t="s">
        <v>378</v>
      </c>
      <c r="Q452" s="55" t="s">
        <v>381</v>
      </c>
      <c r="R452" s="55" t="s">
        <v>382</v>
      </c>
      <c r="S452" s="53">
        <v>47227</v>
      </c>
      <c r="T452" s="50" t="s">
        <v>383</v>
      </c>
      <c r="U452" s="50" t="s">
        <v>166</v>
      </c>
      <c r="V452" s="56"/>
      <c r="W452" s="56"/>
      <c r="X452" s="56"/>
      <c r="Y452" s="56"/>
      <c r="Z452" s="56"/>
      <c r="AA452" s="56"/>
      <c r="AB452" s="56"/>
    </row>
    <row x14ac:dyDescent="0.25" r="453" customHeight="1" ht="18.75">
      <c r="A453" s="63"/>
      <c r="B453" s="63"/>
      <c r="C453" s="49" t="s">
        <v>16</v>
      </c>
      <c r="D453" s="49" t="s">
        <v>454</v>
      </c>
      <c r="E453" s="49" t="s">
        <v>455</v>
      </c>
      <c r="F453" s="49" t="s">
        <v>1624</v>
      </c>
      <c r="G453" s="64">
        <v>10000000</v>
      </c>
      <c r="H453" s="64"/>
      <c r="I453" s="64"/>
      <c r="J453" s="65">
        <f>IF(G453&gt;0,_xludf.IFS(G453=10000000,800000,G453=20000000,1528000,G453=30000000,2028000,G453=60000000,4056000),"")</f>
      </c>
      <c r="K453" s="64"/>
      <c r="L453" s="66">
        <v>46154</v>
      </c>
      <c r="M453" s="67">
        <f>IF(L453&gt;0,EDATE(L453,-2),"")</f>
        <v>25569.375</v>
      </c>
      <c r="N453" s="49" t="s">
        <v>988</v>
      </c>
      <c r="O453" s="49" t="s">
        <v>1625</v>
      </c>
      <c r="P453" s="68">
        <f>IF(F453&gt;0,F453,"")</f>
      </c>
      <c r="Q453" s="69" t="s">
        <v>1626</v>
      </c>
      <c r="R453" s="69">
        <v>22108996</v>
      </c>
      <c r="S453" s="67">
        <f>IF(ISNUMBER(M453), EDATE(M453,36)-1, "")</f>
        <v>25569.375</v>
      </c>
      <c r="T453" s="49"/>
      <c r="U453" s="49"/>
      <c r="V453" s="63"/>
      <c r="W453" s="56"/>
      <c r="X453" s="56"/>
      <c r="Y453" s="56"/>
      <c r="Z453" s="56"/>
      <c r="AA453" s="56"/>
      <c r="AB453" s="56"/>
    </row>
    <row x14ac:dyDescent="0.25" r="454" customHeight="1" ht="18.75">
      <c r="A454" s="56"/>
      <c r="B454" s="56"/>
      <c r="C454" s="50" t="s">
        <v>16</v>
      </c>
      <c r="D454" s="50" t="s">
        <v>454</v>
      </c>
      <c r="E454" s="50"/>
      <c r="F454" s="50" t="s">
        <v>509</v>
      </c>
      <c r="G454" s="55">
        <v>10000000</v>
      </c>
      <c r="H454" s="55"/>
      <c r="I454" s="55"/>
      <c r="J454" s="51">
        <v>800000</v>
      </c>
      <c r="K454" s="51"/>
      <c r="L454" s="52">
        <v>46193</v>
      </c>
      <c r="M454" s="53">
        <v>46132</v>
      </c>
      <c r="N454" s="50" t="s">
        <v>168</v>
      </c>
      <c r="O454" s="50" t="s">
        <v>510</v>
      </c>
      <c r="P454" s="50" t="s">
        <v>509</v>
      </c>
      <c r="Q454" s="55" t="s">
        <v>511</v>
      </c>
      <c r="R454" s="55" t="s">
        <v>512</v>
      </c>
      <c r="S454" s="53">
        <v>47227</v>
      </c>
      <c r="T454" s="50"/>
      <c r="U454" s="50"/>
      <c r="V454" s="56"/>
      <c r="W454" s="56"/>
      <c r="X454" s="56"/>
      <c r="Y454" s="56"/>
      <c r="Z454" s="56"/>
      <c r="AA454" s="56"/>
      <c r="AB454" s="56"/>
    </row>
    <row x14ac:dyDescent="0.25" r="455" customHeight="1" ht="18.75">
      <c r="A455" s="56"/>
      <c r="B455" s="56"/>
      <c r="C455" s="50" t="s">
        <v>16</v>
      </c>
      <c r="D455" s="50"/>
      <c r="E455" s="50" t="s">
        <v>596</v>
      </c>
      <c r="F455" s="50" t="s">
        <v>1634</v>
      </c>
      <c r="G455" s="55">
        <v>10000000</v>
      </c>
      <c r="H455" s="55"/>
      <c r="I455" s="55"/>
      <c r="J455" s="51">
        <v>800000</v>
      </c>
      <c r="K455" s="51"/>
      <c r="L455" s="52">
        <v>46127</v>
      </c>
      <c r="M455" s="53">
        <v>46068</v>
      </c>
      <c r="N455" s="50" t="s">
        <v>306</v>
      </c>
      <c r="O455" s="50" t="s">
        <v>1635</v>
      </c>
      <c r="P455" s="50" t="s">
        <v>1634</v>
      </c>
      <c r="Q455" s="55" t="s">
        <v>1636</v>
      </c>
      <c r="R455" s="55" t="s">
        <v>1637</v>
      </c>
      <c r="S455" s="53">
        <v>47163</v>
      </c>
      <c r="T455" s="50" t="s">
        <v>1638</v>
      </c>
      <c r="U455" s="50" t="s">
        <v>166</v>
      </c>
      <c r="V455" s="56"/>
      <c r="W455" s="56"/>
      <c r="X455" s="56"/>
      <c r="Y455" s="56"/>
      <c r="Z455" s="56"/>
      <c r="AA455" s="56"/>
      <c r="AB455" s="56"/>
    </row>
    <row x14ac:dyDescent="0.25" r="456" customHeight="1" ht="18.75">
      <c r="A456" s="71"/>
      <c r="B456" s="71"/>
      <c r="C456" s="72" t="s">
        <v>16</v>
      </c>
      <c r="D456" s="72"/>
      <c r="E456" s="72"/>
      <c r="F456" s="72" t="s">
        <v>1639</v>
      </c>
      <c r="G456" s="73">
        <v>10000000</v>
      </c>
      <c r="H456" s="73"/>
      <c r="I456" s="73"/>
      <c r="J456" s="74"/>
      <c r="K456" s="74"/>
      <c r="L456" s="75">
        <v>46173</v>
      </c>
      <c r="M456" s="76">
        <v>46112</v>
      </c>
      <c r="N456" s="72" t="s">
        <v>302</v>
      </c>
      <c r="O456" s="72" t="s">
        <v>1640</v>
      </c>
      <c r="P456" s="72" t="s">
        <v>1639</v>
      </c>
      <c r="Q456" s="73" t="s">
        <v>1641</v>
      </c>
      <c r="R456" s="73" t="s">
        <v>3296</v>
      </c>
      <c r="S456" s="76">
        <v>47207</v>
      </c>
      <c r="T456" s="72" t="s">
        <v>1642</v>
      </c>
      <c r="U456" s="72" t="s">
        <v>166</v>
      </c>
      <c r="V456" s="71"/>
      <c r="W456" s="56"/>
      <c r="X456" s="56"/>
      <c r="Y456" s="56"/>
      <c r="Z456" s="56"/>
      <c r="AA456" s="56"/>
      <c r="AB456" s="56"/>
    </row>
    <row x14ac:dyDescent="0.25" r="457" customHeight="1" ht="18.75">
      <c r="A457" s="63"/>
      <c r="B457" s="63"/>
      <c r="C457" s="49" t="s">
        <v>16</v>
      </c>
      <c r="D457" s="49" t="s">
        <v>80</v>
      </c>
      <c r="E457" s="49" t="s">
        <v>596</v>
      </c>
      <c r="F457" s="49" t="s">
        <v>1639</v>
      </c>
      <c r="G457" s="64">
        <v>10000000</v>
      </c>
      <c r="H457" s="64"/>
      <c r="I457" s="64"/>
      <c r="J457" s="64">
        <v>500000</v>
      </c>
      <c r="K457" s="64"/>
      <c r="L457" s="66">
        <v>46173</v>
      </c>
      <c r="M457" s="67">
        <f>IF(L457&gt;0,EDATE(L457,-2),"")</f>
        <v>25569.375</v>
      </c>
      <c r="N457" s="49" t="s">
        <v>155</v>
      </c>
      <c r="O457" s="49" t="s">
        <v>3297</v>
      </c>
      <c r="P457" s="68">
        <f>IF(F457&gt;0,F457,"")</f>
      </c>
      <c r="Q457" s="69" t="s">
        <v>1641</v>
      </c>
      <c r="R457" s="69">
        <v>88324391</v>
      </c>
      <c r="S457" s="67">
        <f>IF(ISNUMBER(M457), EDATE(M457,36)-1, "")</f>
        <v>25569.375</v>
      </c>
      <c r="T457" s="49"/>
      <c r="U457" s="49"/>
      <c r="V457" s="63"/>
      <c r="W457" s="56"/>
      <c r="X457" s="56"/>
      <c r="Y457" s="56"/>
      <c r="Z457" s="56"/>
      <c r="AA457" s="56"/>
      <c r="AB457" s="56"/>
    </row>
    <row x14ac:dyDescent="0.25" r="458" customHeight="1" ht="18.75">
      <c r="A458" s="56"/>
      <c r="B458" s="56"/>
      <c r="C458" s="50" t="s">
        <v>16</v>
      </c>
      <c r="D458" s="50"/>
      <c r="E458" s="50"/>
      <c r="F458" s="50" t="s">
        <v>64</v>
      </c>
      <c r="G458" s="55">
        <v>10000000</v>
      </c>
      <c r="H458" s="55"/>
      <c r="I458" s="55"/>
      <c r="J458" s="51">
        <v>800000</v>
      </c>
      <c r="K458" s="51"/>
      <c r="L458" s="52">
        <v>46090</v>
      </c>
      <c r="M458" s="53">
        <v>46031</v>
      </c>
      <c r="N458" s="50" t="s">
        <v>155</v>
      </c>
      <c r="O458" s="50" t="s">
        <v>1643</v>
      </c>
      <c r="P458" s="50" t="s">
        <v>64</v>
      </c>
      <c r="Q458" s="55" t="s">
        <v>1644</v>
      </c>
      <c r="R458" s="55" t="s">
        <v>1645</v>
      </c>
      <c r="S458" s="53">
        <v>47126</v>
      </c>
      <c r="T458" s="50"/>
      <c r="U458" s="50"/>
      <c r="V458" s="56"/>
      <c r="W458" s="56"/>
      <c r="X458" s="56"/>
      <c r="Y458" s="56"/>
      <c r="Z458" s="56"/>
      <c r="AA458" s="56"/>
      <c r="AB458" s="56"/>
    </row>
    <row x14ac:dyDescent="0.25" r="459" customHeight="1" ht="18.75">
      <c r="A459" s="56"/>
      <c r="B459" s="56"/>
      <c r="C459" s="49" t="s">
        <v>16</v>
      </c>
      <c r="D459" s="50" t="s">
        <v>48</v>
      </c>
      <c r="E459" s="50" t="s">
        <v>117</v>
      </c>
      <c r="F459" s="50" t="s">
        <v>64</v>
      </c>
      <c r="G459" s="51">
        <v>10000000</v>
      </c>
      <c r="H459" s="51"/>
      <c r="I459" s="51"/>
      <c r="J459" s="87">
        <f>IF(G459&gt;0,_xludf.IFS(G459=10000000,800000,G459=20000000,1528000,G459=30000000,2028000,G459=60000000,4056000),"")</f>
      </c>
      <c r="K459" s="51"/>
      <c r="L459" s="52">
        <v>46090</v>
      </c>
      <c r="M459" s="53">
        <f>IF(L459&gt;0,EDATE(L459,-2),"")</f>
        <v>25569.375</v>
      </c>
      <c r="N459" s="50" t="s">
        <v>155</v>
      </c>
      <c r="O459" s="50" t="s">
        <v>1643</v>
      </c>
      <c r="P459" s="54">
        <f>IF(F459&gt;0,F459,"")</f>
      </c>
      <c r="Q459" s="55" t="s">
        <v>1644</v>
      </c>
      <c r="R459" s="55">
        <v>99983035</v>
      </c>
      <c r="S459" s="53">
        <f>IF(ISNUMBER(M459), EDATE(M459,36)-1, "")</f>
        <v>25569.375</v>
      </c>
      <c r="T459" s="50"/>
      <c r="U459" s="50"/>
      <c r="V459" s="56"/>
      <c r="W459" s="56"/>
      <c r="X459" s="56"/>
      <c r="Y459" s="56"/>
      <c r="Z459" s="56"/>
      <c r="AA459" s="56"/>
      <c r="AB459" s="56"/>
    </row>
    <row x14ac:dyDescent="0.25" r="460" customHeight="1" ht="18.75">
      <c r="A460" s="48" t="s">
        <v>252</v>
      </c>
      <c r="B460" s="48"/>
      <c r="C460" s="49" t="s">
        <v>16</v>
      </c>
      <c r="D460" s="50" t="s">
        <v>48</v>
      </c>
      <c r="E460" s="50" t="s">
        <v>117</v>
      </c>
      <c r="F460" s="50" t="s">
        <v>3298</v>
      </c>
      <c r="G460" s="51">
        <v>10000000</v>
      </c>
      <c r="H460" s="51"/>
      <c r="I460" s="51"/>
      <c r="J460" s="51">
        <v>1200000</v>
      </c>
      <c r="K460" s="51"/>
      <c r="L460" s="52">
        <v>46090</v>
      </c>
      <c r="M460" s="53">
        <f>IF(L460&gt;0,EDATE(L460,-2),"")</f>
        <v>25569.375</v>
      </c>
      <c r="N460" s="50" t="s">
        <v>155</v>
      </c>
      <c r="O460" s="50" t="s">
        <v>1643</v>
      </c>
      <c r="P460" s="54">
        <f>IF(F460&gt;0,F460,"")</f>
      </c>
      <c r="Q460" s="55" t="s">
        <v>1644</v>
      </c>
      <c r="R460" s="55">
        <v>99983035</v>
      </c>
      <c r="S460" s="53">
        <f>IF(ISNUMBER(M460), EDATE(M460,36)-1, "")</f>
        <v>25569.375</v>
      </c>
      <c r="T460" s="50"/>
      <c r="U460" s="50"/>
      <c r="V460" s="48" t="s">
        <v>1146</v>
      </c>
      <c r="W460" s="56"/>
      <c r="X460" s="56"/>
      <c r="Y460" s="56"/>
      <c r="Z460" s="56"/>
      <c r="AA460" s="56"/>
      <c r="AB460" s="56"/>
    </row>
    <row x14ac:dyDescent="0.25" r="461" customHeight="1" ht="18.75">
      <c r="A461" s="56"/>
      <c r="B461" s="56"/>
      <c r="C461" s="50" t="s">
        <v>16</v>
      </c>
      <c r="D461" s="50" t="s">
        <v>454</v>
      </c>
      <c r="E461" s="50" t="s">
        <v>538</v>
      </c>
      <c r="F461" s="50" t="s">
        <v>530</v>
      </c>
      <c r="G461" s="51">
        <v>10000000</v>
      </c>
      <c r="H461" s="51"/>
      <c r="I461" s="51"/>
      <c r="J461" s="87">
        <f>IF(G461&gt;0,_xludf.IFS(G461=10000000,1200000,G461=20000000,1800000,G461=30000000,2400000,G461=60000000,4000000),"")</f>
      </c>
      <c r="K461" s="51"/>
      <c r="L461" s="52">
        <v>46193</v>
      </c>
      <c r="M461" s="53">
        <f>IF(L461&gt;0,EDATE(L461,-2),"")</f>
        <v>25569.375</v>
      </c>
      <c r="N461" s="50" t="s">
        <v>379</v>
      </c>
      <c r="O461" s="50" t="s">
        <v>539</v>
      </c>
      <c r="P461" s="54">
        <f>IF(F461&gt;0,F461,"")</f>
      </c>
      <c r="Q461" s="55">
        <v>6208152829510</v>
      </c>
      <c r="R461" s="55">
        <v>84194488</v>
      </c>
      <c r="S461" s="53">
        <f>IF(ISNUMBER(M461), EDATE(M461,36)-1, "")</f>
        <v>25569.375</v>
      </c>
      <c r="T461" s="50"/>
      <c r="U461" s="50"/>
      <c r="V461" s="50"/>
      <c r="W461" s="56"/>
      <c r="X461" s="56"/>
      <c r="Y461" s="56"/>
      <c r="Z461" s="56"/>
      <c r="AA461" s="56"/>
      <c r="AB461" s="56"/>
    </row>
    <row x14ac:dyDescent="0.25" r="462" customHeight="1" ht="18.75">
      <c r="A462" s="56"/>
      <c r="B462" s="56"/>
      <c r="C462" s="50" t="s">
        <v>16</v>
      </c>
      <c r="D462" s="50"/>
      <c r="E462" s="50"/>
      <c r="F462" s="50" t="s">
        <v>763</v>
      </c>
      <c r="G462" s="55">
        <v>10000000</v>
      </c>
      <c r="H462" s="55"/>
      <c r="I462" s="55"/>
      <c r="J462" s="51">
        <v>800000</v>
      </c>
      <c r="K462" s="51"/>
      <c r="L462" s="52">
        <v>46193</v>
      </c>
      <c r="M462" s="53">
        <v>46132</v>
      </c>
      <c r="N462" s="50" t="s">
        <v>174</v>
      </c>
      <c r="O462" s="50" t="s">
        <v>764</v>
      </c>
      <c r="P462" s="50" t="s">
        <v>763</v>
      </c>
      <c r="Q462" s="55" t="s">
        <v>765</v>
      </c>
      <c r="R462" s="55" t="s">
        <v>766</v>
      </c>
      <c r="S462" s="53">
        <v>47227</v>
      </c>
      <c r="T462" s="50" t="s">
        <v>767</v>
      </c>
      <c r="U462" s="50" t="s">
        <v>166</v>
      </c>
      <c r="V462" s="56"/>
      <c r="W462" s="56"/>
      <c r="X462" s="56"/>
      <c r="Y462" s="56"/>
      <c r="Z462" s="56"/>
      <c r="AA462" s="56"/>
      <c r="AB462" s="56"/>
    </row>
    <row x14ac:dyDescent="0.25" r="463" customHeight="1" ht="18.75">
      <c r="A463" s="56"/>
      <c r="B463" s="56"/>
      <c r="C463" s="50" t="s">
        <v>16</v>
      </c>
      <c r="D463" s="50" t="s">
        <v>48</v>
      </c>
      <c r="E463" s="50" t="s">
        <v>807</v>
      </c>
      <c r="F463" s="50" t="s">
        <v>808</v>
      </c>
      <c r="G463" s="55">
        <v>10000000</v>
      </c>
      <c r="H463" s="55"/>
      <c r="I463" s="55"/>
      <c r="J463" s="51">
        <v>500000</v>
      </c>
      <c r="K463" s="51"/>
      <c r="L463" s="52">
        <v>46193</v>
      </c>
      <c r="M463" s="53">
        <v>46132</v>
      </c>
      <c r="N463" s="50" t="s">
        <v>168</v>
      </c>
      <c r="O463" s="50" t="s">
        <v>809</v>
      </c>
      <c r="P463" s="50" t="s">
        <v>808</v>
      </c>
      <c r="Q463" s="55" t="s">
        <v>810</v>
      </c>
      <c r="R463" s="55" t="s">
        <v>811</v>
      </c>
      <c r="S463" s="53">
        <v>47227</v>
      </c>
      <c r="T463" s="50" t="s">
        <v>812</v>
      </c>
      <c r="U463" s="50" t="s">
        <v>166</v>
      </c>
      <c r="V463" s="56"/>
      <c r="W463" s="56"/>
      <c r="X463" s="56"/>
      <c r="Y463" s="56"/>
      <c r="Z463" s="56"/>
      <c r="AA463" s="56"/>
      <c r="AB463" s="56"/>
    </row>
    <row x14ac:dyDescent="0.25" r="464" customHeight="1" ht="18.75">
      <c r="A464" s="56"/>
      <c r="B464" s="56"/>
      <c r="C464" s="50" t="s">
        <v>16</v>
      </c>
      <c r="D464" s="50"/>
      <c r="E464" s="50"/>
      <c r="F464" s="50" t="s">
        <v>1656</v>
      </c>
      <c r="G464" s="55">
        <v>10000000</v>
      </c>
      <c r="H464" s="55"/>
      <c r="I464" s="55"/>
      <c r="J464" s="51">
        <v>800000</v>
      </c>
      <c r="K464" s="51"/>
      <c r="L464" s="52">
        <v>45984</v>
      </c>
      <c r="M464" s="53">
        <v>45923</v>
      </c>
      <c r="N464" s="50" t="s">
        <v>155</v>
      </c>
      <c r="O464" s="50" t="s">
        <v>3299</v>
      </c>
      <c r="P464" s="50" t="s">
        <v>1656</v>
      </c>
      <c r="Q464" s="55" t="s">
        <v>1658</v>
      </c>
      <c r="R464" s="55" t="s">
        <v>1659</v>
      </c>
      <c r="S464" s="53">
        <v>47018</v>
      </c>
      <c r="T464" s="50"/>
      <c r="U464" s="50"/>
      <c r="V464" s="56"/>
      <c r="W464" s="56"/>
      <c r="X464" s="56"/>
      <c r="Y464" s="56"/>
      <c r="Z464" s="56"/>
      <c r="AA464" s="56"/>
      <c r="AB464" s="56"/>
    </row>
    <row x14ac:dyDescent="0.25" r="465" customHeight="1" ht="18.75">
      <c r="A465" s="56"/>
      <c r="B465" s="56"/>
      <c r="C465" s="50" t="s">
        <v>16</v>
      </c>
      <c r="D465" s="50"/>
      <c r="E465" s="50"/>
      <c r="F465" s="50" t="s">
        <v>1656</v>
      </c>
      <c r="G465" s="55">
        <v>60000000</v>
      </c>
      <c r="H465" s="55"/>
      <c r="I465" s="55"/>
      <c r="J465" s="51">
        <v>4056000</v>
      </c>
      <c r="K465" s="51"/>
      <c r="L465" s="52">
        <v>46087</v>
      </c>
      <c r="M465" s="53">
        <v>45986</v>
      </c>
      <c r="N465" s="50" t="s">
        <v>155</v>
      </c>
      <c r="O465" s="50" t="s">
        <v>1657</v>
      </c>
      <c r="P465" s="50" t="s">
        <v>1656</v>
      </c>
      <c r="Q465" s="55" t="s">
        <v>1658</v>
      </c>
      <c r="R465" s="55" t="s">
        <v>1659</v>
      </c>
      <c r="S465" s="53">
        <v>47081</v>
      </c>
      <c r="T465" s="50"/>
      <c r="U465" s="50"/>
      <c r="V465" s="56"/>
      <c r="W465" s="56"/>
      <c r="X465" s="56"/>
      <c r="Y465" s="56"/>
      <c r="Z465" s="56"/>
      <c r="AA465" s="56"/>
      <c r="AB465" s="56"/>
    </row>
    <row x14ac:dyDescent="0.25" r="466" customHeight="1" ht="18.75">
      <c r="A466" s="56"/>
      <c r="B466" s="56"/>
      <c r="C466" s="49" t="s">
        <v>16</v>
      </c>
      <c r="D466" s="50"/>
      <c r="E466" s="50"/>
      <c r="F466" s="50" t="s">
        <v>1661</v>
      </c>
      <c r="G466" s="51">
        <v>60000000</v>
      </c>
      <c r="H466" s="51"/>
      <c r="I466" s="51"/>
      <c r="J466" s="51">
        <v>4800000</v>
      </c>
      <c r="K466" s="51"/>
      <c r="L466" s="52">
        <v>45951</v>
      </c>
      <c r="M466" s="53">
        <v>45848</v>
      </c>
      <c r="N466" s="50" t="s">
        <v>302</v>
      </c>
      <c r="O466" s="50" t="s">
        <v>1662</v>
      </c>
      <c r="P466" s="54">
        <f>IF(F466&gt;0,F466,"")</f>
      </c>
      <c r="Q466" s="55" t="s">
        <v>1663</v>
      </c>
      <c r="R466" s="55">
        <v>92778452</v>
      </c>
      <c r="S466" s="53">
        <v>46985</v>
      </c>
      <c r="T466" s="50"/>
      <c r="U466" s="50"/>
      <c r="V466" s="56"/>
      <c r="W466" s="56"/>
      <c r="X466" s="56"/>
      <c r="Y466" s="56"/>
      <c r="Z466" s="56"/>
      <c r="AA466" s="56"/>
      <c r="AB466" s="56"/>
    </row>
    <row x14ac:dyDescent="0.25" r="467" customHeight="1" ht="18.75">
      <c r="A467" s="56"/>
      <c r="B467" s="56"/>
      <c r="C467" s="50" t="s">
        <v>16</v>
      </c>
      <c r="D467" s="50" t="s">
        <v>48</v>
      </c>
      <c r="E467" s="50"/>
      <c r="F467" s="50" t="s">
        <v>49</v>
      </c>
      <c r="G467" s="55">
        <v>10000000</v>
      </c>
      <c r="H467" s="55"/>
      <c r="I467" s="55"/>
      <c r="J467" s="51">
        <v>1200000</v>
      </c>
      <c r="K467" s="51"/>
      <c r="L467" s="52">
        <v>46193</v>
      </c>
      <c r="M467" s="53">
        <v>46132</v>
      </c>
      <c r="N467" s="50" t="s">
        <v>1421</v>
      </c>
      <c r="O467" s="50" t="s">
        <v>1422</v>
      </c>
      <c r="P467" s="50" t="s">
        <v>49</v>
      </c>
      <c r="Q467" s="55" t="s">
        <v>1423</v>
      </c>
      <c r="R467" s="55" t="s">
        <v>1424</v>
      </c>
      <c r="S467" s="53">
        <v>47228</v>
      </c>
      <c r="T467" s="50" t="s">
        <v>50</v>
      </c>
      <c r="U467" s="50"/>
      <c r="V467" s="56"/>
      <c r="W467" s="56"/>
      <c r="X467" s="56"/>
      <c r="Y467" s="56"/>
      <c r="Z467" s="56"/>
      <c r="AA467" s="56"/>
      <c r="AB467" s="56"/>
    </row>
    <row x14ac:dyDescent="0.25" r="468" customHeight="1" ht="18.75">
      <c r="A468" s="56"/>
      <c r="B468" s="56"/>
      <c r="C468" s="50" t="s">
        <v>16</v>
      </c>
      <c r="D468" s="50"/>
      <c r="E468" s="50"/>
      <c r="F468" s="50" t="s">
        <v>93</v>
      </c>
      <c r="G468" s="55">
        <v>50000000</v>
      </c>
      <c r="H468" s="55"/>
      <c r="I468" s="55"/>
      <c r="J468" s="51">
        <v>4056000</v>
      </c>
      <c r="K468" s="51"/>
      <c r="L468" s="52">
        <v>46193</v>
      </c>
      <c r="M468" s="53">
        <v>46132</v>
      </c>
      <c r="N468" s="50" t="s">
        <v>168</v>
      </c>
      <c r="O468" s="50" t="s">
        <v>2044</v>
      </c>
      <c r="P468" s="50" t="s">
        <v>93</v>
      </c>
      <c r="Q468" s="55" t="s">
        <v>2045</v>
      </c>
      <c r="R468" s="55" t="s">
        <v>2046</v>
      </c>
      <c r="S468" s="53">
        <v>47227</v>
      </c>
      <c r="T468" s="50"/>
      <c r="U468" s="50" t="s">
        <v>166</v>
      </c>
      <c r="V468" s="56"/>
      <c r="W468" s="56"/>
      <c r="X468" s="56"/>
      <c r="Y468" s="56"/>
      <c r="Z468" s="56"/>
      <c r="AA468" s="56"/>
      <c r="AB468" s="56"/>
    </row>
    <row x14ac:dyDescent="0.25" r="469" customHeight="1" ht="18.75">
      <c r="A469" s="56"/>
      <c r="B469" s="56"/>
      <c r="C469" s="50" t="s">
        <v>16</v>
      </c>
      <c r="D469" s="50"/>
      <c r="E469" s="50" t="s">
        <v>64</v>
      </c>
      <c r="F469" s="50" t="s">
        <v>636</v>
      </c>
      <c r="G469" s="55">
        <v>10000000</v>
      </c>
      <c r="H469" s="55"/>
      <c r="I469" s="55"/>
      <c r="J469" s="51">
        <v>800000</v>
      </c>
      <c r="K469" s="51"/>
      <c r="L469" s="52">
        <v>46116</v>
      </c>
      <c r="M469" s="53">
        <v>46057</v>
      </c>
      <c r="N469" s="50" t="s">
        <v>282</v>
      </c>
      <c r="O469" s="50" t="s">
        <v>1674</v>
      </c>
      <c r="P469" s="50" t="s">
        <v>636</v>
      </c>
      <c r="Q469" s="55" t="s">
        <v>1676</v>
      </c>
      <c r="R469" s="55" t="s">
        <v>3300</v>
      </c>
      <c r="S469" s="53">
        <v>47152</v>
      </c>
      <c r="T469" s="50"/>
      <c r="U469" s="50" t="s">
        <v>3301</v>
      </c>
      <c r="V469" s="56"/>
      <c r="W469" s="56"/>
      <c r="X469" s="56"/>
      <c r="Y469" s="56"/>
      <c r="Z469" s="56"/>
      <c r="AA469" s="56"/>
      <c r="AB469" s="56"/>
    </row>
    <row x14ac:dyDescent="0.25" r="470" customHeight="1" ht="18.75">
      <c r="A470" s="63"/>
      <c r="B470" s="63"/>
      <c r="C470" s="49" t="s">
        <v>16</v>
      </c>
      <c r="D470" s="49" t="s">
        <v>48</v>
      </c>
      <c r="E470" s="49" t="s">
        <v>117</v>
      </c>
      <c r="F470" s="49" t="s">
        <v>636</v>
      </c>
      <c r="G470" s="64">
        <v>10000000</v>
      </c>
      <c r="H470" s="64"/>
      <c r="I470" s="64"/>
      <c r="J470" s="65">
        <f>IF(G470&gt;0,_xludf.IFS(G470=10000000,800000,G470=20000000,1528000,G470=30000000,2028000,G470=60000000,4056000),"")</f>
      </c>
      <c r="K470" s="64"/>
      <c r="L470" s="66">
        <v>46116</v>
      </c>
      <c r="M470" s="67">
        <f>IF(L470&gt;0,EDATE(L470,-2),"")</f>
        <v>25569.375</v>
      </c>
      <c r="N470" s="49" t="s">
        <v>168</v>
      </c>
      <c r="O470" s="49" t="s">
        <v>1674</v>
      </c>
      <c r="P470" s="68">
        <f>IF(F470&gt;0,F470,"")</f>
      </c>
      <c r="Q470" s="69" t="s">
        <v>1676</v>
      </c>
      <c r="R470" s="69">
        <v>56595831</v>
      </c>
      <c r="S470" s="67">
        <f>IF(ISNUMBER(M470), EDATE(M470,36)-1, "")</f>
        <v>25569.375</v>
      </c>
      <c r="T470" s="49"/>
      <c r="U470" s="49"/>
      <c r="V470" s="63" t="s">
        <v>66</v>
      </c>
      <c r="W470" s="56"/>
      <c r="X470" s="56"/>
      <c r="Y470" s="56"/>
      <c r="Z470" s="56"/>
      <c r="AA470" s="56"/>
      <c r="AB470" s="56"/>
    </row>
    <row x14ac:dyDescent="0.25" r="471" customHeight="1" ht="18.75">
      <c r="A471" s="56"/>
      <c r="B471" s="56"/>
      <c r="C471" s="50" t="s">
        <v>16</v>
      </c>
      <c r="D471" s="50"/>
      <c r="E471" s="50"/>
      <c r="F471" s="50" t="s">
        <v>807</v>
      </c>
      <c r="G471" s="55">
        <v>10000000</v>
      </c>
      <c r="H471" s="55"/>
      <c r="I471" s="55"/>
      <c r="J471" s="51">
        <v>1200000</v>
      </c>
      <c r="K471" s="51"/>
      <c r="L471" s="52">
        <v>46193</v>
      </c>
      <c r="M471" s="53">
        <v>46132</v>
      </c>
      <c r="N471" s="50" t="s">
        <v>217</v>
      </c>
      <c r="O471" s="50" t="s">
        <v>2532</v>
      </c>
      <c r="P471" s="50" t="s">
        <v>807</v>
      </c>
      <c r="Q471" s="55" t="s">
        <v>2533</v>
      </c>
      <c r="R471" s="55" t="s">
        <v>2534</v>
      </c>
      <c r="S471" s="53">
        <v>47227</v>
      </c>
      <c r="T471" s="50" t="s">
        <v>2535</v>
      </c>
      <c r="U471" s="50" t="s">
        <v>166</v>
      </c>
      <c r="V471" s="56"/>
      <c r="W471" s="56"/>
      <c r="X471" s="56"/>
      <c r="Y471" s="56"/>
      <c r="Z471" s="56"/>
      <c r="AA471" s="56"/>
      <c r="AB471" s="56"/>
    </row>
    <row x14ac:dyDescent="0.25" r="472" customHeight="1" ht="18.75">
      <c r="A472" s="56"/>
      <c r="B472" s="56"/>
      <c r="C472" s="49" t="s">
        <v>16</v>
      </c>
      <c r="D472" s="50" t="s">
        <v>410</v>
      </c>
      <c r="E472" s="50" t="s">
        <v>411</v>
      </c>
      <c r="F472" s="50" t="s">
        <v>1677</v>
      </c>
      <c r="G472" s="51">
        <v>10000000</v>
      </c>
      <c r="H472" s="51"/>
      <c r="I472" s="51"/>
      <c r="J472" s="51">
        <v>800000</v>
      </c>
      <c r="K472" s="51"/>
      <c r="L472" s="52">
        <v>46170</v>
      </c>
      <c r="M472" s="53">
        <f>IF(L472&gt;0,EDATE(L472,-2),"")</f>
        <v>25569.375</v>
      </c>
      <c r="N472" s="50" t="s">
        <v>168</v>
      </c>
      <c r="O472" s="50" t="s">
        <v>1678</v>
      </c>
      <c r="P472" s="54">
        <f>IF(F472&gt;0,F472,"")</f>
      </c>
      <c r="Q472" s="55">
        <v>6106102749218</v>
      </c>
      <c r="R472" s="55">
        <v>62372353</v>
      </c>
      <c r="S472" s="53">
        <f>IF(ISNUMBER(M472), EDATE(M472,36)-1, "")</f>
        <v>25569.375</v>
      </c>
      <c r="T472" s="50"/>
      <c r="U472" s="50"/>
      <c r="V472" s="56"/>
      <c r="W472" s="56"/>
      <c r="X472" s="56"/>
      <c r="Y472" s="56"/>
      <c r="Z472" s="56"/>
      <c r="AA472" s="56"/>
      <c r="AB472" s="56"/>
    </row>
    <row x14ac:dyDescent="0.25" r="473" customHeight="1" ht="18.75">
      <c r="A473" s="56"/>
      <c r="B473" s="56"/>
      <c r="C473" s="50" t="s">
        <v>16</v>
      </c>
      <c r="D473" s="50"/>
      <c r="E473" s="50"/>
      <c r="F473" s="50" t="s">
        <v>1679</v>
      </c>
      <c r="G473" s="55">
        <v>10000000</v>
      </c>
      <c r="H473" s="55"/>
      <c r="I473" s="55"/>
      <c r="J473" s="51">
        <v>800000</v>
      </c>
      <c r="K473" s="51"/>
      <c r="L473" s="52">
        <v>46159</v>
      </c>
      <c r="M473" s="53">
        <v>46098</v>
      </c>
      <c r="N473" s="50" t="s">
        <v>212</v>
      </c>
      <c r="O473" s="50" t="s">
        <v>1084</v>
      </c>
      <c r="P473" s="50" t="s">
        <v>1679</v>
      </c>
      <c r="Q473" s="55" t="s">
        <v>1680</v>
      </c>
      <c r="R473" s="55" t="s">
        <v>1681</v>
      </c>
      <c r="S473" s="53">
        <v>47193</v>
      </c>
      <c r="T473" s="50" t="s">
        <v>1682</v>
      </c>
      <c r="U473" s="50" t="s">
        <v>166</v>
      </c>
      <c r="V473" s="56"/>
      <c r="W473" s="56"/>
      <c r="X473" s="56"/>
      <c r="Y473" s="56"/>
      <c r="Z473" s="56"/>
      <c r="AA473" s="56"/>
      <c r="AB473" s="56"/>
    </row>
    <row x14ac:dyDescent="0.25" r="474" customHeight="1" ht="18.75">
      <c r="A474" s="56"/>
      <c r="B474" s="56"/>
      <c r="C474" s="50" t="s">
        <v>16</v>
      </c>
      <c r="D474" s="50"/>
      <c r="E474" s="50"/>
      <c r="F474" s="50" t="s">
        <v>69</v>
      </c>
      <c r="G474" s="55">
        <v>60000000</v>
      </c>
      <c r="H474" s="55"/>
      <c r="I474" s="55"/>
      <c r="J474" s="51">
        <v>4800000</v>
      </c>
      <c r="K474" s="51"/>
      <c r="L474" s="52">
        <v>45951</v>
      </c>
      <c r="M474" s="53">
        <v>45848</v>
      </c>
      <c r="N474" s="50" t="s">
        <v>302</v>
      </c>
      <c r="O474" s="50" t="s">
        <v>1683</v>
      </c>
      <c r="P474" s="50" t="s">
        <v>69</v>
      </c>
      <c r="Q474" s="55" t="s">
        <v>1663</v>
      </c>
      <c r="R474" s="55" t="s">
        <v>1684</v>
      </c>
      <c r="S474" s="53">
        <v>46943</v>
      </c>
      <c r="T474" s="50"/>
      <c r="U474" s="50"/>
      <c r="V474" s="56"/>
      <c r="W474" s="56"/>
      <c r="X474" s="56"/>
      <c r="Y474" s="56"/>
      <c r="Z474" s="56"/>
      <c r="AA474" s="56"/>
      <c r="AB474" s="56"/>
    </row>
    <row x14ac:dyDescent="0.25" r="475" customHeight="1" ht="18.75">
      <c r="A475" s="48" t="s">
        <v>152</v>
      </c>
      <c r="B475" s="48"/>
      <c r="C475" s="50" t="s">
        <v>16</v>
      </c>
      <c r="D475" s="50" t="s">
        <v>67</v>
      </c>
      <c r="E475" s="50" t="s">
        <v>68</v>
      </c>
      <c r="F475" s="50" t="s">
        <v>69</v>
      </c>
      <c r="G475" s="55">
        <v>30000000</v>
      </c>
      <c r="H475" s="55"/>
      <c r="I475" s="55"/>
      <c r="J475" s="51">
        <v>2400000</v>
      </c>
      <c r="K475" s="51"/>
      <c r="L475" s="52">
        <v>46068</v>
      </c>
      <c r="M475" s="53">
        <v>46005</v>
      </c>
      <c r="N475" s="50" t="s">
        <v>302</v>
      </c>
      <c r="O475" s="50" t="s">
        <v>1662</v>
      </c>
      <c r="P475" s="50" t="s">
        <v>69</v>
      </c>
      <c r="Q475" s="55" t="s">
        <v>1663</v>
      </c>
      <c r="R475" s="85" t="s">
        <v>1684</v>
      </c>
      <c r="S475" s="53">
        <v>47100</v>
      </c>
      <c r="T475" s="50" t="s">
        <v>1685</v>
      </c>
      <c r="U475" s="50"/>
      <c r="V475" s="56"/>
      <c r="W475" s="56"/>
      <c r="X475" s="56"/>
      <c r="Y475" s="56"/>
      <c r="Z475" s="56"/>
      <c r="AA475" s="56"/>
      <c r="AB475" s="56"/>
    </row>
    <row x14ac:dyDescent="0.25" r="476" customHeight="1" ht="18.75">
      <c r="A476" s="56"/>
      <c r="B476" s="56"/>
      <c r="C476" s="50" t="s">
        <v>16</v>
      </c>
      <c r="D476" s="50"/>
      <c r="E476" s="50"/>
      <c r="F476" s="50" t="s">
        <v>2790</v>
      </c>
      <c r="G476" s="55">
        <v>30000000</v>
      </c>
      <c r="H476" s="55"/>
      <c r="I476" s="55"/>
      <c r="J476" s="51">
        <v>2028000</v>
      </c>
      <c r="K476" s="51"/>
      <c r="L476" s="52">
        <v>46193</v>
      </c>
      <c r="M476" s="53">
        <v>46132</v>
      </c>
      <c r="N476" s="50" t="s">
        <v>161</v>
      </c>
      <c r="O476" s="50" t="s">
        <v>2791</v>
      </c>
      <c r="P476" s="50" t="s">
        <v>2790</v>
      </c>
      <c r="Q476" s="55" t="s">
        <v>2792</v>
      </c>
      <c r="R476" s="55" t="s">
        <v>2793</v>
      </c>
      <c r="S476" s="53">
        <v>47227</v>
      </c>
      <c r="T476" s="50" t="s">
        <v>2794</v>
      </c>
      <c r="U476" s="50" t="s">
        <v>166</v>
      </c>
      <c r="V476" s="56"/>
      <c r="W476" s="56"/>
      <c r="X476" s="56"/>
      <c r="Y476" s="56"/>
      <c r="Z476" s="56"/>
      <c r="AA476" s="56"/>
      <c r="AB476" s="56"/>
    </row>
    <row x14ac:dyDescent="0.25" r="477" customHeight="1" ht="18.75">
      <c r="A477" s="56"/>
      <c r="B477" s="56"/>
      <c r="C477" s="50" t="s">
        <v>16</v>
      </c>
      <c r="D477" s="50"/>
      <c r="E477" s="50"/>
      <c r="F477" s="50" t="s">
        <v>2982</v>
      </c>
      <c r="G477" s="55">
        <v>10000000</v>
      </c>
      <c r="H477" s="55"/>
      <c r="I477" s="55"/>
      <c r="J477" s="51">
        <v>800000</v>
      </c>
      <c r="K477" s="51"/>
      <c r="L477" s="52">
        <v>46193</v>
      </c>
      <c r="M477" s="53">
        <v>46132</v>
      </c>
      <c r="N477" s="50" t="s">
        <v>2442</v>
      </c>
      <c r="O477" s="50" t="s">
        <v>2983</v>
      </c>
      <c r="P477" s="50" t="s">
        <v>2982</v>
      </c>
      <c r="Q477" s="55" t="s">
        <v>2984</v>
      </c>
      <c r="R477" s="55" t="s">
        <v>2985</v>
      </c>
      <c r="S477" s="53">
        <v>47227</v>
      </c>
      <c r="T477" s="50"/>
      <c r="U477" s="50" t="s">
        <v>166</v>
      </c>
      <c r="V477" s="56"/>
      <c r="W477" s="56"/>
      <c r="X477" s="56"/>
      <c r="Y477" s="56"/>
      <c r="Z477" s="56"/>
      <c r="AA477" s="56"/>
      <c r="AB477" s="56"/>
    </row>
    <row x14ac:dyDescent="0.25" r="478" customHeight="1" ht="18.75">
      <c r="A478" s="56"/>
      <c r="B478" s="56"/>
      <c r="C478" s="50" t="s">
        <v>16</v>
      </c>
      <c r="D478" s="50"/>
      <c r="E478" s="50"/>
      <c r="F478" s="50" t="s">
        <v>1697</v>
      </c>
      <c r="G478" s="55">
        <v>10000000</v>
      </c>
      <c r="H478" s="55"/>
      <c r="I478" s="55"/>
      <c r="J478" s="51">
        <v>800000</v>
      </c>
      <c r="K478" s="51"/>
      <c r="L478" s="52">
        <v>46064</v>
      </c>
      <c r="M478" s="53">
        <v>46002</v>
      </c>
      <c r="N478" s="50" t="s">
        <v>155</v>
      </c>
      <c r="O478" s="50" t="s">
        <v>1698</v>
      </c>
      <c r="P478" s="50" t="s">
        <v>1697</v>
      </c>
      <c r="Q478" s="55" t="s">
        <v>1699</v>
      </c>
      <c r="R478" s="55" t="s">
        <v>1700</v>
      </c>
      <c r="S478" s="53">
        <v>47097</v>
      </c>
      <c r="T478" s="50"/>
      <c r="U478" s="50"/>
      <c r="V478" s="56"/>
      <c r="W478" s="56"/>
      <c r="X478" s="56"/>
      <c r="Y478" s="56"/>
      <c r="Z478" s="56"/>
      <c r="AA478" s="56"/>
      <c r="AB478" s="56"/>
    </row>
    <row x14ac:dyDescent="0.25" r="479" customHeight="1" ht="18.75">
      <c r="A479" s="63"/>
      <c r="B479" s="63"/>
      <c r="C479" s="49" t="s">
        <v>16</v>
      </c>
      <c r="D479" s="49"/>
      <c r="E479" s="49" t="s">
        <v>357</v>
      </c>
      <c r="F479" s="49" t="s">
        <v>3117</v>
      </c>
      <c r="G479" s="64">
        <v>10000000</v>
      </c>
      <c r="H479" s="64"/>
      <c r="I479" s="64"/>
      <c r="J479" s="64">
        <v>1200000</v>
      </c>
      <c r="K479" s="64"/>
      <c r="L479" s="66">
        <v>46193</v>
      </c>
      <c r="M479" s="67">
        <f>IF(L479&gt;0,EDATE(L479,-2),"")</f>
        <v>25569.375</v>
      </c>
      <c r="N479" s="49" t="s">
        <v>217</v>
      </c>
      <c r="O479" s="49" t="s">
        <v>3118</v>
      </c>
      <c r="P479" s="68">
        <f>IF(F479&gt;0,F479,"")</f>
      </c>
      <c r="Q479" s="69" t="s">
        <v>3119</v>
      </c>
      <c r="R479" s="69">
        <v>88895639</v>
      </c>
      <c r="S479" s="67">
        <f>IF(ISNUMBER(M479), EDATE(M479,36)-1, "")</f>
        <v>25569.375</v>
      </c>
      <c r="T479" s="49"/>
      <c r="U479" s="49"/>
      <c r="V479" s="63"/>
      <c r="W479" s="56"/>
      <c r="X479" s="56"/>
      <c r="Y479" s="56"/>
      <c r="Z479" s="56"/>
      <c r="AA479" s="56"/>
      <c r="AB479" s="56"/>
    </row>
    <row x14ac:dyDescent="0.25" r="480" customHeight="1" ht="18.75">
      <c r="A480" s="56"/>
      <c r="B480" s="56"/>
      <c r="C480" s="50" t="s">
        <v>16</v>
      </c>
      <c r="D480" s="50"/>
      <c r="E480" s="50"/>
      <c r="F480" s="50" t="s">
        <v>1704</v>
      </c>
      <c r="G480" s="55">
        <v>10000000</v>
      </c>
      <c r="H480" s="55"/>
      <c r="I480" s="55"/>
      <c r="J480" s="51">
        <v>800000</v>
      </c>
      <c r="K480" s="51"/>
      <c r="L480" s="52">
        <v>46168</v>
      </c>
      <c r="M480" s="53">
        <v>46107</v>
      </c>
      <c r="N480" s="50" t="s">
        <v>217</v>
      </c>
      <c r="O480" s="50" t="s">
        <v>1705</v>
      </c>
      <c r="P480" s="50" t="s">
        <v>1704</v>
      </c>
      <c r="Q480" s="55" t="s">
        <v>1706</v>
      </c>
      <c r="R480" s="55" t="s">
        <v>1707</v>
      </c>
      <c r="S480" s="53">
        <v>47202</v>
      </c>
      <c r="T480" s="50" t="s">
        <v>1708</v>
      </c>
      <c r="U480" s="50" t="s">
        <v>166</v>
      </c>
      <c r="V480" s="56"/>
      <c r="W480" s="56"/>
      <c r="X480" s="56"/>
      <c r="Y480" s="56"/>
      <c r="Z480" s="56"/>
      <c r="AA480" s="56"/>
      <c r="AB480" s="56"/>
    </row>
    <row x14ac:dyDescent="0.25" r="481" customHeight="1" ht="18.75">
      <c r="A481" s="56"/>
      <c r="B481" s="56"/>
      <c r="C481" s="50" t="s">
        <v>16</v>
      </c>
      <c r="D481" s="50"/>
      <c r="E481" s="50"/>
      <c r="F481" s="50" t="s">
        <v>1709</v>
      </c>
      <c r="G481" s="55">
        <v>10000000</v>
      </c>
      <c r="H481" s="55"/>
      <c r="I481" s="55"/>
      <c r="J481" s="51">
        <v>800000</v>
      </c>
      <c r="K481" s="51"/>
      <c r="L481" s="52">
        <v>46076</v>
      </c>
      <c r="M481" s="53">
        <v>46014</v>
      </c>
      <c r="N481" s="50" t="s">
        <v>239</v>
      </c>
      <c r="O481" s="50" t="s">
        <v>1710</v>
      </c>
      <c r="P481" s="50" t="s">
        <v>1709</v>
      </c>
      <c r="Q481" s="55" t="s">
        <v>1711</v>
      </c>
      <c r="R481" s="55" t="s">
        <v>1712</v>
      </c>
      <c r="S481" s="53">
        <v>46805</v>
      </c>
      <c r="T481" s="50"/>
      <c r="U481" s="50"/>
      <c r="V481" s="56"/>
      <c r="W481" s="56"/>
      <c r="X481" s="56"/>
      <c r="Y481" s="56"/>
      <c r="Z481" s="56"/>
      <c r="AA481" s="56"/>
      <c r="AB481" s="56"/>
    </row>
    <row x14ac:dyDescent="0.25" r="482" customHeight="1" ht="18.75">
      <c r="A482" s="63"/>
      <c r="B482" s="63"/>
      <c r="C482" s="49" t="s">
        <v>16</v>
      </c>
      <c r="D482" s="49" t="s">
        <v>454</v>
      </c>
      <c r="E482" s="49" t="s">
        <v>647</v>
      </c>
      <c r="F482" s="49" t="s">
        <v>3205</v>
      </c>
      <c r="G482" s="64">
        <v>10000000</v>
      </c>
      <c r="H482" s="64"/>
      <c r="I482" s="64"/>
      <c r="J482" s="64">
        <v>1200000</v>
      </c>
      <c r="K482" s="64"/>
      <c r="L482" s="66">
        <v>46193</v>
      </c>
      <c r="M482" s="67">
        <f>IF(L482&gt;0,EDATE(L482,-2),"")</f>
        <v>25569.375</v>
      </c>
      <c r="N482" s="49" t="s">
        <v>212</v>
      </c>
      <c r="O482" s="49" t="s">
        <v>3206</v>
      </c>
      <c r="P482" s="68">
        <f>IF(F482&gt;0,F482,"")</f>
      </c>
      <c r="Q482" s="69" t="s">
        <v>3207</v>
      </c>
      <c r="R482" s="69">
        <v>39331693</v>
      </c>
      <c r="S482" s="67">
        <f>IF(ISNUMBER(M482), EDATE(M482,36)-1, "")</f>
        <v>25569.375</v>
      </c>
      <c r="T482" s="49"/>
      <c r="U482" s="49"/>
      <c r="V482" s="63"/>
      <c r="W482" s="56"/>
      <c r="X482" s="56"/>
      <c r="Y482" s="56"/>
      <c r="Z482" s="56"/>
      <c r="AA482" s="56"/>
      <c r="AB482" s="56"/>
    </row>
    <row x14ac:dyDescent="0.25" r="483" customHeight="1" ht="18.75">
      <c r="A483" s="56"/>
      <c r="B483" s="56"/>
      <c r="C483" s="50" t="s">
        <v>16</v>
      </c>
      <c r="D483" s="50"/>
      <c r="E483" s="50"/>
      <c r="F483" s="50" t="s">
        <v>1716</v>
      </c>
      <c r="G483" s="55">
        <v>30000000</v>
      </c>
      <c r="H483" s="55"/>
      <c r="I483" s="55"/>
      <c r="J483" s="51">
        <v>2400000</v>
      </c>
      <c r="K483" s="51"/>
      <c r="L483" s="52">
        <v>45888</v>
      </c>
      <c r="M483" s="53">
        <v>45827</v>
      </c>
      <c r="N483" s="50" t="s">
        <v>302</v>
      </c>
      <c r="O483" s="50" t="s">
        <v>1717</v>
      </c>
      <c r="P483" s="50" t="s">
        <v>1716</v>
      </c>
      <c r="Q483" s="55" t="s">
        <v>1718</v>
      </c>
      <c r="R483" s="55" t="s">
        <v>1719</v>
      </c>
      <c r="S483" s="53">
        <v>46922</v>
      </c>
      <c r="T483" s="50"/>
      <c r="U483" s="50"/>
      <c r="V483" s="56"/>
      <c r="W483" s="56"/>
      <c r="X483" s="56"/>
      <c r="Y483" s="56"/>
      <c r="Z483" s="56"/>
      <c r="AA483" s="56"/>
      <c r="AB483" s="56"/>
    </row>
    <row x14ac:dyDescent="0.25" r="484" customHeight="1" ht="18.75">
      <c r="A484" s="56"/>
      <c r="B484" s="56"/>
      <c r="C484" s="50" t="s">
        <v>16</v>
      </c>
      <c r="D484" s="50"/>
      <c r="E484" s="50"/>
      <c r="F484" s="50" t="s">
        <v>676</v>
      </c>
      <c r="G484" s="55">
        <v>10000000</v>
      </c>
      <c r="H484" s="55"/>
      <c r="I484" s="55"/>
      <c r="J484" s="51">
        <v>800000</v>
      </c>
      <c r="K484" s="51"/>
      <c r="L484" s="52">
        <v>46194</v>
      </c>
      <c r="M484" s="53">
        <v>46133</v>
      </c>
      <c r="N484" s="50" t="s">
        <v>168</v>
      </c>
      <c r="O484" s="50" t="s">
        <v>677</v>
      </c>
      <c r="P484" s="50" t="s">
        <v>676</v>
      </c>
      <c r="Q484" s="55" t="s">
        <v>678</v>
      </c>
      <c r="R484" s="55" t="s">
        <v>679</v>
      </c>
      <c r="S484" s="53">
        <v>47228</v>
      </c>
      <c r="T484" s="50" t="s">
        <v>680</v>
      </c>
      <c r="U484" s="50" t="s">
        <v>166</v>
      </c>
      <c r="V484" s="56"/>
      <c r="W484" s="56"/>
      <c r="X484" s="56"/>
      <c r="Y484" s="56"/>
      <c r="Z484" s="56"/>
      <c r="AA484" s="56"/>
      <c r="AB484" s="56"/>
    </row>
    <row x14ac:dyDescent="0.25" r="485" customHeight="1" ht="18.75">
      <c r="A485" s="63"/>
      <c r="B485" s="63"/>
      <c r="C485" s="49" t="s">
        <v>16</v>
      </c>
      <c r="D485" s="49"/>
      <c r="E485" s="49" t="s">
        <v>357</v>
      </c>
      <c r="F485" s="49" t="s">
        <v>2620</v>
      </c>
      <c r="G485" s="64">
        <v>10000000</v>
      </c>
      <c r="H485" s="64"/>
      <c r="I485" s="64"/>
      <c r="J485" s="65">
        <f>IF(G485&gt;0,_xludf.IFS(G485=10000000,800000,G485=20000000,1528000,G485=30000000,2028000,G485=60000000,4056000),"")</f>
      </c>
      <c r="K485" s="64"/>
      <c r="L485" s="66">
        <v>46194</v>
      </c>
      <c r="M485" s="67">
        <f>IF(L485&gt;0,EDATE(L485,-2),"")</f>
        <v>25569.375</v>
      </c>
      <c r="N485" s="49" t="s">
        <v>155</v>
      </c>
      <c r="O485" s="49" t="s">
        <v>2621</v>
      </c>
      <c r="P485" s="68">
        <f>IF(F485&gt;0,F485,"")</f>
      </c>
      <c r="Q485" s="69" t="s">
        <v>2622</v>
      </c>
      <c r="R485" s="69">
        <v>24103548</v>
      </c>
      <c r="S485" s="67">
        <f>IF(ISNUMBER(M485), EDATE(M485,36)-1, "")</f>
        <v>25569.375</v>
      </c>
      <c r="T485" s="49"/>
      <c r="U485" s="49"/>
      <c r="V485" s="63"/>
      <c r="W485" s="56"/>
      <c r="X485" s="56"/>
      <c r="Y485" s="56"/>
      <c r="Z485" s="56"/>
      <c r="AA485" s="56"/>
      <c r="AB485" s="56"/>
    </row>
    <row x14ac:dyDescent="0.25" r="486" customHeight="1" ht="18.75">
      <c r="A486" s="56"/>
      <c r="B486" s="56"/>
      <c r="C486" s="50" t="s">
        <v>16</v>
      </c>
      <c r="D486" s="50"/>
      <c r="E486" s="50"/>
      <c r="F486" s="50" t="s">
        <v>1726</v>
      </c>
      <c r="G486" s="55">
        <v>40000000</v>
      </c>
      <c r="H486" s="55"/>
      <c r="I486" s="55"/>
      <c r="J486" s="51">
        <v>3056000</v>
      </c>
      <c r="K486" s="51"/>
      <c r="L486" s="52">
        <v>46162</v>
      </c>
      <c r="M486" s="53">
        <v>46101</v>
      </c>
      <c r="N486" s="50" t="s">
        <v>1688</v>
      </c>
      <c r="O486" s="50" t="s">
        <v>1727</v>
      </c>
      <c r="P486" s="50" t="s">
        <v>1726</v>
      </c>
      <c r="Q486" s="55" t="s">
        <v>1728</v>
      </c>
      <c r="R486" s="55" t="s">
        <v>1729</v>
      </c>
      <c r="S486" s="53">
        <v>47196</v>
      </c>
      <c r="T486" s="50"/>
      <c r="U486" s="50" t="s">
        <v>166</v>
      </c>
      <c r="V486" s="48" t="s">
        <v>418</v>
      </c>
      <c r="W486" s="56"/>
      <c r="X486" s="56"/>
      <c r="Y486" s="56"/>
      <c r="Z486" s="56"/>
      <c r="AA486" s="56"/>
      <c r="AB486" s="56"/>
    </row>
    <row x14ac:dyDescent="0.25" r="487" customHeight="1" ht="18.75">
      <c r="A487" s="56"/>
      <c r="B487" s="56"/>
      <c r="C487" s="50" t="s">
        <v>16</v>
      </c>
      <c r="D487" s="50"/>
      <c r="E487" s="50"/>
      <c r="F487" s="50" t="s">
        <v>71</v>
      </c>
      <c r="G487" s="55">
        <v>20000000</v>
      </c>
      <c r="H487" s="55"/>
      <c r="I487" s="55"/>
      <c r="J487" s="51">
        <v>1600000</v>
      </c>
      <c r="K487" s="51"/>
      <c r="L487" s="52">
        <v>45904</v>
      </c>
      <c r="M487" s="53">
        <v>45842</v>
      </c>
      <c r="N487" s="50" t="s">
        <v>168</v>
      </c>
      <c r="O487" s="50" t="s">
        <v>1730</v>
      </c>
      <c r="P487" s="50" t="s">
        <v>71</v>
      </c>
      <c r="Q487" s="55" t="s">
        <v>1731</v>
      </c>
      <c r="R487" s="55" t="s">
        <v>1732</v>
      </c>
      <c r="S487" s="53">
        <v>46937</v>
      </c>
      <c r="T487" s="50"/>
      <c r="U487" s="50"/>
      <c r="V487" s="56"/>
      <c r="W487" s="56"/>
      <c r="X487" s="56"/>
      <c r="Y487" s="56"/>
      <c r="Z487" s="56"/>
      <c r="AA487" s="56"/>
      <c r="AB487" s="56"/>
    </row>
    <row x14ac:dyDescent="0.25" r="488" customHeight="1" ht="18.75">
      <c r="A488" s="56"/>
      <c r="B488" s="56"/>
      <c r="C488" s="50" t="s">
        <v>16</v>
      </c>
      <c r="D488" s="50"/>
      <c r="E488" s="50"/>
      <c r="F488" s="50" t="s">
        <v>72</v>
      </c>
      <c r="G488" s="55">
        <v>10000000</v>
      </c>
      <c r="H488" s="55"/>
      <c r="I488" s="55"/>
      <c r="J488" s="51">
        <v>800000</v>
      </c>
      <c r="K488" s="51"/>
      <c r="L488" s="52">
        <v>46020</v>
      </c>
      <c r="M488" s="53">
        <v>45959</v>
      </c>
      <c r="N488" s="50" t="s">
        <v>580</v>
      </c>
      <c r="O488" s="50" t="s">
        <v>1733</v>
      </c>
      <c r="P488" s="50" t="s">
        <v>72</v>
      </c>
      <c r="Q488" s="55" t="s">
        <v>1731</v>
      </c>
      <c r="R488" s="55" t="s">
        <v>1732</v>
      </c>
      <c r="S488" s="53">
        <v>47054</v>
      </c>
      <c r="T488" s="50"/>
      <c r="U488" s="50"/>
      <c r="V488" s="56"/>
      <c r="W488" s="56"/>
      <c r="X488" s="56"/>
      <c r="Y488" s="56"/>
      <c r="Z488" s="56"/>
      <c r="AA488" s="56"/>
      <c r="AB488" s="56"/>
    </row>
    <row x14ac:dyDescent="0.25" r="489" customHeight="1" ht="18.75">
      <c r="A489" s="56"/>
      <c r="B489" s="56"/>
      <c r="C489" s="50" t="s">
        <v>16</v>
      </c>
      <c r="D489" s="50"/>
      <c r="E489" s="50"/>
      <c r="F489" s="50" t="s">
        <v>72</v>
      </c>
      <c r="G489" s="55">
        <v>10000000</v>
      </c>
      <c r="H489" s="55"/>
      <c r="I489" s="55"/>
      <c r="J489" s="51"/>
      <c r="K489" s="51"/>
      <c r="L489" s="52">
        <v>45997</v>
      </c>
      <c r="M489" s="53">
        <v>45936</v>
      </c>
      <c r="N489" s="50" t="s">
        <v>580</v>
      </c>
      <c r="O489" s="50" t="s">
        <v>1733</v>
      </c>
      <c r="P489" s="50" t="s">
        <v>72</v>
      </c>
      <c r="Q489" s="55" t="s">
        <v>1731</v>
      </c>
      <c r="R489" s="55" t="s">
        <v>1732</v>
      </c>
      <c r="S489" s="53">
        <v>47031</v>
      </c>
      <c r="T489" s="50"/>
      <c r="U489" s="50"/>
      <c r="V489" s="48" t="s">
        <v>3302</v>
      </c>
      <c r="W489" s="56"/>
      <c r="X489" s="56"/>
      <c r="Y489" s="56"/>
      <c r="Z489" s="56"/>
      <c r="AA489" s="56"/>
      <c r="AB489" s="56"/>
    </row>
    <row x14ac:dyDescent="0.25" r="490" customHeight="1" ht="18.75">
      <c r="A490" s="56"/>
      <c r="B490" s="56"/>
      <c r="C490" s="50" t="s">
        <v>16</v>
      </c>
      <c r="D490" s="50"/>
      <c r="E490" s="50"/>
      <c r="F490" s="50" t="s">
        <v>72</v>
      </c>
      <c r="G490" s="55">
        <v>30000000</v>
      </c>
      <c r="H490" s="55"/>
      <c r="I490" s="55"/>
      <c r="J490" s="51">
        <v>2400000</v>
      </c>
      <c r="K490" s="51"/>
      <c r="L490" s="52">
        <v>45907</v>
      </c>
      <c r="M490" s="53">
        <v>45845</v>
      </c>
      <c r="N490" s="50" t="s">
        <v>212</v>
      </c>
      <c r="O490" s="50" t="s">
        <v>1734</v>
      </c>
      <c r="P490" s="50" t="s">
        <v>72</v>
      </c>
      <c r="Q490" s="55" t="s">
        <v>1731</v>
      </c>
      <c r="R490" s="55" t="s">
        <v>1732</v>
      </c>
      <c r="S490" s="53">
        <v>46940</v>
      </c>
      <c r="T490" s="50"/>
      <c r="U490" s="50"/>
      <c r="V490" s="56"/>
      <c r="W490" s="56"/>
      <c r="X490" s="56"/>
      <c r="Y490" s="56"/>
      <c r="Z490" s="56"/>
      <c r="AA490" s="56"/>
      <c r="AB490" s="56"/>
    </row>
    <row x14ac:dyDescent="0.25" r="491" customHeight="1" ht="18.75">
      <c r="A491" s="56"/>
      <c r="B491" s="56"/>
      <c r="C491" s="50" t="s">
        <v>16</v>
      </c>
      <c r="D491" s="50"/>
      <c r="E491" s="50" t="s">
        <v>18</v>
      </c>
      <c r="F491" s="50" t="s">
        <v>73</v>
      </c>
      <c r="G491" s="55">
        <v>60000000</v>
      </c>
      <c r="H491" s="55"/>
      <c r="I491" s="55"/>
      <c r="J491" s="51">
        <v>4056000</v>
      </c>
      <c r="K491" s="51"/>
      <c r="L491" s="52">
        <v>45408</v>
      </c>
      <c r="M491" s="53">
        <v>46079</v>
      </c>
      <c r="N491" s="50" t="s">
        <v>155</v>
      </c>
      <c r="O491" s="50" t="s">
        <v>433</v>
      </c>
      <c r="P491" s="50" t="s">
        <v>73</v>
      </c>
      <c r="Q491" s="55" t="s">
        <v>1735</v>
      </c>
      <c r="R491" s="55" t="s">
        <v>1736</v>
      </c>
      <c r="S491" s="53">
        <v>47174</v>
      </c>
      <c r="T491" s="50" t="s">
        <v>74</v>
      </c>
      <c r="U491" s="50"/>
      <c r="V491" s="56"/>
      <c r="W491" s="56"/>
      <c r="X491" s="56"/>
      <c r="Y491" s="56"/>
      <c r="Z491" s="56"/>
      <c r="AA491" s="56"/>
      <c r="AB491" s="56"/>
    </row>
    <row x14ac:dyDescent="0.25" r="492" customHeight="1" ht="18.75">
      <c r="A492" s="56"/>
      <c r="B492" s="56"/>
      <c r="C492" s="50" t="s">
        <v>16</v>
      </c>
      <c r="D492" s="50"/>
      <c r="E492" s="50"/>
      <c r="F492" s="50" t="s">
        <v>271</v>
      </c>
      <c r="G492" s="55">
        <v>20000000</v>
      </c>
      <c r="H492" s="55"/>
      <c r="I492" s="55"/>
      <c r="J492" s="51">
        <v>1528000</v>
      </c>
      <c r="K492" s="51"/>
      <c r="L492" s="52">
        <v>46195</v>
      </c>
      <c r="M492" s="53">
        <v>46134</v>
      </c>
      <c r="N492" s="50" t="s">
        <v>217</v>
      </c>
      <c r="O492" s="50" t="s">
        <v>272</v>
      </c>
      <c r="P492" s="50" t="s">
        <v>271</v>
      </c>
      <c r="Q492" s="55" t="s">
        <v>273</v>
      </c>
      <c r="R492" s="55" t="s">
        <v>274</v>
      </c>
      <c r="S492" s="53">
        <v>47229</v>
      </c>
      <c r="T492" s="50"/>
      <c r="U492" s="50" t="s">
        <v>166</v>
      </c>
      <c r="V492" s="56"/>
      <c r="W492" s="56"/>
      <c r="X492" s="56"/>
      <c r="Y492" s="56"/>
      <c r="Z492" s="56"/>
      <c r="AA492" s="56"/>
      <c r="AB492" s="56"/>
    </row>
    <row x14ac:dyDescent="0.25" r="493" customHeight="1" ht="18.75">
      <c r="A493" s="71"/>
      <c r="B493" s="71"/>
      <c r="C493" s="72" t="s">
        <v>16</v>
      </c>
      <c r="D493" s="72"/>
      <c r="E493" s="72" t="s">
        <v>75</v>
      </c>
      <c r="F493" s="72" t="s">
        <v>76</v>
      </c>
      <c r="G493" s="73">
        <v>10000000</v>
      </c>
      <c r="H493" s="73"/>
      <c r="I493" s="73"/>
      <c r="J493" s="88"/>
      <c r="K493" s="88"/>
      <c r="L493" s="75">
        <v>46112</v>
      </c>
      <c r="M493" s="76">
        <v>46053</v>
      </c>
      <c r="N493" s="72" t="s">
        <v>306</v>
      </c>
      <c r="O493" s="72" t="s">
        <v>1740</v>
      </c>
      <c r="P493" s="72" t="s">
        <v>76</v>
      </c>
      <c r="Q493" s="73" t="s">
        <v>3303</v>
      </c>
      <c r="R493" s="73" t="s">
        <v>1742</v>
      </c>
      <c r="S493" s="76">
        <v>47148</v>
      </c>
      <c r="T493" s="72"/>
      <c r="U493" s="72" t="s">
        <v>166</v>
      </c>
      <c r="V493" s="71"/>
      <c r="W493" s="56"/>
      <c r="X493" s="56"/>
      <c r="Y493" s="56"/>
      <c r="Z493" s="56"/>
      <c r="AA493" s="56"/>
      <c r="AB493" s="56"/>
    </row>
    <row x14ac:dyDescent="0.25" r="494" customHeight="1" ht="18.75">
      <c r="A494" s="56"/>
      <c r="B494" s="56"/>
      <c r="C494" s="50" t="s">
        <v>16</v>
      </c>
      <c r="D494" s="50"/>
      <c r="E494" s="50" t="s">
        <v>1743</v>
      </c>
      <c r="F494" s="50" t="s">
        <v>1744</v>
      </c>
      <c r="G494" s="55">
        <v>10000000</v>
      </c>
      <c r="H494" s="55"/>
      <c r="I494" s="55"/>
      <c r="J494" s="51">
        <v>500000</v>
      </c>
      <c r="K494" s="51"/>
      <c r="L494" s="52">
        <v>46082</v>
      </c>
      <c r="M494" s="53">
        <v>46023</v>
      </c>
      <c r="N494" s="50" t="s">
        <v>161</v>
      </c>
      <c r="O494" s="50" t="s">
        <v>1745</v>
      </c>
      <c r="P494" s="50" t="s">
        <v>1744</v>
      </c>
      <c r="Q494" s="55" t="s">
        <v>1746</v>
      </c>
      <c r="R494" s="55" t="s">
        <v>1747</v>
      </c>
      <c r="S494" s="53">
        <v>47118</v>
      </c>
      <c r="T494" s="50" t="s">
        <v>1748</v>
      </c>
      <c r="U494" s="50" t="s">
        <v>166</v>
      </c>
      <c r="V494" s="56"/>
      <c r="W494" s="56"/>
      <c r="X494" s="56"/>
      <c r="Y494" s="56"/>
      <c r="Z494" s="56"/>
      <c r="AA494" s="56"/>
      <c r="AB494" s="56"/>
    </row>
    <row x14ac:dyDescent="0.25" r="495" customHeight="1" ht="18.75">
      <c r="A495" s="63"/>
      <c r="B495" s="63"/>
      <c r="C495" s="49" t="s">
        <v>16</v>
      </c>
      <c r="D495" s="49"/>
      <c r="E495" s="49" t="s">
        <v>357</v>
      </c>
      <c r="F495" s="49" t="s">
        <v>3062</v>
      </c>
      <c r="G495" s="64">
        <v>20000000</v>
      </c>
      <c r="H495" s="64"/>
      <c r="I495" s="64"/>
      <c r="J495" s="65">
        <f>IF(G495&gt;0,_xludf.IFS(G495=10000000,800000,G495=20000000,1528000,G495=30000000,2028000,G495=60000000,4056000),"")</f>
      </c>
      <c r="K495" s="64"/>
      <c r="L495" s="66">
        <v>46195</v>
      </c>
      <c r="M495" s="67">
        <f>IF(L495&gt;0,EDATE(L495,-2),"")</f>
        <v>25569.375</v>
      </c>
      <c r="N495" s="49" t="s">
        <v>168</v>
      </c>
      <c r="O495" s="49" t="s">
        <v>3063</v>
      </c>
      <c r="P495" s="68">
        <f>IF(F495&gt;0,F495,"")</f>
      </c>
      <c r="Q495" s="69" t="s">
        <v>3064</v>
      </c>
      <c r="R495" s="69">
        <v>29360809</v>
      </c>
      <c r="S495" s="67">
        <f>IF(ISNUMBER(M495), EDATE(M495,36)-1, "")</f>
        <v>25569.375</v>
      </c>
      <c r="T495" s="49"/>
      <c r="U495" s="49"/>
      <c r="V495" s="63"/>
      <c r="W495" s="56"/>
      <c r="X495" s="56"/>
      <c r="Y495" s="56"/>
      <c r="Z495" s="56"/>
      <c r="AA495" s="56"/>
      <c r="AB495" s="56"/>
    </row>
    <row x14ac:dyDescent="0.25" r="496" customHeight="1" ht="18.75">
      <c r="A496" s="63"/>
      <c r="B496" s="63"/>
      <c r="C496" s="49" t="s">
        <v>16</v>
      </c>
      <c r="D496" s="49" t="s">
        <v>1750</v>
      </c>
      <c r="E496" s="49" t="s">
        <v>203</v>
      </c>
      <c r="F496" s="49" t="s">
        <v>1751</v>
      </c>
      <c r="G496" s="69">
        <v>20000000</v>
      </c>
      <c r="H496" s="69"/>
      <c r="I496" s="69"/>
      <c r="J496" s="65">
        <f>IF(G496&gt;0,_xludf.IFS(G496=10000000,800000,G496=20000000,1528000,G496=30000000,2028000,G496=30000000,4056000),"")</f>
      </c>
      <c r="K496" s="64"/>
      <c r="L496" s="66">
        <v>46063</v>
      </c>
      <c r="M496" s="67">
        <f>IF(L496&gt;0,EDATE(L496,-2),"")</f>
        <v>25569.375</v>
      </c>
      <c r="N496" s="49" t="s">
        <v>555</v>
      </c>
      <c r="O496" s="49" t="s">
        <v>1752</v>
      </c>
      <c r="P496" s="68">
        <f>F496</f>
      </c>
      <c r="Q496" s="69" t="s">
        <v>1753</v>
      </c>
      <c r="R496" s="69">
        <v>25377161</v>
      </c>
      <c r="S496" s="53">
        <f>IF(M496&gt;0,EDATE(M496,36)-1,"")</f>
        <v>25569.375</v>
      </c>
      <c r="T496" s="49"/>
      <c r="U496" s="49"/>
      <c r="V496" s="63"/>
      <c r="W496" s="56"/>
      <c r="X496" s="56"/>
      <c r="Y496" s="56"/>
      <c r="Z496" s="56"/>
      <c r="AA496" s="56"/>
      <c r="AB496" s="56"/>
    </row>
    <row x14ac:dyDescent="0.25" r="497" customHeight="1" ht="18.75">
      <c r="A497" s="48" t="s">
        <v>152</v>
      </c>
      <c r="B497" s="48"/>
      <c r="C497" s="50" t="s">
        <v>16</v>
      </c>
      <c r="D497" s="50" t="s">
        <v>202</v>
      </c>
      <c r="E497" s="50" t="s">
        <v>203</v>
      </c>
      <c r="F497" s="50" t="s">
        <v>1751</v>
      </c>
      <c r="G497" s="51">
        <v>10000000</v>
      </c>
      <c r="H497" s="51"/>
      <c r="I497" s="51"/>
      <c r="J497" s="51">
        <v>800000</v>
      </c>
      <c r="K497" s="51"/>
      <c r="L497" s="52">
        <v>46063</v>
      </c>
      <c r="M497" s="53">
        <f>IF(L497&gt;0,EDATE(L497,-2),"")</f>
        <v>25569.375</v>
      </c>
      <c r="N497" s="50" t="s">
        <v>555</v>
      </c>
      <c r="O497" s="50" t="s">
        <v>1752</v>
      </c>
      <c r="P497" s="54">
        <f>IF(F497&gt;0,F497,"")</f>
      </c>
      <c r="Q497" s="55">
        <v>3901142063316</v>
      </c>
      <c r="R497" s="55">
        <v>72776699</v>
      </c>
      <c r="S497" s="53">
        <f>IF(ISNUMBER(M497), EDATE(M497,36)-1, "")</f>
        <v>25569.375</v>
      </c>
      <c r="T497" s="50"/>
      <c r="U497" s="50"/>
      <c r="V497" s="48" t="s">
        <v>1755</v>
      </c>
      <c r="W497" s="56"/>
      <c r="X497" s="56"/>
      <c r="Y497" s="56"/>
      <c r="Z497" s="56"/>
      <c r="AA497" s="56"/>
      <c r="AB497" s="56"/>
    </row>
    <row x14ac:dyDescent="0.25" r="498" customHeight="1" ht="18.75">
      <c r="A498" s="71"/>
      <c r="B498" s="71"/>
      <c r="C498" s="72" t="s">
        <v>16</v>
      </c>
      <c r="D498" s="72" t="s">
        <v>1750</v>
      </c>
      <c r="E498" s="72" t="s">
        <v>203</v>
      </c>
      <c r="F498" s="72" t="s">
        <v>1751</v>
      </c>
      <c r="G498" s="73">
        <v>20000000</v>
      </c>
      <c r="H498" s="73"/>
      <c r="I498" s="73"/>
      <c r="J498" s="95">
        <f>IF(G498&gt;0,_xludf.IFS(G498=10000000,800000,G498=20000000,1528000,G498=30000000,2028000,G498=30000000,4056000),"")</f>
      </c>
      <c r="K498" s="74"/>
      <c r="L498" s="75">
        <v>46063</v>
      </c>
      <c r="M498" s="76">
        <f>IF(L498&gt;0,EDATE(L498,-2),"")</f>
        <v>25569.375</v>
      </c>
      <c r="N498" s="72" t="s">
        <v>555</v>
      </c>
      <c r="O498" s="72" t="s">
        <v>1752</v>
      </c>
      <c r="P498" s="96">
        <f>F498</f>
      </c>
      <c r="Q498" s="73" t="s">
        <v>1753</v>
      </c>
      <c r="R498" s="73">
        <v>25377161</v>
      </c>
      <c r="S498" s="76">
        <f>IF(M498&gt;0,EDATE(M498,36)-1,"")</f>
        <v>25569.375</v>
      </c>
      <c r="T498" s="72"/>
      <c r="U498" s="72"/>
      <c r="V498" s="71"/>
      <c r="W498" s="56"/>
      <c r="X498" s="56"/>
      <c r="Y498" s="56"/>
      <c r="Z498" s="56"/>
      <c r="AA498" s="56"/>
      <c r="AB498" s="56"/>
    </row>
    <row x14ac:dyDescent="0.25" r="499" customHeight="1" ht="18.75">
      <c r="A499" s="56"/>
      <c r="B499" s="56"/>
      <c r="C499" s="50" t="s">
        <v>16</v>
      </c>
      <c r="D499" s="50"/>
      <c r="E499" s="50"/>
      <c r="F499" s="50" t="s">
        <v>910</v>
      </c>
      <c r="G499" s="55">
        <v>20000000</v>
      </c>
      <c r="H499" s="55"/>
      <c r="I499" s="55"/>
      <c r="J499" s="51">
        <v>1528000</v>
      </c>
      <c r="K499" s="51"/>
      <c r="L499" s="52">
        <v>46196</v>
      </c>
      <c r="M499" s="53">
        <v>46135</v>
      </c>
      <c r="N499" s="50" t="s">
        <v>161</v>
      </c>
      <c r="O499" s="50" t="s">
        <v>911</v>
      </c>
      <c r="P499" s="50" t="s">
        <v>910</v>
      </c>
      <c r="Q499" s="55" t="s">
        <v>912</v>
      </c>
      <c r="R499" s="55" t="s">
        <v>913</v>
      </c>
      <c r="S499" s="53">
        <v>47230</v>
      </c>
      <c r="T499" s="50"/>
      <c r="U499" s="50" t="s">
        <v>293</v>
      </c>
      <c r="V499" s="56"/>
      <c r="W499" s="56"/>
      <c r="X499" s="56"/>
      <c r="Y499" s="56"/>
      <c r="Z499" s="56"/>
      <c r="AA499" s="56"/>
      <c r="AB499" s="56"/>
    </row>
    <row x14ac:dyDescent="0.25" r="500" customHeight="1" ht="18.75">
      <c r="A500" s="56"/>
      <c r="B500" s="56"/>
      <c r="C500" s="50" t="s">
        <v>16</v>
      </c>
      <c r="D500" s="50"/>
      <c r="E500" s="50"/>
      <c r="F500" s="50" t="s">
        <v>75</v>
      </c>
      <c r="G500" s="55">
        <v>20000000</v>
      </c>
      <c r="H500" s="55"/>
      <c r="I500" s="55"/>
      <c r="J500" s="51">
        <v>1528000</v>
      </c>
      <c r="K500" s="51"/>
      <c r="L500" s="52">
        <v>46016</v>
      </c>
      <c r="M500" s="53">
        <v>45955</v>
      </c>
      <c r="N500" s="50" t="s">
        <v>155</v>
      </c>
      <c r="O500" s="50" t="s">
        <v>1762</v>
      </c>
      <c r="P500" s="50" t="s">
        <v>1908</v>
      </c>
      <c r="Q500" s="55" t="s">
        <v>1763</v>
      </c>
      <c r="R500" s="55" t="s">
        <v>1764</v>
      </c>
      <c r="S500" s="53">
        <v>47050</v>
      </c>
      <c r="T500" s="50"/>
      <c r="U500" s="50"/>
      <c r="V500" s="56"/>
      <c r="W500" s="56"/>
      <c r="X500" s="56"/>
      <c r="Y500" s="56"/>
      <c r="Z500" s="56"/>
      <c r="AA500" s="56"/>
      <c r="AB500" s="56"/>
    </row>
    <row x14ac:dyDescent="0.25" r="501" customHeight="1" ht="18.75">
      <c r="A501" s="56"/>
      <c r="B501" s="56"/>
      <c r="C501" s="50" t="s">
        <v>16</v>
      </c>
      <c r="D501" s="50"/>
      <c r="E501" s="50" t="s">
        <v>75</v>
      </c>
      <c r="F501" s="50" t="s">
        <v>75</v>
      </c>
      <c r="G501" s="55">
        <v>10250000</v>
      </c>
      <c r="H501" s="55"/>
      <c r="I501" s="55"/>
      <c r="J501" s="51">
        <v>1528000</v>
      </c>
      <c r="K501" s="51"/>
      <c r="L501" s="52">
        <v>46137</v>
      </c>
      <c r="M501" s="53">
        <v>46078</v>
      </c>
      <c r="N501" s="50" t="s">
        <v>282</v>
      </c>
      <c r="O501" s="50" t="s">
        <v>1765</v>
      </c>
      <c r="P501" s="50" t="s">
        <v>1908</v>
      </c>
      <c r="Q501" s="55" t="s">
        <v>1763</v>
      </c>
      <c r="R501" s="55" t="s">
        <v>1764</v>
      </c>
      <c r="S501" s="53">
        <v>47173</v>
      </c>
      <c r="T501" s="50" t="s">
        <v>1766</v>
      </c>
      <c r="U501" s="50" t="s">
        <v>293</v>
      </c>
      <c r="V501" s="56"/>
      <c r="W501" s="56"/>
      <c r="X501" s="56"/>
      <c r="Y501" s="56"/>
      <c r="Z501" s="56"/>
      <c r="AA501" s="56"/>
      <c r="AB501" s="56"/>
    </row>
    <row x14ac:dyDescent="0.25" r="502" customHeight="1" ht="18.75">
      <c r="A502" s="56"/>
      <c r="B502" s="56"/>
      <c r="C502" s="50" t="s">
        <v>16</v>
      </c>
      <c r="D502" s="50"/>
      <c r="E502" s="50" t="s">
        <v>97</v>
      </c>
      <c r="F502" s="50" t="s">
        <v>1768</v>
      </c>
      <c r="G502" s="55">
        <v>10000000</v>
      </c>
      <c r="H502" s="55"/>
      <c r="I502" s="55"/>
      <c r="J502" s="51">
        <v>800000</v>
      </c>
      <c r="K502" s="51"/>
      <c r="L502" s="52">
        <v>46143</v>
      </c>
      <c r="M502" s="53">
        <v>46082</v>
      </c>
      <c r="N502" s="50" t="s">
        <v>1202</v>
      </c>
      <c r="O502" s="50" t="s">
        <v>1203</v>
      </c>
      <c r="P502" s="50" t="s">
        <v>1768</v>
      </c>
      <c r="Q502" s="55" t="s">
        <v>1769</v>
      </c>
      <c r="R502" s="55" t="s">
        <v>1770</v>
      </c>
      <c r="S502" s="53">
        <v>47177</v>
      </c>
      <c r="T502" s="50"/>
      <c r="U502" s="50" t="s">
        <v>166</v>
      </c>
      <c r="V502" s="48" t="s">
        <v>1761</v>
      </c>
      <c r="W502" s="56"/>
      <c r="X502" s="56"/>
      <c r="Y502" s="56"/>
      <c r="Z502" s="56"/>
      <c r="AA502" s="56"/>
      <c r="AB502" s="56"/>
    </row>
    <row x14ac:dyDescent="0.25" r="503" customHeight="1" ht="18.75">
      <c r="A503" s="56"/>
      <c r="B503" s="56"/>
      <c r="C503" s="50" t="s">
        <v>16</v>
      </c>
      <c r="D503" s="50"/>
      <c r="E503" s="50"/>
      <c r="F503" s="50" t="s">
        <v>78</v>
      </c>
      <c r="G503" s="55">
        <v>40000000</v>
      </c>
      <c r="H503" s="55"/>
      <c r="I503" s="55"/>
      <c r="J503" s="51">
        <v>25028000</v>
      </c>
      <c r="K503" s="51"/>
      <c r="L503" s="52">
        <v>46162</v>
      </c>
      <c r="M503" s="53">
        <v>46101</v>
      </c>
      <c r="N503" s="50" t="s">
        <v>1688</v>
      </c>
      <c r="O503" s="50" t="s">
        <v>1727</v>
      </c>
      <c r="P503" s="50" t="s">
        <v>78</v>
      </c>
      <c r="Q503" s="55" t="s">
        <v>1771</v>
      </c>
      <c r="R503" s="55" t="s">
        <v>1729</v>
      </c>
      <c r="S503" s="53">
        <v>47168</v>
      </c>
      <c r="T503" s="50" t="s">
        <v>79</v>
      </c>
      <c r="U503" s="50"/>
      <c r="V503" s="56"/>
      <c r="W503" s="56"/>
      <c r="X503" s="56"/>
      <c r="Y503" s="56"/>
      <c r="Z503" s="56"/>
      <c r="AA503" s="56"/>
      <c r="AB503" s="56"/>
    </row>
    <row x14ac:dyDescent="0.25" r="504" customHeight="1" ht="18.75">
      <c r="A504" s="56"/>
      <c r="B504" s="56"/>
      <c r="C504" s="50" t="s">
        <v>16</v>
      </c>
      <c r="D504" s="50"/>
      <c r="E504" s="50"/>
      <c r="F504" s="50" t="s">
        <v>1772</v>
      </c>
      <c r="G504" s="55">
        <v>10000000</v>
      </c>
      <c r="H504" s="55"/>
      <c r="I504" s="55"/>
      <c r="J504" s="51">
        <v>800000</v>
      </c>
      <c r="K504" s="51"/>
      <c r="L504" s="52">
        <v>46126</v>
      </c>
      <c r="M504" s="53">
        <v>46067</v>
      </c>
      <c r="N504" s="50" t="s">
        <v>570</v>
      </c>
      <c r="O504" s="50" t="s">
        <v>1773</v>
      </c>
      <c r="P504" s="50" t="s">
        <v>1772</v>
      </c>
      <c r="Q504" s="55" t="s">
        <v>1774</v>
      </c>
      <c r="R504" s="55" t="s">
        <v>1775</v>
      </c>
      <c r="S504" s="53">
        <v>47162</v>
      </c>
      <c r="T504" s="50"/>
      <c r="U504" s="50" t="s">
        <v>166</v>
      </c>
      <c r="V504" s="56"/>
      <c r="W504" s="56"/>
      <c r="X504" s="56"/>
      <c r="Y504" s="56"/>
      <c r="Z504" s="56"/>
      <c r="AA504" s="56"/>
      <c r="AB504" s="56"/>
    </row>
    <row x14ac:dyDescent="0.25" r="505" customHeight="1" ht="18.75">
      <c r="A505" s="63"/>
      <c r="B505" s="63"/>
      <c r="C505" s="49" t="s">
        <v>16</v>
      </c>
      <c r="D505" s="49" t="s">
        <v>116</v>
      </c>
      <c r="E505" s="49" t="s">
        <v>117</v>
      </c>
      <c r="F505" s="49" t="s">
        <v>1776</v>
      </c>
      <c r="G505" s="64">
        <v>10000000</v>
      </c>
      <c r="H505" s="64"/>
      <c r="I505" s="64"/>
      <c r="J505" s="65">
        <f>IF(G505&gt;0,_xludf.IFS(G505=10000000,800000,G505=20000000,1528000,G505=30000000,2028000,G505=60000000,4056000),"")</f>
      </c>
      <c r="K505" s="64"/>
      <c r="L505" s="66">
        <v>46151</v>
      </c>
      <c r="M505" s="67">
        <f>IF(L505&gt;0,EDATE(L505,-2),"")</f>
        <v>25569.375</v>
      </c>
      <c r="N505" s="49" t="s">
        <v>1688</v>
      </c>
      <c r="O505" s="49" t="s">
        <v>1777</v>
      </c>
      <c r="P505" s="68">
        <f>IF(F505&gt;0,F505,"")</f>
      </c>
      <c r="Q505" s="69" t="s">
        <v>1778</v>
      </c>
      <c r="R505" s="69">
        <v>66517977</v>
      </c>
      <c r="S505" s="67">
        <f>IF(ISNUMBER(M505), EDATE(M505,36)-1, "")</f>
        <v>25569.375</v>
      </c>
      <c r="T505" s="49"/>
      <c r="U505" s="49"/>
      <c r="V505" s="63"/>
      <c r="W505" s="56"/>
      <c r="X505" s="56"/>
      <c r="Y505" s="56"/>
      <c r="Z505" s="56"/>
      <c r="AA505" s="56"/>
      <c r="AB505" s="56"/>
    </row>
    <row x14ac:dyDescent="0.25" r="506" customHeight="1" ht="18.75">
      <c r="A506" s="56"/>
      <c r="B506" s="56"/>
      <c r="C506" s="50" t="s">
        <v>16</v>
      </c>
      <c r="D506" s="50" t="s">
        <v>80</v>
      </c>
      <c r="E506" s="50"/>
      <c r="F506" s="50" t="s">
        <v>81</v>
      </c>
      <c r="G506" s="55">
        <v>10000000</v>
      </c>
      <c r="H506" s="55"/>
      <c r="I506" s="55"/>
      <c r="J506" s="51">
        <v>800000</v>
      </c>
      <c r="K506" s="51"/>
      <c r="L506" s="52">
        <v>46151</v>
      </c>
      <c r="M506" s="53">
        <v>46090</v>
      </c>
      <c r="N506" s="50" t="s">
        <v>239</v>
      </c>
      <c r="O506" s="50" t="s">
        <v>1779</v>
      </c>
      <c r="P506" s="50" t="s">
        <v>81</v>
      </c>
      <c r="Q506" s="55" t="s">
        <v>1780</v>
      </c>
      <c r="R506" s="55" t="s">
        <v>1781</v>
      </c>
      <c r="S506" s="53">
        <v>47185</v>
      </c>
      <c r="T506" s="50" t="s">
        <v>82</v>
      </c>
      <c r="U506" s="50" t="s">
        <v>166</v>
      </c>
      <c r="V506" s="48" t="s">
        <v>83</v>
      </c>
      <c r="W506" s="56"/>
      <c r="X506" s="56"/>
      <c r="Y506" s="56"/>
      <c r="Z506" s="56"/>
      <c r="AA506" s="56"/>
      <c r="AB506" s="56"/>
    </row>
    <row x14ac:dyDescent="0.25" r="507" customHeight="1" ht="18.75">
      <c r="A507" s="71"/>
      <c r="B507" s="71"/>
      <c r="C507" s="72" t="s">
        <v>16</v>
      </c>
      <c r="D507" s="72"/>
      <c r="E507" s="72"/>
      <c r="F507" s="72" t="s">
        <v>455</v>
      </c>
      <c r="G507" s="73">
        <v>10000000</v>
      </c>
      <c r="H507" s="73"/>
      <c r="I507" s="73"/>
      <c r="J507" s="74"/>
      <c r="K507" s="74"/>
      <c r="L507" s="75">
        <v>46154</v>
      </c>
      <c r="M507" s="76">
        <v>46093</v>
      </c>
      <c r="N507" s="72" t="s">
        <v>161</v>
      </c>
      <c r="O507" s="72" t="s">
        <v>888</v>
      </c>
      <c r="P507" s="72" t="s">
        <v>455</v>
      </c>
      <c r="Q507" s="73" t="s">
        <v>1782</v>
      </c>
      <c r="R507" s="73" t="s">
        <v>1783</v>
      </c>
      <c r="S507" s="76">
        <v>47188</v>
      </c>
      <c r="T507" s="72" t="s">
        <v>1784</v>
      </c>
      <c r="U507" s="72" t="s">
        <v>166</v>
      </c>
      <c r="V507" s="71"/>
      <c r="W507" s="56"/>
      <c r="X507" s="56"/>
      <c r="Y507" s="56"/>
      <c r="Z507" s="56"/>
      <c r="AA507" s="56"/>
      <c r="AB507" s="56"/>
    </row>
    <row x14ac:dyDescent="0.25" r="508" customHeight="1" ht="18.75">
      <c r="A508" s="56"/>
      <c r="B508" s="56"/>
      <c r="C508" s="50" t="s">
        <v>16</v>
      </c>
      <c r="D508" s="50" t="s">
        <v>3304</v>
      </c>
      <c r="E508" s="50"/>
      <c r="F508" s="50" t="s">
        <v>1785</v>
      </c>
      <c r="G508" s="55">
        <v>20000000</v>
      </c>
      <c r="H508" s="55"/>
      <c r="I508" s="55"/>
      <c r="J508" s="51">
        <v>1600000</v>
      </c>
      <c r="K508" s="51"/>
      <c r="L508" s="52">
        <v>45876</v>
      </c>
      <c r="M508" s="53">
        <v>45796</v>
      </c>
      <c r="N508" s="50" t="s">
        <v>155</v>
      </c>
      <c r="O508" s="50" t="s">
        <v>1786</v>
      </c>
      <c r="P508" s="50" t="s">
        <v>1785</v>
      </c>
      <c r="Q508" s="55" t="s">
        <v>1787</v>
      </c>
      <c r="R508" s="55" t="s">
        <v>1788</v>
      </c>
      <c r="S508" s="53">
        <v>46971</v>
      </c>
      <c r="T508" s="50"/>
      <c r="U508" s="50"/>
      <c r="V508" s="56"/>
      <c r="W508" s="56"/>
      <c r="X508" s="56"/>
      <c r="Y508" s="56"/>
      <c r="Z508" s="56"/>
      <c r="AA508" s="56"/>
      <c r="AB508" s="56"/>
    </row>
    <row x14ac:dyDescent="0.25" r="509" customHeight="1" ht="18.75">
      <c r="A509" s="56"/>
      <c r="B509" s="56"/>
      <c r="C509" s="50" t="s">
        <v>16</v>
      </c>
      <c r="D509" s="50"/>
      <c r="E509" s="50"/>
      <c r="F509" s="50" t="s">
        <v>1785</v>
      </c>
      <c r="G509" s="55">
        <v>60000000</v>
      </c>
      <c r="H509" s="55"/>
      <c r="I509" s="55"/>
      <c r="J509" s="51">
        <v>4800000</v>
      </c>
      <c r="K509" s="51"/>
      <c r="L509" s="52">
        <v>45930</v>
      </c>
      <c r="M509" s="53">
        <v>45848</v>
      </c>
      <c r="N509" s="50" t="s">
        <v>155</v>
      </c>
      <c r="O509" s="50" t="s">
        <v>1786</v>
      </c>
      <c r="P509" s="50" t="s">
        <v>1785</v>
      </c>
      <c r="Q509" s="55" t="s">
        <v>1787</v>
      </c>
      <c r="R509" s="55" t="s">
        <v>1788</v>
      </c>
      <c r="S509" s="53">
        <v>46943</v>
      </c>
      <c r="T509" s="50"/>
      <c r="U509" s="50"/>
      <c r="V509" s="56"/>
      <c r="W509" s="56"/>
      <c r="X509" s="56"/>
      <c r="Y509" s="56"/>
      <c r="Z509" s="56"/>
      <c r="AA509" s="56"/>
      <c r="AB509" s="56"/>
    </row>
    <row x14ac:dyDescent="0.25" r="510" customHeight="1" ht="18.75">
      <c r="A510" s="56"/>
      <c r="B510" s="56"/>
      <c r="C510" s="50" t="s">
        <v>16</v>
      </c>
      <c r="D510" s="50"/>
      <c r="E510" s="50"/>
      <c r="F510" s="50" t="s">
        <v>1790</v>
      </c>
      <c r="G510" s="55">
        <v>20000000</v>
      </c>
      <c r="H510" s="55"/>
      <c r="I510" s="55"/>
      <c r="J510" s="51">
        <v>1528000</v>
      </c>
      <c r="K510" s="51"/>
      <c r="L510" s="52">
        <v>46011</v>
      </c>
      <c r="M510" s="53">
        <v>45950</v>
      </c>
      <c r="N510" s="50" t="s">
        <v>155</v>
      </c>
      <c r="O510" s="50" t="s">
        <v>1791</v>
      </c>
      <c r="P510" s="50" t="s">
        <v>1790</v>
      </c>
      <c r="Q510" s="55" t="s">
        <v>1792</v>
      </c>
      <c r="R510" s="55" t="s">
        <v>1793</v>
      </c>
      <c r="S510" s="53">
        <v>47045</v>
      </c>
      <c r="T510" s="50"/>
      <c r="U510" s="50"/>
      <c r="V510" s="56"/>
      <c r="W510" s="56"/>
      <c r="X510" s="56"/>
      <c r="Y510" s="56"/>
      <c r="Z510" s="56"/>
      <c r="AA510" s="56"/>
      <c r="AB510" s="56"/>
    </row>
    <row x14ac:dyDescent="0.25" r="511" customHeight="1" ht="18.75">
      <c r="A511" s="56"/>
      <c r="B511" s="56"/>
      <c r="C511" s="50" t="s">
        <v>16</v>
      </c>
      <c r="D511" s="50"/>
      <c r="E511" s="50"/>
      <c r="F511" s="50" t="s">
        <v>1790</v>
      </c>
      <c r="G511" s="55">
        <v>10000000</v>
      </c>
      <c r="H511" s="55"/>
      <c r="I511" s="55"/>
      <c r="J511" s="51">
        <v>800000</v>
      </c>
      <c r="K511" s="51"/>
      <c r="L511" s="52">
        <v>46064</v>
      </c>
      <c r="M511" s="53">
        <v>46002</v>
      </c>
      <c r="N511" s="50" t="s">
        <v>155</v>
      </c>
      <c r="O511" s="50" t="s">
        <v>1791</v>
      </c>
      <c r="P511" s="50" t="s">
        <v>1790</v>
      </c>
      <c r="Q511" s="55" t="s">
        <v>1792</v>
      </c>
      <c r="R511" s="55" t="s">
        <v>1793</v>
      </c>
      <c r="S511" s="53">
        <v>47097</v>
      </c>
      <c r="T511" s="50"/>
      <c r="U511" s="50"/>
      <c r="V511" s="56"/>
      <c r="W511" s="56"/>
      <c r="X511" s="56"/>
      <c r="Y511" s="56"/>
      <c r="Z511" s="56"/>
      <c r="AA511" s="56"/>
      <c r="AB511" s="56"/>
    </row>
    <row x14ac:dyDescent="0.25" r="512" customHeight="1" ht="18.75">
      <c r="A512" s="56"/>
      <c r="B512" s="56"/>
      <c r="C512" s="50" t="s">
        <v>16</v>
      </c>
      <c r="D512" s="50"/>
      <c r="E512" s="50"/>
      <c r="F512" s="50" t="s">
        <v>1795</v>
      </c>
      <c r="G512" s="55">
        <v>10000000</v>
      </c>
      <c r="H512" s="55"/>
      <c r="I512" s="55"/>
      <c r="J512" s="51">
        <v>800000</v>
      </c>
      <c r="K512" s="51"/>
      <c r="L512" s="52">
        <v>45921</v>
      </c>
      <c r="M512" s="53">
        <v>45848</v>
      </c>
      <c r="N512" s="50" t="s">
        <v>168</v>
      </c>
      <c r="O512" s="50" t="s">
        <v>1796</v>
      </c>
      <c r="P512" s="50" t="s">
        <v>1795</v>
      </c>
      <c r="Q512" s="55" t="s">
        <v>1797</v>
      </c>
      <c r="R512" s="55" t="s">
        <v>1798</v>
      </c>
      <c r="S512" s="53">
        <v>46943</v>
      </c>
      <c r="T512" s="50"/>
      <c r="U512" s="50"/>
      <c r="V512" s="56"/>
      <c r="W512" s="56"/>
      <c r="X512" s="56"/>
      <c r="Y512" s="56"/>
      <c r="Z512" s="56"/>
      <c r="AA512" s="56"/>
      <c r="AB512" s="56"/>
    </row>
    <row x14ac:dyDescent="0.25" r="513" customHeight="1" ht="18.75">
      <c r="A513" s="48" t="s">
        <v>275</v>
      </c>
      <c r="B513" s="62"/>
      <c r="C513" s="50" t="s">
        <v>16</v>
      </c>
      <c r="D513" s="50"/>
      <c r="E513" s="50"/>
      <c r="F513" s="50" t="s">
        <v>914</v>
      </c>
      <c r="G513" s="55">
        <v>10000000</v>
      </c>
      <c r="H513" s="55"/>
      <c r="I513" s="55"/>
      <c r="J513" s="51">
        <v>800000</v>
      </c>
      <c r="K513" s="51"/>
      <c r="L513" s="52">
        <v>46196</v>
      </c>
      <c r="M513" s="53">
        <v>46135</v>
      </c>
      <c r="N513" s="50" t="s">
        <v>239</v>
      </c>
      <c r="O513" s="50" t="s">
        <v>915</v>
      </c>
      <c r="P513" s="50" t="s">
        <v>914</v>
      </c>
      <c r="Q513" s="55" t="s">
        <v>916</v>
      </c>
      <c r="R513" s="55" t="s">
        <v>917</v>
      </c>
      <c r="S513" s="53">
        <v>47230</v>
      </c>
      <c r="T513" s="50" t="s">
        <v>918</v>
      </c>
      <c r="U513" s="50" t="s">
        <v>166</v>
      </c>
      <c r="V513" s="48" t="s">
        <v>919</v>
      </c>
      <c r="W513" s="56"/>
      <c r="X513" s="56"/>
      <c r="Y513" s="56"/>
      <c r="Z513" s="56"/>
      <c r="AA513" s="56"/>
      <c r="AB513" s="56"/>
    </row>
    <row x14ac:dyDescent="0.25" r="514" customHeight="1" ht="18.75">
      <c r="A514" s="56"/>
      <c r="B514" s="56"/>
      <c r="C514" s="50" t="s">
        <v>16</v>
      </c>
      <c r="D514" s="50" t="s">
        <v>454</v>
      </c>
      <c r="E514" s="50"/>
      <c r="F514" s="50" t="s">
        <v>1799</v>
      </c>
      <c r="G514" s="55">
        <v>10000000</v>
      </c>
      <c r="H514" s="55"/>
      <c r="I514" s="55"/>
      <c r="J514" s="51">
        <v>800000</v>
      </c>
      <c r="K514" s="51"/>
      <c r="L514" s="52">
        <v>46154</v>
      </c>
      <c r="M514" s="53">
        <v>46093</v>
      </c>
      <c r="N514" s="50" t="s">
        <v>239</v>
      </c>
      <c r="O514" s="50" t="s">
        <v>1800</v>
      </c>
      <c r="P514" s="50" t="s">
        <v>1799</v>
      </c>
      <c r="Q514" s="55" t="s">
        <v>1782</v>
      </c>
      <c r="R514" s="55" t="s">
        <v>1783</v>
      </c>
      <c r="S514" s="53">
        <v>47188</v>
      </c>
      <c r="T514" s="50"/>
      <c r="U514" s="50"/>
      <c r="V514" s="56"/>
      <c r="W514" s="56"/>
      <c r="X514" s="56"/>
      <c r="Y514" s="56"/>
      <c r="Z514" s="56"/>
      <c r="AA514" s="56"/>
      <c r="AB514" s="56"/>
    </row>
    <row x14ac:dyDescent="0.25" r="515" customHeight="1" ht="18.75">
      <c r="A515" s="56"/>
      <c r="B515" s="56"/>
      <c r="C515" s="50" t="s">
        <v>16</v>
      </c>
      <c r="D515" s="50"/>
      <c r="E515" s="50"/>
      <c r="F515" s="50" t="s">
        <v>40</v>
      </c>
      <c r="G515" s="55">
        <v>40000000</v>
      </c>
      <c r="H515" s="55"/>
      <c r="I515" s="55"/>
      <c r="J515" s="51">
        <v>4056000</v>
      </c>
      <c r="K515" s="51"/>
      <c r="L515" s="52">
        <v>46196</v>
      </c>
      <c r="M515" s="53">
        <v>46135</v>
      </c>
      <c r="N515" s="50" t="s">
        <v>239</v>
      </c>
      <c r="O515" s="50" t="s">
        <v>1227</v>
      </c>
      <c r="P515" s="50" t="s">
        <v>40</v>
      </c>
      <c r="Q515" s="55" t="s">
        <v>1228</v>
      </c>
      <c r="R515" s="55" t="s">
        <v>1229</v>
      </c>
      <c r="S515" s="53">
        <v>47230</v>
      </c>
      <c r="T515" s="50"/>
      <c r="U515" s="50" t="s">
        <v>166</v>
      </c>
      <c r="V515" s="48" t="s">
        <v>3305</v>
      </c>
      <c r="W515" s="56"/>
      <c r="X515" s="56"/>
      <c r="Y515" s="56"/>
      <c r="Z515" s="56"/>
      <c r="AA515" s="56"/>
      <c r="AB515" s="56"/>
    </row>
    <row x14ac:dyDescent="0.25" r="516" customHeight="1" ht="18.75">
      <c r="A516" s="48" t="s">
        <v>152</v>
      </c>
      <c r="B516" s="62"/>
      <c r="C516" s="50" t="s">
        <v>16</v>
      </c>
      <c r="D516" s="50" t="s">
        <v>1627</v>
      </c>
      <c r="E516" s="50"/>
      <c r="F516" s="50" t="s">
        <v>1628</v>
      </c>
      <c r="G516" s="55">
        <v>10000000</v>
      </c>
      <c r="H516" s="55"/>
      <c r="I516" s="55"/>
      <c r="J516" s="51">
        <v>500000</v>
      </c>
      <c r="K516" s="51"/>
      <c r="L516" s="52">
        <v>46196</v>
      </c>
      <c r="M516" s="53">
        <v>46135</v>
      </c>
      <c r="N516" s="50" t="s">
        <v>161</v>
      </c>
      <c r="O516" s="50" t="s">
        <v>1629</v>
      </c>
      <c r="P516" s="50" t="s">
        <v>1628</v>
      </c>
      <c r="Q516" s="55" t="s">
        <v>1630</v>
      </c>
      <c r="R516" s="55" t="s">
        <v>1631</v>
      </c>
      <c r="S516" s="53">
        <v>47230</v>
      </c>
      <c r="T516" s="50" t="s">
        <v>1632</v>
      </c>
      <c r="U516" s="50" t="s">
        <v>293</v>
      </c>
      <c r="V516" s="48" t="s">
        <v>1633</v>
      </c>
      <c r="W516" s="56"/>
      <c r="X516" s="56"/>
      <c r="Y516" s="56"/>
      <c r="Z516" s="56"/>
      <c r="AA516" s="56"/>
      <c r="AB516" s="56"/>
    </row>
    <row x14ac:dyDescent="0.25" r="517" customHeight="1" ht="18.75">
      <c r="A517" s="56"/>
      <c r="B517" s="56"/>
      <c r="C517" s="50" t="s">
        <v>16</v>
      </c>
      <c r="D517" s="50"/>
      <c r="E517" s="50"/>
      <c r="F517" s="50" t="s">
        <v>1687</v>
      </c>
      <c r="G517" s="55">
        <v>10000000</v>
      </c>
      <c r="H517" s="55"/>
      <c r="I517" s="55"/>
      <c r="J517" s="51">
        <v>1200000</v>
      </c>
      <c r="K517" s="51"/>
      <c r="L517" s="52">
        <v>46196</v>
      </c>
      <c r="M517" s="53">
        <v>46135</v>
      </c>
      <c r="N517" s="50" t="s">
        <v>1688</v>
      </c>
      <c r="O517" s="50" t="s">
        <v>1689</v>
      </c>
      <c r="P517" s="50" t="s">
        <v>1687</v>
      </c>
      <c r="Q517" s="55" t="s">
        <v>1690</v>
      </c>
      <c r="R517" s="55" t="s">
        <v>1691</v>
      </c>
      <c r="S517" s="53">
        <v>47230</v>
      </c>
      <c r="T517" s="50" t="s">
        <v>1692</v>
      </c>
      <c r="U517" s="50" t="s">
        <v>166</v>
      </c>
      <c r="V517" s="56"/>
      <c r="W517" s="56"/>
      <c r="X517" s="56"/>
      <c r="Y517" s="56"/>
      <c r="Z517" s="56"/>
      <c r="AA517" s="56"/>
      <c r="AB517" s="56"/>
    </row>
    <row x14ac:dyDescent="0.25" r="518" customHeight="1" ht="18.75">
      <c r="A518" s="56"/>
      <c r="B518" s="56"/>
      <c r="C518" s="50" t="s">
        <v>16</v>
      </c>
      <c r="D518" s="50"/>
      <c r="E518" s="50"/>
      <c r="F518" s="50" t="s">
        <v>2702</v>
      </c>
      <c r="G518" s="55">
        <v>10000000</v>
      </c>
      <c r="H518" s="55"/>
      <c r="I518" s="55"/>
      <c r="J518" s="51">
        <v>800000</v>
      </c>
      <c r="K518" s="51"/>
      <c r="L518" s="52">
        <v>46196</v>
      </c>
      <c r="M518" s="53">
        <v>46135</v>
      </c>
      <c r="N518" s="50" t="s">
        <v>168</v>
      </c>
      <c r="O518" s="50" t="s">
        <v>2703</v>
      </c>
      <c r="P518" s="50" t="s">
        <v>2702</v>
      </c>
      <c r="Q518" s="55" t="s">
        <v>2704</v>
      </c>
      <c r="R518" s="55" t="s">
        <v>2705</v>
      </c>
      <c r="S518" s="53">
        <v>47230</v>
      </c>
      <c r="T518" s="50" t="s">
        <v>2706</v>
      </c>
      <c r="U518" s="50" t="s">
        <v>166</v>
      </c>
      <c r="V518" s="56"/>
      <c r="W518" s="56"/>
      <c r="X518" s="56"/>
      <c r="Y518" s="56"/>
      <c r="Z518" s="56"/>
      <c r="AA518" s="56"/>
      <c r="AB518" s="56"/>
    </row>
    <row x14ac:dyDescent="0.25" r="519" customHeight="1" ht="18.75">
      <c r="A519" s="48" t="s">
        <v>152</v>
      </c>
      <c r="B519" s="48"/>
      <c r="C519" s="50" t="s">
        <v>16</v>
      </c>
      <c r="D519" s="50" t="s">
        <v>816</v>
      </c>
      <c r="E519" s="50" t="s">
        <v>114</v>
      </c>
      <c r="F519" s="50" t="s">
        <v>1814</v>
      </c>
      <c r="G519" s="51">
        <v>20000000</v>
      </c>
      <c r="H519" s="51"/>
      <c r="I519" s="51"/>
      <c r="J519" s="51">
        <v>1000000</v>
      </c>
      <c r="K519" s="51"/>
      <c r="L519" s="52">
        <v>46118</v>
      </c>
      <c r="M519" s="53">
        <f>IF(L519&gt;0,EDATE(L519,-2),"")</f>
        <v>25569.375</v>
      </c>
      <c r="N519" s="50" t="s">
        <v>155</v>
      </c>
      <c r="O519" s="50" t="s">
        <v>1815</v>
      </c>
      <c r="P519" s="54">
        <f>IF(F519&gt;0,F519,"")</f>
      </c>
      <c r="Q519" s="55">
        <v>5611192523215</v>
      </c>
      <c r="R519" s="55">
        <v>96784025</v>
      </c>
      <c r="S519" s="53">
        <f>IF(ISNUMBER(M519), EDATE(M519,36)-1, "")</f>
        <v>25569.375</v>
      </c>
      <c r="T519" s="50"/>
      <c r="U519" s="50"/>
      <c r="V519" s="56" t="s">
        <v>1816</v>
      </c>
      <c r="W519" s="56"/>
      <c r="X519" s="56"/>
      <c r="Y519" s="56"/>
      <c r="Z519" s="56"/>
      <c r="AA519" s="56"/>
      <c r="AB519" s="56"/>
    </row>
    <row x14ac:dyDescent="0.25" r="520" customHeight="1" ht="18.75">
      <c r="A520" s="56"/>
      <c r="B520" s="56"/>
      <c r="C520" s="50" t="s">
        <v>16</v>
      </c>
      <c r="D520" s="50"/>
      <c r="E520" s="50" t="s">
        <v>117</v>
      </c>
      <c r="F520" s="50" t="s">
        <v>1044</v>
      </c>
      <c r="G520" s="55">
        <v>10000000</v>
      </c>
      <c r="H520" s="55"/>
      <c r="I520" s="55"/>
      <c r="J520" s="51">
        <v>800000</v>
      </c>
      <c r="K520" s="51"/>
      <c r="L520" s="52">
        <v>46108</v>
      </c>
      <c r="M520" s="53">
        <v>46049</v>
      </c>
      <c r="N520" s="50" t="s">
        <v>282</v>
      </c>
      <c r="O520" s="50" t="s">
        <v>1817</v>
      </c>
      <c r="P520" s="50" t="s">
        <v>1044</v>
      </c>
      <c r="Q520" s="55" t="s">
        <v>1818</v>
      </c>
      <c r="R520" s="55" t="s">
        <v>1819</v>
      </c>
      <c r="S520" s="53">
        <v>47144</v>
      </c>
      <c r="T520" s="50"/>
      <c r="U520" s="50" t="s">
        <v>166</v>
      </c>
      <c r="V520" s="56"/>
      <c r="W520" s="56"/>
      <c r="X520" s="56"/>
      <c r="Y520" s="56"/>
      <c r="Z520" s="56"/>
      <c r="AA520" s="56"/>
      <c r="AB520" s="56"/>
    </row>
    <row x14ac:dyDescent="0.25" r="521" customHeight="1" ht="18.75">
      <c r="A521" s="56"/>
      <c r="B521" s="56"/>
      <c r="C521" s="50" t="s">
        <v>16</v>
      </c>
      <c r="D521" s="50"/>
      <c r="E521" s="50" t="s">
        <v>476</v>
      </c>
      <c r="F521" s="50" t="s">
        <v>1044</v>
      </c>
      <c r="G521" s="55">
        <v>30000000</v>
      </c>
      <c r="H521" s="55"/>
      <c r="I521" s="55"/>
      <c r="J521" s="51">
        <v>800000</v>
      </c>
      <c r="K521" s="51"/>
      <c r="L521" s="52">
        <v>46159</v>
      </c>
      <c r="M521" s="53">
        <v>46098</v>
      </c>
      <c r="N521" s="50" t="s">
        <v>168</v>
      </c>
      <c r="O521" s="50" t="s">
        <v>1817</v>
      </c>
      <c r="P521" s="50" t="s">
        <v>1044</v>
      </c>
      <c r="Q521" s="55" t="s">
        <v>1818</v>
      </c>
      <c r="R521" s="55" t="s">
        <v>1819</v>
      </c>
      <c r="S521" s="53">
        <v>47193</v>
      </c>
      <c r="T521" s="50"/>
      <c r="U521" s="50" t="s">
        <v>166</v>
      </c>
      <c r="V521" s="56"/>
      <c r="W521" s="56"/>
      <c r="X521" s="56"/>
      <c r="Y521" s="56"/>
      <c r="Z521" s="56"/>
      <c r="AA521" s="56"/>
      <c r="AB521" s="56"/>
    </row>
    <row x14ac:dyDescent="0.25" r="522" customHeight="1" ht="18.75">
      <c r="A522" s="48" t="s">
        <v>152</v>
      </c>
      <c r="B522" s="48"/>
      <c r="C522" s="50" t="s">
        <v>16</v>
      </c>
      <c r="D522" s="50"/>
      <c r="E522" s="50"/>
      <c r="F522" s="50" t="s">
        <v>87</v>
      </c>
      <c r="G522" s="55">
        <v>60000000</v>
      </c>
      <c r="H522" s="55"/>
      <c r="I522" s="55"/>
      <c r="J522" s="51">
        <v>4800000</v>
      </c>
      <c r="K522" s="51"/>
      <c r="L522" s="52">
        <v>46094</v>
      </c>
      <c r="M522" s="53">
        <v>46022</v>
      </c>
      <c r="N522" s="50" t="s">
        <v>205</v>
      </c>
      <c r="O522" s="50" t="s">
        <v>1821</v>
      </c>
      <c r="P522" s="50" t="s">
        <v>87</v>
      </c>
      <c r="Q522" s="55" t="s">
        <v>1822</v>
      </c>
      <c r="R522" s="55" t="s">
        <v>1823</v>
      </c>
      <c r="S522" s="53">
        <v>47117</v>
      </c>
      <c r="T522" s="50"/>
      <c r="U522" s="50"/>
      <c r="V522" s="56"/>
      <c r="W522" s="56"/>
      <c r="X522" s="56"/>
      <c r="Y522" s="56"/>
      <c r="Z522" s="56"/>
      <c r="AA522" s="56"/>
      <c r="AB522" s="56"/>
    </row>
    <row x14ac:dyDescent="0.25" r="523" customHeight="1" ht="18.75">
      <c r="A523" s="48" t="s">
        <v>152</v>
      </c>
      <c r="B523" s="48"/>
      <c r="C523" s="49" t="s">
        <v>16</v>
      </c>
      <c r="D523" s="50" t="s">
        <v>55</v>
      </c>
      <c r="E523" s="50" t="s">
        <v>56</v>
      </c>
      <c r="F523" s="50" t="s">
        <v>1824</v>
      </c>
      <c r="G523" s="51">
        <v>20000000</v>
      </c>
      <c r="H523" s="51"/>
      <c r="I523" s="51"/>
      <c r="J523" s="87">
        <f>IF(G523&gt;0,_xludf.IFS(G523=10000000,800000,G523=20000000,1528000,G523=30000000,2028000,G523=60000000,4056000),"")</f>
      </c>
      <c r="K523" s="51"/>
      <c r="L523" s="52">
        <v>46176</v>
      </c>
      <c r="M523" s="53">
        <v>46111</v>
      </c>
      <c r="N523" s="50" t="s">
        <v>155</v>
      </c>
      <c r="O523" s="50" t="s">
        <v>198</v>
      </c>
      <c r="P523" s="54">
        <f>IF(F523&gt;0,F523,"")</f>
      </c>
      <c r="Q523" s="55" t="s">
        <v>1825</v>
      </c>
      <c r="R523" s="55">
        <v>68515709</v>
      </c>
      <c r="S523" s="53">
        <v>47208</v>
      </c>
      <c r="T523" s="50"/>
      <c r="U523" s="50"/>
      <c r="V523" s="48" t="s">
        <v>1826</v>
      </c>
      <c r="W523" s="56"/>
      <c r="X523" s="56"/>
      <c r="Y523" s="56"/>
      <c r="Z523" s="56"/>
      <c r="AA523" s="56"/>
      <c r="AB523" s="56"/>
    </row>
    <row x14ac:dyDescent="0.25" r="524" customHeight="1" ht="18.75">
      <c r="A524" s="56"/>
      <c r="B524" s="56"/>
      <c r="C524" s="50" t="s">
        <v>16</v>
      </c>
      <c r="D524" s="50" t="s">
        <v>48</v>
      </c>
      <c r="E524" s="50" t="s">
        <v>1044</v>
      </c>
      <c r="F524" s="50" t="s">
        <v>2919</v>
      </c>
      <c r="G524" s="55">
        <v>10000000</v>
      </c>
      <c r="H524" s="55"/>
      <c r="I524" s="55"/>
      <c r="J524" s="51">
        <v>800000</v>
      </c>
      <c r="K524" s="51"/>
      <c r="L524" s="52">
        <v>46196</v>
      </c>
      <c r="M524" s="53">
        <v>46135</v>
      </c>
      <c r="N524" s="50" t="s">
        <v>161</v>
      </c>
      <c r="O524" s="50" t="s">
        <v>2920</v>
      </c>
      <c r="P524" s="50" t="s">
        <v>2919</v>
      </c>
      <c r="Q524" s="55" t="s">
        <v>2921</v>
      </c>
      <c r="R524" s="55" t="s">
        <v>2922</v>
      </c>
      <c r="S524" s="53">
        <v>47230</v>
      </c>
      <c r="T524" s="50" t="s">
        <v>2923</v>
      </c>
      <c r="U524" s="50" t="s">
        <v>166</v>
      </c>
      <c r="V524" s="56"/>
      <c r="W524" s="56"/>
      <c r="X524" s="56"/>
      <c r="Y524" s="56"/>
      <c r="Z524" s="56"/>
      <c r="AA524" s="56"/>
      <c r="AB524" s="56"/>
    </row>
    <row x14ac:dyDescent="0.25" r="525" customHeight="1" ht="18.75">
      <c r="A525" s="63"/>
      <c r="B525" s="63"/>
      <c r="C525" s="49" t="s">
        <v>16</v>
      </c>
      <c r="D525" s="49" t="s">
        <v>116</v>
      </c>
      <c r="E525" s="49" t="s">
        <v>117</v>
      </c>
      <c r="F525" s="49" t="s">
        <v>1833</v>
      </c>
      <c r="G525" s="64">
        <v>10000000</v>
      </c>
      <c r="H525" s="64"/>
      <c r="I525" s="64"/>
      <c r="J525" s="65">
        <f>IF(G525&gt;0,_xludf.IFS(G525=10000000,800000,G525=20000000,1528000,G525=30000000,2028000,G525=60000000,4056000),"")</f>
      </c>
      <c r="K525" s="64"/>
      <c r="L525" s="66">
        <v>46151</v>
      </c>
      <c r="M525" s="67">
        <f>IF(L525&gt;0,EDATE(L525,-2),"")</f>
        <v>25569.375</v>
      </c>
      <c r="N525" s="49" t="s">
        <v>239</v>
      </c>
      <c r="O525" s="49" t="s">
        <v>1834</v>
      </c>
      <c r="P525" s="68">
        <f>IF(F525&gt;0,F525,"")</f>
      </c>
      <c r="Q525" s="69" t="s">
        <v>1835</v>
      </c>
      <c r="R525" s="69">
        <v>33513785</v>
      </c>
      <c r="S525" s="67">
        <f>IF(ISNUMBER(M525), EDATE(M525,36)-1, "")</f>
        <v>25569.375</v>
      </c>
      <c r="T525" s="49"/>
      <c r="U525" s="49"/>
      <c r="V525" s="63"/>
      <c r="W525" s="56"/>
      <c r="X525" s="56"/>
      <c r="Y525" s="56"/>
      <c r="Z525" s="56"/>
      <c r="AA525" s="56"/>
      <c r="AB525" s="56"/>
    </row>
    <row x14ac:dyDescent="0.25" r="526" customHeight="1" ht="18.75">
      <c r="A526" s="63"/>
      <c r="B526" s="63"/>
      <c r="C526" s="49" t="s">
        <v>16</v>
      </c>
      <c r="D526" s="49" t="s">
        <v>116</v>
      </c>
      <c r="E526" s="49" t="s">
        <v>117</v>
      </c>
      <c r="F526" s="49" t="s">
        <v>324</v>
      </c>
      <c r="G526" s="64">
        <v>10000000</v>
      </c>
      <c r="H526" s="64"/>
      <c r="I526" s="64"/>
      <c r="J526" s="65">
        <f>IF(G526&gt;0,_xludf.IFS(G526=10000000,800000,G526=20000000,1528000,G526=30000000,2028000,G526=60000000,4056000),"")</f>
      </c>
      <c r="K526" s="64"/>
      <c r="L526" s="66">
        <v>46197</v>
      </c>
      <c r="M526" s="67">
        <f>IF(L526&gt;0,EDATE(L526,-2),"")</f>
        <v>25569.375</v>
      </c>
      <c r="N526" s="49" t="s">
        <v>217</v>
      </c>
      <c r="O526" s="49" t="s">
        <v>325</v>
      </c>
      <c r="P526" s="68">
        <f>IF(F526&gt;0,F526,"")</f>
      </c>
      <c r="Q526" s="69" t="s">
        <v>326</v>
      </c>
      <c r="R526" s="69">
        <v>22648295</v>
      </c>
      <c r="S526" s="67">
        <f>IF(ISNUMBER(M526), EDATE(M526,36)-1, "")</f>
        <v>25569.375</v>
      </c>
      <c r="T526" s="49"/>
      <c r="U526" s="49"/>
      <c r="V526" s="63"/>
      <c r="W526" s="56"/>
      <c r="X526" s="56"/>
      <c r="Y526" s="56"/>
      <c r="Z526" s="56"/>
      <c r="AA526" s="56"/>
      <c r="AB526" s="56"/>
    </row>
    <row x14ac:dyDescent="0.25" r="527" customHeight="1" ht="18.75">
      <c r="A527" s="56"/>
      <c r="B527" s="56"/>
      <c r="C527" s="50" t="s">
        <v>1527</v>
      </c>
      <c r="D527" s="50"/>
      <c r="E527" s="50"/>
      <c r="F527" s="50" t="s">
        <v>97</v>
      </c>
      <c r="G527" s="55">
        <v>30000000</v>
      </c>
      <c r="H527" s="55"/>
      <c r="I527" s="55"/>
      <c r="J527" s="51">
        <v>1500000</v>
      </c>
      <c r="K527" s="51"/>
      <c r="L527" s="52">
        <v>45756</v>
      </c>
      <c r="M527" s="53">
        <v>45697</v>
      </c>
      <c r="N527" s="50" t="s">
        <v>239</v>
      </c>
      <c r="O527" s="50" t="s">
        <v>1840</v>
      </c>
      <c r="P527" s="50" t="s">
        <v>97</v>
      </c>
      <c r="Q527" s="55" t="s">
        <v>1841</v>
      </c>
      <c r="R527" s="55" t="s">
        <v>1842</v>
      </c>
      <c r="S527" s="53">
        <v>46791</v>
      </c>
      <c r="T527" s="50"/>
      <c r="U527" s="50"/>
      <c r="V527" s="56"/>
      <c r="W527" s="56"/>
      <c r="X527" s="56"/>
      <c r="Y527" s="56"/>
      <c r="Z527" s="56"/>
      <c r="AA527" s="56"/>
      <c r="AB527" s="56"/>
    </row>
    <row x14ac:dyDescent="0.25" r="528" customHeight="1" ht="18.75">
      <c r="A528" s="56"/>
      <c r="B528" s="56"/>
      <c r="C528" s="50" t="s">
        <v>16</v>
      </c>
      <c r="D528" s="50"/>
      <c r="E528" s="50"/>
      <c r="F528" s="50" t="s">
        <v>97</v>
      </c>
      <c r="G528" s="55">
        <v>10000000</v>
      </c>
      <c r="H528" s="55"/>
      <c r="I528" s="55"/>
      <c r="J528" s="51">
        <v>800000</v>
      </c>
      <c r="K528" s="51"/>
      <c r="L528" s="52">
        <v>46083</v>
      </c>
      <c r="M528" s="53">
        <v>46022</v>
      </c>
      <c r="N528" s="50" t="s">
        <v>205</v>
      </c>
      <c r="O528" s="50" t="s">
        <v>1843</v>
      </c>
      <c r="P528" s="50" t="s">
        <v>97</v>
      </c>
      <c r="Q528" s="55" t="s">
        <v>1841</v>
      </c>
      <c r="R528" s="55" t="s">
        <v>1842</v>
      </c>
      <c r="S528" s="53">
        <v>47127</v>
      </c>
      <c r="T528" s="50"/>
      <c r="U528" s="50"/>
      <c r="V528" s="56"/>
      <c r="W528" s="56"/>
      <c r="X528" s="56"/>
      <c r="Y528" s="56"/>
      <c r="Z528" s="56"/>
      <c r="AA528" s="56"/>
      <c r="AB528" s="56"/>
    </row>
    <row x14ac:dyDescent="0.25" r="529" customHeight="1" ht="18.75">
      <c r="A529" s="56"/>
      <c r="B529" s="56"/>
      <c r="C529" s="50" t="s">
        <v>16</v>
      </c>
      <c r="D529" s="50"/>
      <c r="E529" s="50"/>
      <c r="F529" s="50" t="s">
        <v>23</v>
      </c>
      <c r="G529" s="55">
        <v>10000000</v>
      </c>
      <c r="H529" s="55"/>
      <c r="I529" s="55"/>
      <c r="J529" s="51">
        <v>1200000</v>
      </c>
      <c r="K529" s="51"/>
      <c r="L529" s="52">
        <v>46197</v>
      </c>
      <c r="M529" s="53">
        <v>46136</v>
      </c>
      <c r="N529" s="50" t="s">
        <v>212</v>
      </c>
      <c r="O529" s="50" t="s">
        <v>439</v>
      </c>
      <c r="P529" s="50" t="s">
        <v>23</v>
      </c>
      <c r="Q529" s="55" t="s">
        <v>440</v>
      </c>
      <c r="R529" s="55" t="s">
        <v>441</v>
      </c>
      <c r="S529" s="53">
        <v>47231</v>
      </c>
      <c r="T529" s="50" t="s">
        <v>442</v>
      </c>
      <c r="U529" s="50" t="s">
        <v>166</v>
      </c>
      <c r="V529" s="56"/>
      <c r="W529" s="56"/>
      <c r="X529" s="56"/>
      <c r="Y529" s="56"/>
      <c r="Z529" s="56"/>
      <c r="AA529" s="56"/>
      <c r="AB529" s="56"/>
    </row>
    <row x14ac:dyDescent="0.25" r="530" customHeight="1" ht="18.75">
      <c r="A530" s="56"/>
      <c r="B530" s="56"/>
      <c r="C530" s="50" t="s">
        <v>16</v>
      </c>
      <c r="D530" s="50"/>
      <c r="E530" s="50"/>
      <c r="F530" s="50" t="s">
        <v>651</v>
      </c>
      <c r="G530" s="55">
        <v>10000000</v>
      </c>
      <c r="H530" s="55"/>
      <c r="I530" s="55"/>
      <c r="J530" s="51">
        <v>500000</v>
      </c>
      <c r="K530" s="51"/>
      <c r="L530" s="52">
        <v>46197</v>
      </c>
      <c r="M530" s="53">
        <v>46136</v>
      </c>
      <c r="N530" s="50"/>
      <c r="O530" s="50" t="s">
        <v>3306</v>
      </c>
      <c r="P530" s="50" t="s">
        <v>651</v>
      </c>
      <c r="Q530" s="55" t="s">
        <v>653</v>
      </c>
      <c r="R530" s="55" t="s">
        <v>654</v>
      </c>
      <c r="S530" s="53">
        <v>47231</v>
      </c>
      <c r="T530" s="50" t="s">
        <v>655</v>
      </c>
      <c r="U530" s="50" t="s">
        <v>166</v>
      </c>
      <c r="V530" s="48" t="s">
        <v>656</v>
      </c>
      <c r="W530" s="56"/>
      <c r="X530" s="56"/>
      <c r="Y530" s="56"/>
      <c r="Z530" s="56"/>
      <c r="AA530" s="56"/>
      <c r="AB530" s="56"/>
    </row>
    <row x14ac:dyDescent="0.25" r="531" customHeight="1" ht="18.75">
      <c r="A531" s="71"/>
      <c r="B531" s="71"/>
      <c r="C531" s="72" t="s">
        <v>16</v>
      </c>
      <c r="D531" s="72"/>
      <c r="E531" s="72"/>
      <c r="F531" s="72" t="s">
        <v>1854</v>
      </c>
      <c r="G531" s="55">
        <v>10000000</v>
      </c>
      <c r="H531" s="55"/>
      <c r="I531" s="55"/>
      <c r="J531" s="51">
        <v>800000</v>
      </c>
      <c r="K531" s="51"/>
      <c r="L531" s="75">
        <v>46166</v>
      </c>
      <c r="M531" s="76">
        <v>46105</v>
      </c>
      <c r="N531" s="72" t="s">
        <v>205</v>
      </c>
      <c r="O531" s="72" t="s">
        <v>711</v>
      </c>
      <c r="P531" s="72" t="s">
        <v>1854</v>
      </c>
      <c r="Q531" s="73" t="s">
        <v>1855</v>
      </c>
      <c r="R531" s="73" t="s">
        <v>3307</v>
      </c>
      <c r="S531" s="76">
        <v>47200</v>
      </c>
      <c r="T531" s="72"/>
      <c r="U531" s="72"/>
      <c r="V531" s="71" t="s">
        <v>1856</v>
      </c>
      <c r="W531" s="56"/>
      <c r="X531" s="56"/>
      <c r="Y531" s="56"/>
      <c r="Z531" s="56"/>
      <c r="AA531" s="56"/>
      <c r="AB531" s="56"/>
    </row>
    <row x14ac:dyDescent="0.25" r="532" customHeight="1" ht="18.75">
      <c r="A532" s="48" t="s">
        <v>275</v>
      </c>
      <c r="B532" s="48"/>
      <c r="C532" s="49" t="s">
        <v>16</v>
      </c>
      <c r="D532" s="50"/>
      <c r="E532" s="50"/>
      <c r="F532" s="50" t="s">
        <v>1854</v>
      </c>
      <c r="G532" s="51">
        <v>10000000</v>
      </c>
      <c r="H532" s="51"/>
      <c r="I532" s="51"/>
      <c r="J532" s="87">
        <f>IF(G532&gt;0,_xludf.IFS(G532=10000000,800000,G532=20000000,1528000,G532=30000000,2028000,G532=60000000,4056000),"")</f>
      </c>
      <c r="K532" s="51"/>
      <c r="L532" s="52">
        <v>46166</v>
      </c>
      <c r="M532" s="53">
        <f>IF(L532&gt;0,EDATE(L532,-2),"")</f>
        <v>25569.375</v>
      </c>
      <c r="N532" s="50" t="s">
        <v>205</v>
      </c>
      <c r="O532" s="50" t="s">
        <v>711</v>
      </c>
      <c r="P532" s="50" t="s">
        <v>2156</v>
      </c>
      <c r="Q532" s="55" t="s">
        <v>1855</v>
      </c>
      <c r="R532" s="55">
        <v>47290322</v>
      </c>
      <c r="S532" s="53">
        <f>IF(ISNUMBER(M532), EDATE(M532,36)-1, "")</f>
        <v>25569.375</v>
      </c>
      <c r="T532" s="50"/>
      <c r="U532" s="50"/>
      <c r="V532" s="48" t="s">
        <v>715</v>
      </c>
      <c r="W532" s="56"/>
      <c r="X532" s="56"/>
      <c r="Y532" s="56"/>
      <c r="Z532" s="56"/>
      <c r="AA532" s="56"/>
      <c r="AB532" s="56"/>
    </row>
    <row x14ac:dyDescent="0.25" r="533" customHeight="1" ht="18.75">
      <c r="A533" s="56"/>
      <c r="B533" s="56"/>
      <c r="C533" s="50" t="s">
        <v>16</v>
      </c>
      <c r="D533" s="50" t="s">
        <v>48</v>
      </c>
      <c r="E533" s="50"/>
      <c r="F533" s="50" t="s">
        <v>1857</v>
      </c>
      <c r="G533" s="55">
        <v>10000000</v>
      </c>
      <c r="H533" s="55"/>
      <c r="I533" s="55"/>
      <c r="J533" s="51">
        <v>800000</v>
      </c>
      <c r="K533" s="51"/>
      <c r="L533" s="52">
        <v>46159</v>
      </c>
      <c r="M533" s="53">
        <v>46098</v>
      </c>
      <c r="N533" s="50" t="s">
        <v>239</v>
      </c>
      <c r="O533" s="50" t="s">
        <v>855</v>
      </c>
      <c r="P533" s="50" t="s">
        <v>1857</v>
      </c>
      <c r="Q533" s="55" t="s">
        <v>1858</v>
      </c>
      <c r="R533" s="55" t="s">
        <v>1859</v>
      </c>
      <c r="S533" s="53">
        <v>47194</v>
      </c>
      <c r="T533" s="50" t="s">
        <v>1860</v>
      </c>
      <c r="U533" s="50"/>
      <c r="V533" s="56"/>
      <c r="W533" s="56"/>
      <c r="X533" s="56"/>
      <c r="Y533" s="56"/>
      <c r="Z533" s="56"/>
      <c r="AA533" s="56"/>
      <c r="AB533" s="56"/>
    </row>
    <row x14ac:dyDescent="0.25" r="534" customHeight="1" ht="18.75">
      <c r="A534" s="56"/>
      <c r="B534" s="56"/>
      <c r="C534" s="50" t="s">
        <v>16</v>
      </c>
      <c r="D534" s="50"/>
      <c r="E534" s="50"/>
      <c r="F534" s="50" t="s">
        <v>1861</v>
      </c>
      <c r="G534" s="55">
        <v>10000000</v>
      </c>
      <c r="H534" s="55"/>
      <c r="I534" s="55"/>
      <c r="J534" s="51">
        <v>800000</v>
      </c>
      <c r="K534" s="51"/>
      <c r="L534" s="52">
        <v>46160</v>
      </c>
      <c r="M534" s="53">
        <v>46099</v>
      </c>
      <c r="N534" s="50" t="s">
        <v>168</v>
      </c>
      <c r="O534" s="50" t="s">
        <v>1862</v>
      </c>
      <c r="P534" s="50" t="s">
        <v>1861</v>
      </c>
      <c r="Q534" s="55" t="s">
        <v>1863</v>
      </c>
      <c r="R534" s="55" t="s">
        <v>1864</v>
      </c>
      <c r="S534" s="53">
        <v>47194</v>
      </c>
      <c r="T534" s="50"/>
      <c r="U534" s="50" t="s">
        <v>166</v>
      </c>
      <c r="V534" s="56"/>
      <c r="W534" s="56"/>
      <c r="X534" s="56"/>
      <c r="Y534" s="56"/>
      <c r="Z534" s="56"/>
      <c r="AA534" s="56"/>
      <c r="AB534" s="56"/>
    </row>
    <row x14ac:dyDescent="0.25" r="535" customHeight="1" ht="18.75">
      <c r="A535" s="63" t="s">
        <v>63</v>
      </c>
      <c r="B535" s="63"/>
      <c r="C535" s="49" t="s">
        <v>16</v>
      </c>
      <c r="D535" s="49"/>
      <c r="E535" s="49" t="s">
        <v>203</v>
      </c>
      <c r="F535" s="49" t="s">
        <v>1861</v>
      </c>
      <c r="G535" s="64">
        <v>20000000</v>
      </c>
      <c r="H535" s="64"/>
      <c r="I535" s="64"/>
      <c r="J535" s="65">
        <f>IF(G535&gt;0,_xludf.IFS(G535=10000000,800000,G535=20000000,1528000,G535=30000000,2028000,G535=60000000,4056000),"")</f>
      </c>
      <c r="K535" s="64"/>
      <c r="L535" s="66">
        <v>46193</v>
      </c>
      <c r="M535" s="67">
        <v>46099</v>
      </c>
      <c r="N535" s="49" t="s">
        <v>168</v>
      </c>
      <c r="O535" s="49" t="s">
        <v>1862</v>
      </c>
      <c r="P535" s="68">
        <f>IF(F535&gt;0,F535,"")</f>
      </c>
      <c r="Q535" s="69" t="s">
        <v>1863</v>
      </c>
      <c r="R535" s="69">
        <v>38842974</v>
      </c>
      <c r="S535" s="67">
        <f>IF(ISNUMBER(M535), EDATE(M535,36)-1, "")</f>
        <v>25569.375</v>
      </c>
      <c r="T535" s="49"/>
      <c r="U535" s="49"/>
      <c r="V535" s="63" t="s">
        <v>3308</v>
      </c>
      <c r="W535" s="56"/>
      <c r="X535" s="56"/>
      <c r="Y535" s="56"/>
      <c r="Z535" s="56"/>
      <c r="AA535" s="56"/>
      <c r="AB535" s="56"/>
    </row>
    <row x14ac:dyDescent="0.25" r="536" customHeight="1" ht="18.75">
      <c r="A536" s="63"/>
      <c r="B536" s="63"/>
      <c r="C536" s="49" t="s">
        <v>16</v>
      </c>
      <c r="D536" s="49"/>
      <c r="E536" s="49"/>
      <c r="F536" s="49" t="s">
        <v>651</v>
      </c>
      <c r="G536" s="64">
        <v>10000000</v>
      </c>
      <c r="H536" s="64"/>
      <c r="I536" s="64"/>
      <c r="J536" s="64">
        <v>500000</v>
      </c>
      <c r="K536" s="64"/>
      <c r="L536" s="66">
        <v>46197</v>
      </c>
      <c r="M536" s="67">
        <f>IF(L536&gt;0,EDATE(L536,-2),"")</f>
        <v>25569.375</v>
      </c>
      <c r="N536" s="49" t="s">
        <v>168</v>
      </c>
      <c r="O536" s="49" t="s">
        <v>3309</v>
      </c>
      <c r="P536" s="68">
        <f>IF(F536&gt;0,F536,"")</f>
      </c>
      <c r="Q536" s="69" t="s">
        <v>653</v>
      </c>
      <c r="R536" s="69">
        <v>90350752</v>
      </c>
      <c r="S536" s="67">
        <f>IF(ISNUMBER(M536), EDATE(M536,36)-1, "")</f>
        <v>25569.375</v>
      </c>
      <c r="T536" s="49"/>
      <c r="U536" s="49"/>
      <c r="V536" s="63"/>
      <c r="W536" s="56"/>
      <c r="X536" s="56"/>
      <c r="Y536" s="56"/>
      <c r="Z536" s="56"/>
      <c r="AA536" s="56"/>
      <c r="AB536" s="56"/>
    </row>
    <row x14ac:dyDescent="0.25" r="537" customHeight="1" ht="18.75">
      <c r="A537" s="56"/>
      <c r="B537" s="56"/>
      <c r="C537" s="50" t="s">
        <v>16</v>
      </c>
      <c r="D537" s="50"/>
      <c r="E537" s="50"/>
      <c r="F537" s="50" t="s">
        <v>1870</v>
      </c>
      <c r="G537" s="55">
        <v>10000000</v>
      </c>
      <c r="H537" s="55"/>
      <c r="I537" s="55"/>
      <c r="J537" s="51">
        <v>800000</v>
      </c>
      <c r="K537" s="51"/>
      <c r="L537" s="52">
        <v>46041</v>
      </c>
      <c r="M537" s="53">
        <v>45980</v>
      </c>
      <c r="N537" s="50" t="s">
        <v>155</v>
      </c>
      <c r="O537" s="50" t="s">
        <v>1871</v>
      </c>
      <c r="P537" s="50" t="s">
        <v>1870</v>
      </c>
      <c r="Q537" s="55" t="s">
        <v>1872</v>
      </c>
      <c r="R537" s="55" t="s">
        <v>1873</v>
      </c>
      <c r="S537" s="53">
        <v>47075</v>
      </c>
      <c r="T537" s="50"/>
      <c r="U537" s="50"/>
      <c r="V537" s="56"/>
      <c r="W537" s="56"/>
      <c r="X537" s="56"/>
      <c r="Y537" s="56"/>
      <c r="Z537" s="56"/>
      <c r="AA537" s="56"/>
      <c r="AB537" s="56"/>
    </row>
    <row x14ac:dyDescent="0.25" r="538" customHeight="1" ht="18.75">
      <c r="A538" s="56"/>
      <c r="B538" s="56"/>
      <c r="C538" s="50" t="s">
        <v>13</v>
      </c>
      <c r="D538" s="50"/>
      <c r="E538" s="50"/>
      <c r="F538" s="50" t="s">
        <v>1874</v>
      </c>
      <c r="G538" s="55">
        <v>30000000</v>
      </c>
      <c r="H538" s="55"/>
      <c r="I538" s="55"/>
      <c r="J538" s="51">
        <v>2400000</v>
      </c>
      <c r="K538" s="51"/>
      <c r="L538" s="52">
        <v>45794</v>
      </c>
      <c r="M538" s="53">
        <v>45731</v>
      </c>
      <c r="N538" s="50" t="s">
        <v>155</v>
      </c>
      <c r="O538" s="50" t="s">
        <v>1875</v>
      </c>
      <c r="P538" s="50" t="s">
        <v>1874</v>
      </c>
      <c r="Q538" s="55" t="s">
        <v>1876</v>
      </c>
      <c r="R538" s="55" t="s">
        <v>1877</v>
      </c>
      <c r="S538" s="53">
        <v>46826</v>
      </c>
      <c r="T538" s="50"/>
      <c r="U538" s="50"/>
      <c r="V538" s="56"/>
      <c r="W538" s="56"/>
      <c r="X538" s="56"/>
      <c r="Y538" s="56"/>
      <c r="Z538" s="56"/>
      <c r="AA538" s="56"/>
      <c r="AB538" s="56"/>
    </row>
    <row x14ac:dyDescent="0.25" r="539" customHeight="1" ht="18.75">
      <c r="A539" s="56"/>
      <c r="B539" s="56"/>
      <c r="C539" s="50" t="s">
        <v>1878</v>
      </c>
      <c r="D539" s="50"/>
      <c r="E539" s="50"/>
      <c r="F539" s="50" t="s">
        <v>1874</v>
      </c>
      <c r="G539" s="55">
        <v>30000000</v>
      </c>
      <c r="H539" s="55"/>
      <c r="I539" s="55"/>
      <c r="J539" s="51">
        <v>2400000</v>
      </c>
      <c r="K539" s="51"/>
      <c r="L539" s="52">
        <v>45845</v>
      </c>
      <c r="M539" s="53">
        <v>45784</v>
      </c>
      <c r="N539" s="50" t="s">
        <v>155</v>
      </c>
      <c r="O539" s="50" t="s">
        <v>1875</v>
      </c>
      <c r="P539" s="50" t="s">
        <v>1874</v>
      </c>
      <c r="Q539" s="55" t="s">
        <v>1876</v>
      </c>
      <c r="R539" s="55" t="s">
        <v>1877</v>
      </c>
      <c r="S539" s="53">
        <v>46879</v>
      </c>
      <c r="T539" s="50"/>
      <c r="U539" s="50"/>
      <c r="V539" s="56"/>
      <c r="W539" s="56"/>
      <c r="X539" s="56"/>
      <c r="Y539" s="56"/>
      <c r="Z539" s="56"/>
      <c r="AA539" s="56"/>
      <c r="AB539" s="56"/>
    </row>
    <row x14ac:dyDescent="0.25" r="540" customHeight="1" ht="18.75">
      <c r="A540" s="56"/>
      <c r="B540" s="56"/>
      <c r="C540" s="50" t="s">
        <v>16</v>
      </c>
      <c r="D540" s="50"/>
      <c r="E540" s="50"/>
      <c r="F540" s="50" t="s">
        <v>1874</v>
      </c>
      <c r="G540" s="55">
        <v>60000000</v>
      </c>
      <c r="H540" s="55"/>
      <c r="I540" s="55"/>
      <c r="J540" s="51">
        <v>4800000</v>
      </c>
      <c r="K540" s="51"/>
      <c r="L540" s="52">
        <v>45910</v>
      </c>
      <c r="M540" s="53">
        <v>45848</v>
      </c>
      <c r="N540" s="50" t="s">
        <v>155</v>
      </c>
      <c r="O540" s="50" t="s">
        <v>1879</v>
      </c>
      <c r="P540" s="50" t="s">
        <v>1874</v>
      </c>
      <c r="Q540" s="55" t="s">
        <v>1876</v>
      </c>
      <c r="R540" s="55" t="s">
        <v>1877</v>
      </c>
      <c r="S540" s="53">
        <v>46943</v>
      </c>
      <c r="T540" s="50"/>
      <c r="U540" s="50"/>
      <c r="V540" s="56"/>
      <c r="W540" s="56"/>
      <c r="X540" s="56"/>
      <c r="Y540" s="56"/>
      <c r="Z540" s="56"/>
      <c r="AA540" s="56"/>
      <c r="AB540" s="56"/>
    </row>
    <row x14ac:dyDescent="0.25" r="541" customHeight="1" ht="18.75">
      <c r="A541" s="56"/>
      <c r="B541" s="56"/>
      <c r="C541" s="50" t="s">
        <v>972</v>
      </c>
      <c r="D541" s="50" t="s">
        <v>1880</v>
      </c>
      <c r="E541" s="50"/>
      <c r="F541" s="50" t="s">
        <v>1881</v>
      </c>
      <c r="G541" s="55">
        <v>60000000</v>
      </c>
      <c r="H541" s="55"/>
      <c r="I541" s="55"/>
      <c r="J541" s="51">
        <v>4800000</v>
      </c>
      <c r="K541" s="51"/>
      <c r="L541" s="52">
        <v>45802</v>
      </c>
      <c r="M541" s="53">
        <v>45741</v>
      </c>
      <c r="N541" s="50" t="s">
        <v>282</v>
      </c>
      <c r="O541" s="50" t="s">
        <v>1882</v>
      </c>
      <c r="P541" s="50" t="s">
        <v>1881</v>
      </c>
      <c r="Q541" s="55" t="s">
        <v>1883</v>
      </c>
      <c r="R541" s="55" t="s">
        <v>1884</v>
      </c>
      <c r="S541" s="53">
        <v>46836</v>
      </c>
      <c r="T541" s="50"/>
      <c r="U541" s="50"/>
      <c r="V541" s="56"/>
      <c r="W541" s="56"/>
      <c r="X541" s="56"/>
      <c r="Y541" s="56"/>
      <c r="Z541" s="56"/>
      <c r="AA541" s="56"/>
      <c r="AB541" s="56"/>
    </row>
    <row x14ac:dyDescent="0.25" r="542" customHeight="1" ht="18.75">
      <c r="A542" s="63"/>
      <c r="B542" s="63"/>
      <c r="C542" s="49" t="s">
        <v>16</v>
      </c>
      <c r="D542" s="49" t="s">
        <v>116</v>
      </c>
      <c r="E542" s="49" t="s">
        <v>117</v>
      </c>
      <c r="F542" s="49" t="s">
        <v>1011</v>
      </c>
      <c r="G542" s="64">
        <v>10000000</v>
      </c>
      <c r="H542" s="64"/>
      <c r="I542" s="64"/>
      <c r="J542" s="65">
        <f>IF(G542&gt;0,_xludf.IFS(G542=10000000,800000,G542=20000000,1528000,G542=30000000,2028000,G542=60000000,4056000),"")</f>
      </c>
      <c r="K542" s="64"/>
      <c r="L542" s="66">
        <v>46197</v>
      </c>
      <c r="M542" s="67">
        <f>IF(L542&gt;0,EDATE(L542,-2),"")</f>
        <v>25569.375</v>
      </c>
      <c r="N542" s="49" t="s">
        <v>239</v>
      </c>
      <c r="O542" s="49" t="s">
        <v>1016</v>
      </c>
      <c r="P542" s="68">
        <f>IF(F542&gt;0,F542,"")</f>
      </c>
      <c r="Q542" s="69" t="s">
        <v>1017</v>
      </c>
      <c r="R542" s="69">
        <v>37354203</v>
      </c>
      <c r="S542" s="67">
        <f>IF(ISNUMBER(M542), EDATE(M542,36)-1, "")</f>
        <v>25569.375</v>
      </c>
      <c r="T542" s="49"/>
      <c r="U542" s="49"/>
      <c r="V542" s="63"/>
      <c r="W542" s="56"/>
      <c r="X542" s="56"/>
      <c r="Y542" s="56"/>
      <c r="Z542" s="56"/>
      <c r="AA542" s="56"/>
      <c r="AB542" s="56"/>
    </row>
    <row x14ac:dyDescent="0.25" r="543" customHeight="1" ht="18.75">
      <c r="A543" s="56"/>
      <c r="B543" s="56"/>
      <c r="C543" s="50" t="s">
        <v>16</v>
      </c>
      <c r="D543" s="50" t="s">
        <v>816</v>
      </c>
      <c r="E543" s="50" t="s">
        <v>1160</v>
      </c>
      <c r="F543" s="50" t="s">
        <v>1161</v>
      </c>
      <c r="G543" s="55">
        <v>30000000</v>
      </c>
      <c r="H543" s="55"/>
      <c r="I543" s="55"/>
      <c r="J543" s="51">
        <v>2028000</v>
      </c>
      <c r="K543" s="51"/>
      <c r="L543" s="52">
        <v>46197</v>
      </c>
      <c r="M543" s="53">
        <v>46136</v>
      </c>
      <c r="N543" s="50" t="s">
        <v>168</v>
      </c>
      <c r="O543" s="50" t="s">
        <v>1162</v>
      </c>
      <c r="P543" s="50" t="s">
        <v>1161</v>
      </c>
      <c r="Q543" s="55" t="s">
        <v>1163</v>
      </c>
      <c r="R543" s="55" t="s">
        <v>1164</v>
      </c>
      <c r="S543" s="53">
        <v>47154</v>
      </c>
      <c r="T543" s="50" t="s">
        <v>1165</v>
      </c>
      <c r="U543" s="50" t="s">
        <v>166</v>
      </c>
      <c r="V543" s="56"/>
      <c r="W543" s="56"/>
      <c r="X543" s="56"/>
      <c r="Y543" s="56"/>
      <c r="Z543" s="56"/>
      <c r="AA543" s="56"/>
      <c r="AB543" s="56"/>
    </row>
    <row x14ac:dyDescent="0.25" r="544" customHeight="1" ht="18.75">
      <c r="A544" s="71" t="s">
        <v>252</v>
      </c>
      <c r="B544" s="71"/>
      <c r="C544" s="72" t="s">
        <v>16</v>
      </c>
      <c r="D544" s="72"/>
      <c r="E544" s="72"/>
      <c r="F544" s="72" t="s">
        <v>1892</v>
      </c>
      <c r="G544" s="73"/>
      <c r="H544" s="73"/>
      <c r="I544" s="73"/>
      <c r="J544" s="74"/>
      <c r="K544" s="74"/>
      <c r="L544" s="75" t="s">
        <v>449</v>
      </c>
      <c r="M544" s="76" t="s">
        <v>449</v>
      </c>
      <c r="N544" s="72"/>
      <c r="O544" s="72"/>
      <c r="P544" s="72" t="s">
        <v>1892</v>
      </c>
      <c r="Q544" s="73"/>
      <c r="R544" s="73" t="s">
        <v>1894</v>
      </c>
      <c r="S544" s="76" t="s">
        <v>449</v>
      </c>
      <c r="T544" s="72"/>
      <c r="U544" s="72"/>
      <c r="V544" s="71"/>
      <c r="W544" s="56"/>
      <c r="X544" s="56"/>
      <c r="Y544" s="56"/>
      <c r="Z544" s="56"/>
      <c r="AA544" s="56"/>
      <c r="AB544" s="56"/>
    </row>
    <row x14ac:dyDescent="0.25" r="545" customHeight="1" ht="18.75">
      <c r="A545" s="56"/>
      <c r="B545" s="56"/>
      <c r="C545" s="49" t="s">
        <v>16</v>
      </c>
      <c r="D545" s="50" t="s">
        <v>816</v>
      </c>
      <c r="E545" s="50" t="s">
        <v>114</v>
      </c>
      <c r="F545" s="50" t="s">
        <v>1531</v>
      </c>
      <c r="G545" s="51">
        <v>20000000</v>
      </c>
      <c r="H545" s="51"/>
      <c r="I545" s="51"/>
      <c r="J545" s="87">
        <f>IF(G545&gt;0,_xludf.IFS(G545=10000000,800000,G545=20000000,1528000,G545=30000000,2028000,G545=60000000,4056000),"")</f>
      </c>
      <c r="K545" s="51"/>
      <c r="L545" s="52">
        <v>46208</v>
      </c>
      <c r="M545" s="53">
        <v>46136</v>
      </c>
      <c r="N545" s="50" t="s">
        <v>168</v>
      </c>
      <c r="O545" s="50" t="s">
        <v>1532</v>
      </c>
      <c r="P545" s="54">
        <f>IF(F545&gt;0,F545,"")</f>
      </c>
      <c r="Q545" s="55" t="s">
        <v>1533</v>
      </c>
      <c r="R545" s="55">
        <v>75885488</v>
      </c>
      <c r="S545" s="53">
        <f>IF(ISNUMBER(M545), EDATE(M545,36)-1, "")</f>
        <v>25569.375</v>
      </c>
      <c r="T545" s="50"/>
      <c r="U545" s="50"/>
      <c r="V545" s="56"/>
      <c r="W545" s="56"/>
      <c r="X545" s="56"/>
      <c r="Y545" s="56"/>
      <c r="Z545" s="56"/>
      <c r="AA545" s="56"/>
      <c r="AB545" s="56"/>
    </row>
    <row x14ac:dyDescent="0.25" r="546" customHeight="1" ht="18.75">
      <c r="A546" s="56"/>
      <c r="B546" s="56"/>
      <c r="C546" s="50" t="s">
        <v>16</v>
      </c>
      <c r="D546" s="50"/>
      <c r="E546" s="50"/>
      <c r="F546" s="50" t="s">
        <v>1571</v>
      </c>
      <c r="G546" s="55">
        <v>10000000</v>
      </c>
      <c r="H546" s="55"/>
      <c r="I546" s="55"/>
      <c r="J546" s="51">
        <v>800000</v>
      </c>
      <c r="K546" s="51"/>
      <c r="L546" s="52">
        <v>46197</v>
      </c>
      <c r="M546" s="53">
        <v>46136</v>
      </c>
      <c r="N546" s="50" t="s">
        <v>161</v>
      </c>
      <c r="O546" s="50" t="s">
        <v>1572</v>
      </c>
      <c r="P546" s="50" t="s">
        <v>1571</v>
      </c>
      <c r="Q546" s="55" t="s">
        <v>1573</v>
      </c>
      <c r="R546" s="55" t="s">
        <v>1574</v>
      </c>
      <c r="S546" s="53">
        <v>47231</v>
      </c>
      <c r="T546" s="50"/>
      <c r="U546" s="50" t="s">
        <v>166</v>
      </c>
      <c r="V546" s="56"/>
      <c r="W546" s="56"/>
      <c r="X546" s="56"/>
      <c r="Y546" s="56"/>
      <c r="Z546" s="56"/>
      <c r="AA546" s="56"/>
      <c r="AB546" s="56"/>
    </row>
    <row x14ac:dyDescent="0.25" r="547" customHeight="1" ht="18.75">
      <c r="A547" s="56"/>
      <c r="B547" s="56"/>
      <c r="C547" s="50" t="s">
        <v>16</v>
      </c>
      <c r="D547" s="50" t="s">
        <v>55</v>
      </c>
      <c r="E547" s="50" t="s">
        <v>1425</v>
      </c>
      <c r="F547" s="50" t="s">
        <v>1897</v>
      </c>
      <c r="G547" s="55">
        <v>10000000</v>
      </c>
      <c r="H547" s="55"/>
      <c r="I547" s="55"/>
      <c r="J547" s="51">
        <v>800000</v>
      </c>
      <c r="K547" s="51"/>
      <c r="L547" s="52">
        <v>46148</v>
      </c>
      <c r="M547" s="53">
        <v>46087</v>
      </c>
      <c r="N547" s="50" t="s">
        <v>161</v>
      </c>
      <c r="O547" s="50" t="s">
        <v>1898</v>
      </c>
      <c r="P547" s="50" t="s">
        <v>1897</v>
      </c>
      <c r="Q547" s="55" t="s">
        <v>1899</v>
      </c>
      <c r="R547" s="55" t="s">
        <v>1428</v>
      </c>
      <c r="S547" s="53">
        <v>47182</v>
      </c>
      <c r="T547" s="50" t="s">
        <v>1900</v>
      </c>
      <c r="U547" s="50" t="s">
        <v>166</v>
      </c>
      <c r="V547" s="56"/>
      <c r="W547" s="56"/>
      <c r="X547" s="56"/>
      <c r="Y547" s="56"/>
      <c r="Z547" s="56"/>
      <c r="AA547" s="56"/>
      <c r="AB547" s="56"/>
    </row>
    <row x14ac:dyDescent="0.25" r="548" customHeight="1" ht="18.75">
      <c r="A548" s="48" t="s">
        <v>152</v>
      </c>
      <c r="B548" s="48"/>
      <c r="C548" s="50" t="s">
        <v>16</v>
      </c>
      <c r="D548" s="50" t="s">
        <v>48</v>
      </c>
      <c r="E548" s="50" t="s">
        <v>23</v>
      </c>
      <c r="F548" s="50" t="s">
        <v>1811</v>
      </c>
      <c r="G548" s="51">
        <v>10000000</v>
      </c>
      <c r="H548" s="51"/>
      <c r="I548" s="51"/>
      <c r="J548" s="87">
        <f>IF(G548&gt;0,_xludf.IFS(G548=10000000,1200000,G548=20000000,1800000,G548=30000000,2400000,G548=60000000,4000000),"")</f>
      </c>
      <c r="K548" s="51"/>
      <c r="L548" s="52">
        <v>46197</v>
      </c>
      <c r="M548" s="53">
        <f>IF(L548&gt;0,EDATE(L548,-2),"")</f>
        <v>25569.375</v>
      </c>
      <c r="N548" s="50" t="s">
        <v>168</v>
      </c>
      <c r="O548" s="50" t="s">
        <v>1812</v>
      </c>
      <c r="P548" s="54">
        <f>IF(F548&gt;0,F548,"")</f>
      </c>
      <c r="Q548" s="55">
        <v>9301142155117</v>
      </c>
      <c r="R548" s="55">
        <v>77425117</v>
      </c>
      <c r="S548" s="53">
        <f>IF(ISNUMBER(M548), EDATE(M548,36)-1, "")</f>
        <v>25569.375</v>
      </c>
      <c r="T548" s="50"/>
      <c r="U548" s="50"/>
      <c r="V548" s="48" t="s">
        <v>1813</v>
      </c>
      <c r="W548" s="56"/>
      <c r="X548" s="56"/>
      <c r="Y548" s="56"/>
      <c r="Z548" s="56"/>
      <c r="AA548" s="56"/>
      <c r="AB548" s="56"/>
    </row>
    <row x14ac:dyDescent="0.25" r="549" customHeight="1" ht="18.75">
      <c r="A549" s="56"/>
      <c r="B549" s="56"/>
      <c r="C549" s="50" t="s">
        <v>16</v>
      </c>
      <c r="D549" s="50"/>
      <c r="E549" s="50" t="s">
        <v>1044</v>
      </c>
      <c r="F549" s="50" t="s">
        <v>2372</v>
      </c>
      <c r="G549" s="55">
        <v>10000000</v>
      </c>
      <c r="H549" s="55"/>
      <c r="I549" s="55"/>
      <c r="J549" s="51">
        <v>800000</v>
      </c>
      <c r="K549" s="51"/>
      <c r="L549" s="52">
        <v>46197</v>
      </c>
      <c r="M549" s="53">
        <v>46136</v>
      </c>
      <c r="N549" s="50" t="s">
        <v>205</v>
      </c>
      <c r="O549" s="50" t="s">
        <v>2373</v>
      </c>
      <c r="P549" s="50" t="s">
        <v>2372</v>
      </c>
      <c r="Q549" s="55" t="s">
        <v>2374</v>
      </c>
      <c r="R549" s="55" t="s">
        <v>2375</v>
      </c>
      <c r="S549" s="53">
        <v>47231</v>
      </c>
      <c r="T549" s="50" t="s">
        <v>2376</v>
      </c>
      <c r="U549" s="50" t="s">
        <v>166</v>
      </c>
      <c r="V549" s="56"/>
      <c r="W549" s="56"/>
      <c r="X549" s="56"/>
      <c r="Y549" s="56"/>
      <c r="Z549" s="56"/>
      <c r="AA549" s="56"/>
      <c r="AB549" s="56"/>
    </row>
    <row x14ac:dyDescent="0.25" r="550" customHeight="1" ht="18.75">
      <c r="A550" s="71"/>
      <c r="B550" s="71"/>
      <c r="C550" s="72" t="s">
        <v>16</v>
      </c>
      <c r="D550" s="72" t="s">
        <v>410</v>
      </c>
      <c r="E550" s="72" t="s">
        <v>1075</v>
      </c>
      <c r="F550" s="72" t="s">
        <v>1905</v>
      </c>
      <c r="G550" s="74">
        <v>60000000</v>
      </c>
      <c r="H550" s="74"/>
      <c r="I550" s="74"/>
      <c r="J550" s="74">
        <v>4056000</v>
      </c>
      <c r="K550" s="74"/>
      <c r="L550" s="75">
        <v>46198</v>
      </c>
      <c r="M550" s="76">
        <v>46081</v>
      </c>
      <c r="N550" s="72" t="s">
        <v>217</v>
      </c>
      <c r="O550" s="72" t="s">
        <v>1906</v>
      </c>
      <c r="P550" s="96">
        <f>IF(F550&gt;0,F550,"")</f>
      </c>
      <c r="Q550" s="73">
        <v>7506081063710</v>
      </c>
      <c r="R550" s="73">
        <v>63180012</v>
      </c>
      <c r="S550" s="76">
        <f>IF(ISNUMBER(M550), EDATE(M550,36)-1, "")</f>
        <v>25569.375</v>
      </c>
      <c r="T550" s="72"/>
      <c r="U550" s="72"/>
      <c r="V550" s="71" t="s">
        <v>1907</v>
      </c>
      <c r="W550" s="56"/>
      <c r="X550" s="56"/>
      <c r="Y550" s="56"/>
      <c r="Z550" s="56"/>
      <c r="AA550" s="56"/>
      <c r="AB550" s="56"/>
    </row>
    <row x14ac:dyDescent="0.25" r="551" customHeight="1" ht="18.75">
      <c r="A551" s="56"/>
      <c r="B551" s="56"/>
      <c r="C551" s="50" t="s">
        <v>16</v>
      </c>
      <c r="D551" s="50"/>
      <c r="E551" s="50"/>
      <c r="F551" s="50" t="s">
        <v>1908</v>
      </c>
      <c r="G551" s="55">
        <v>20000000</v>
      </c>
      <c r="H551" s="55"/>
      <c r="I551" s="55"/>
      <c r="J551" s="51">
        <v>1528000</v>
      </c>
      <c r="K551" s="51"/>
      <c r="L551" s="52">
        <v>46070</v>
      </c>
      <c r="M551" s="53">
        <v>46008</v>
      </c>
      <c r="N551" s="50" t="s">
        <v>168</v>
      </c>
      <c r="O551" s="50" t="s">
        <v>1909</v>
      </c>
      <c r="P551" s="50" t="s">
        <v>1908</v>
      </c>
      <c r="Q551" s="55" t="s">
        <v>1910</v>
      </c>
      <c r="R551" s="55" t="s">
        <v>1911</v>
      </c>
      <c r="S551" s="53">
        <v>47103</v>
      </c>
      <c r="T551" s="50"/>
      <c r="U551" s="50"/>
      <c r="V551" s="56"/>
      <c r="W551" s="56"/>
      <c r="X551" s="56"/>
      <c r="Y551" s="56"/>
      <c r="Z551" s="56"/>
      <c r="AA551" s="56"/>
      <c r="AB551" s="56"/>
    </row>
    <row x14ac:dyDescent="0.25" r="552" customHeight="1" ht="18.75">
      <c r="A552" s="56"/>
      <c r="B552" s="56"/>
      <c r="C552" s="50" t="s">
        <v>16</v>
      </c>
      <c r="D552" s="50"/>
      <c r="E552" s="50" t="s">
        <v>636</v>
      </c>
      <c r="F552" s="50" t="s">
        <v>720</v>
      </c>
      <c r="G552" s="55">
        <v>10000000</v>
      </c>
      <c r="H552" s="55"/>
      <c r="I552" s="55"/>
      <c r="J552" s="51">
        <v>800000</v>
      </c>
      <c r="K552" s="51"/>
      <c r="L552" s="52">
        <v>46138</v>
      </c>
      <c r="M552" s="53">
        <v>46079</v>
      </c>
      <c r="N552" s="50" t="s">
        <v>940</v>
      </c>
      <c r="O552" s="50" t="s">
        <v>1912</v>
      </c>
      <c r="P552" s="50" t="s">
        <v>720</v>
      </c>
      <c r="Q552" s="55" t="s">
        <v>1913</v>
      </c>
      <c r="R552" s="55" t="s">
        <v>1914</v>
      </c>
      <c r="S552" s="53">
        <v>47174</v>
      </c>
      <c r="T552" s="50" t="s">
        <v>1915</v>
      </c>
      <c r="U552" s="50" t="s">
        <v>166</v>
      </c>
      <c r="V552" s="56"/>
      <c r="W552" s="56"/>
      <c r="X552" s="56"/>
      <c r="Y552" s="56"/>
      <c r="Z552" s="56"/>
      <c r="AA552" s="56"/>
      <c r="AB552" s="56"/>
    </row>
    <row x14ac:dyDescent="0.25" r="553" customHeight="1" ht="18.75">
      <c r="A553" s="56"/>
      <c r="B553" s="56"/>
      <c r="C553" s="50" t="s">
        <v>16</v>
      </c>
      <c r="D553" s="50"/>
      <c r="E553" s="50"/>
      <c r="F553" s="50" t="s">
        <v>1916</v>
      </c>
      <c r="G553" s="55">
        <v>30000000</v>
      </c>
      <c r="H553" s="55"/>
      <c r="I553" s="55"/>
      <c r="J553" s="51">
        <v>2400000</v>
      </c>
      <c r="K553" s="51"/>
      <c r="L553" s="52">
        <v>45904</v>
      </c>
      <c r="M553" s="53">
        <v>45842</v>
      </c>
      <c r="N553" s="50" t="s">
        <v>155</v>
      </c>
      <c r="O553" s="50" t="s">
        <v>1917</v>
      </c>
      <c r="P553" s="50" t="s">
        <v>1916</v>
      </c>
      <c r="Q553" s="55" t="s">
        <v>1918</v>
      </c>
      <c r="R553" s="55" t="s">
        <v>1919</v>
      </c>
      <c r="S553" s="53">
        <v>46937</v>
      </c>
      <c r="T553" s="50"/>
      <c r="U553" s="50"/>
      <c r="V553" s="56"/>
      <c r="W553" s="56"/>
      <c r="X553" s="56"/>
      <c r="Y553" s="56"/>
      <c r="Z553" s="56"/>
      <c r="AA553" s="56"/>
      <c r="AB553" s="56"/>
    </row>
    <row x14ac:dyDescent="0.25" r="554" customHeight="1" ht="18.75">
      <c r="A554" s="56"/>
      <c r="B554" s="56"/>
      <c r="C554" s="50" t="s">
        <v>16</v>
      </c>
      <c r="D554" s="50"/>
      <c r="E554" s="50"/>
      <c r="F554" s="50" t="s">
        <v>1916</v>
      </c>
      <c r="G554" s="55">
        <v>30000000</v>
      </c>
      <c r="H554" s="55"/>
      <c r="I554" s="55"/>
      <c r="J554" s="51">
        <v>2400000</v>
      </c>
      <c r="K554" s="51"/>
      <c r="L554" s="52">
        <v>45907</v>
      </c>
      <c r="M554" s="53">
        <v>45845</v>
      </c>
      <c r="N554" s="50" t="s">
        <v>155</v>
      </c>
      <c r="O554" s="50" t="s">
        <v>1917</v>
      </c>
      <c r="P554" s="50" t="s">
        <v>1916</v>
      </c>
      <c r="Q554" s="55" t="s">
        <v>1918</v>
      </c>
      <c r="R554" s="55" t="s">
        <v>1919</v>
      </c>
      <c r="S554" s="53">
        <v>46940</v>
      </c>
      <c r="T554" s="50"/>
      <c r="U554" s="50"/>
      <c r="V554" s="56"/>
      <c r="W554" s="56"/>
      <c r="X554" s="56"/>
      <c r="Y554" s="56"/>
      <c r="Z554" s="56"/>
      <c r="AA554" s="56"/>
      <c r="AB554" s="56"/>
    </row>
    <row x14ac:dyDescent="0.25" r="555" customHeight="1" ht="18.75">
      <c r="A555" s="56"/>
      <c r="B555" s="56"/>
      <c r="C555" s="50" t="s">
        <v>16</v>
      </c>
      <c r="D555" s="50"/>
      <c r="E555" s="50"/>
      <c r="F555" s="50" t="s">
        <v>1916</v>
      </c>
      <c r="G555" s="55">
        <v>30000000</v>
      </c>
      <c r="H555" s="55"/>
      <c r="I555" s="55"/>
      <c r="J555" s="51">
        <v>2400000</v>
      </c>
      <c r="K555" s="51"/>
      <c r="L555" s="52">
        <v>45910</v>
      </c>
      <c r="M555" s="53">
        <v>45848</v>
      </c>
      <c r="N555" s="50" t="s">
        <v>168</v>
      </c>
      <c r="O555" s="50" t="s">
        <v>1920</v>
      </c>
      <c r="P555" s="50" t="s">
        <v>1916</v>
      </c>
      <c r="Q555" s="55" t="s">
        <v>1918</v>
      </c>
      <c r="R555" s="55" t="s">
        <v>1919</v>
      </c>
      <c r="S555" s="53">
        <v>46943</v>
      </c>
      <c r="T555" s="50"/>
      <c r="U555" s="50"/>
      <c r="V555" s="56"/>
      <c r="W555" s="56"/>
      <c r="X555" s="56"/>
      <c r="Y555" s="56"/>
      <c r="Z555" s="56"/>
      <c r="AA555" s="56"/>
      <c r="AB555" s="56"/>
    </row>
    <row x14ac:dyDescent="0.25" r="556" customHeight="1" ht="18.75">
      <c r="A556" s="56"/>
      <c r="B556" s="56"/>
      <c r="C556" s="50" t="s">
        <v>16</v>
      </c>
      <c r="D556" s="50"/>
      <c r="E556" s="50"/>
      <c r="F556" s="50" t="s">
        <v>203</v>
      </c>
      <c r="G556" s="55">
        <v>10000000</v>
      </c>
      <c r="H556" s="55"/>
      <c r="I556" s="55"/>
      <c r="J556" s="51">
        <v>800000</v>
      </c>
      <c r="K556" s="51"/>
      <c r="L556" s="52">
        <v>46033</v>
      </c>
      <c r="M556" s="53">
        <v>45972</v>
      </c>
      <c r="N556" s="50" t="s">
        <v>212</v>
      </c>
      <c r="O556" s="50" t="s">
        <v>1921</v>
      </c>
      <c r="P556" s="50" t="s">
        <v>203</v>
      </c>
      <c r="Q556" s="55" t="s">
        <v>1922</v>
      </c>
      <c r="R556" s="55" t="s">
        <v>1923</v>
      </c>
      <c r="S556" s="53">
        <v>47067</v>
      </c>
      <c r="T556" s="50"/>
      <c r="U556" s="50"/>
      <c r="V556" s="56"/>
      <c r="W556" s="56"/>
      <c r="X556" s="56"/>
      <c r="Y556" s="56"/>
      <c r="Z556" s="56"/>
      <c r="AA556" s="56"/>
      <c r="AB556" s="56"/>
    </row>
    <row x14ac:dyDescent="0.25" r="557" customHeight="1" ht="18.75">
      <c r="A557" s="56"/>
      <c r="B557" s="56"/>
      <c r="C557" s="50" t="s">
        <v>16</v>
      </c>
      <c r="D557" s="50"/>
      <c r="E557" s="50"/>
      <c r="F557" s="50" t="s">
        <v>1924</v>
      </c>
      <c r="G557" s="55">
        <v>30000000</v>
      </c>
      <c r="H557" s="55"/>
      <c r="I557" s="55"/>
      <c r="J557" s="51">
        <v>2028000</v>
      </c>
      <c r="K557" s="51"/>
      <c r="L557" s="52">
        <v>46167</v>
      </c>
      <c r="M557" s="53">
        <v>46106</v>
      </c>
      <c r="N557" s="50" t="s">
        <v>212</v>
      </c>
      <c r="O557" s="50" t="s">
        <v>1925</v>
      </c>
      <c r="P557" s="50" t="s">
        <v>1924</v>
      </c>
      <c r="Q557" s="55" t="s">
        <v>1926</v>
      </c>
      <c r="R557" s="55" t="s">
        <v>1927</v>
      </c>
      <c r="S557" s="53">
        <v>47201</v>
      </c>
      <c r="T557" s="50" t="s">
        <v>1928</v>
      </c>
      <c r="U557" s="50" t="s">
        <v>166</v>
      </c>
      <c r="V557" s="56"/>
      <c r="W557" s="56"/>
      <c r="X557" s="56"/>
      <c r="Y557" s="56"/>
      <c r="Z557" s="56"/>
      <c r="AA557" s="56"/>
      <c r="AB557" s="56"/>
    </row>
    <row x14ac:dyDescent="0.25" r="558" customHeight="1" ht="18.75">
      <c r="A558" s="56"/>
      <c r="B558" s="56"/>
      <c r="C558" s="50" t="s">
        <v>16</v>
      </c>
      <c r="D558" s="50"/>
      <c r="E558" s="50"/>
      <c r="F558" s="50" t="s">
        <v>91</v>
      </c>
      <c r="G558" s="55">
        <v>30000000</v>
      </c>
      <c r="H558" s="55"/>
      <c r="I558" s="55"/>
      <c r="J558" s="51">
        <v>2400000</v>
      </c>
      <c r="K558" s="51"/>
      <c r="L558" s="52">
        <v>45929</v>
      </c>
      <c r="M558" s="53">
        <v>45848</v>
      </c>
      <c r="N558" s="50" t="s">
        <v>168</v>
      </c>
      <c r="O558" s="50" t="s">
        <v>1929</v>
      </c>
      <c r="P558" s="50" t="s">
        <v>91</v>
      </c>
      <c r="Q558" s="55" t="s">
        <v>1930</v>
      </c>
      <c r="R558" s="55" t="s">
        <v>1931</v>
      </c>
      <c r="S558" s="53">
        <v>46943</v>
      </c>
      <c r="T558" s="50"/>
      <c r="U558" s="50"/>
      <c r="V558" s="56"/>
      <c r="W558" s="56"/>
      <c r="X558" s="56"/>
      <c r="Y558" s="56"/>
      <c r="Z558" s="56"/>
      <c r="AA558" s="56"/>
      <c r="AB558" s="56"/>
    </row>
    <row x14ac:dyDescent="0.25" r="559" customHeight="1" ht="18.75">
      <c r="A559" s="56"/>
      <c r="B559" s="56"/>
      <c r="C559" s="50" t="s">
        <v>16</v>
      </c>
      <c r="D559" s="50"/>
      <c r="E559" s="50"/>
      <c r="F559" s="50" t="s">
        <v>91</v>
      </c>
      <c r="G559" s="55">
        <v>30000000</v>
      </c>
      <c r="H559" s="55"/>
      <c r="I559" s="55"/>
      <c r="J559" s="51">
        <v>2400000</v>
      </c>
      <c r="K559" s="51"/>
      <c r="L559" s="52">
        <v>45917</v>
      </c>
      <c r="M559" s="53">
        <v>45850</v>
      </c>
      <c r="N559" s="50" t="s">
        <v>168</v>
      </c>
      <c r="O559" s="50" t="s">
        <v>1929</v>
      </c>
      <c r="P559" s="50" t="s">
        <v>91</v>
      </c>
      <c r="Q559" s="55" t="s">
        <v>1930</v>
      </c>
      <c r="R559" s="55" t="s">
        <v>1931</v>
      </c>
      <c r="S559" s="53">
        <v>46945</v>
      </c>
      <c r="T559" s="50"/>
      <c r="U559" s="50"/>
      <c r="V559" s="56"/>
      <c r="W559" s="56"/>
      <c r="X559" s="56"/>
      <c r="Y559" s="56"/>
      <c r="Z559" s="56"/>
      <c r="AA559" s="56"/>
      <c r="AB559" s="56"/>
    </row>
    <row x14ac:dyDescent="0.25" r="560" customHeight="1" ht="18.75">
      <c r="A560" s="56"/>
      <c r="B560" s="56"/>
      <c r="C560" s="50" t="s">
        <v>16</v>
      </c>
      <c r="D560" s="50"/>
      <c r="E560" s="50"/>
      <c r="F560" s="50" t="s">
        <v>2461</v>
      </c>
      <c r="G560" s="55">
        <v>20000000</v>
      </c>
      <c r="H560" s="55"/>
      <c r="I560" s="55"/>
      <c r="J560" s="51">
        <v>1000000</v>
      </c>
      <c r="K560" s="51"/>
      <c r="L560" s="52">
        <v>46197</v>
      </c>
      <c r="M560" s="53">
        <v>46136</v>
      </c>
      <c r="N560" s="50" t="s">
        <v>302</v>
      </c>
      <c r="O560" s="50" t="s">
        <v>2462</v>
      </c>
      <c r="P560" s="50" t="s">
        <v>2461</v>
      </c>
      <c r="Q560" s="55" t="s">
        <v>2463</v>
      </c>
      <c r="R560" s="55" t="s">
        <v>2464</v>
      </c>
      <c r="S560" s="53">
        <v>47231</v>
      </c>
      <c r="T560" s="50"/>
      <c r="U560" s="50" t="s">
        <v>166</v>
      </c>
      <c r="V560" s="56"/>
      <c r="W560" s="56"/>
      <c r="X560" s="56"/>
      <c r="Y560" s="56"/>
      <c r="Z560" s="56"/>
      <c r="AA560" s="56"/>
      <c r="AB560" s="56"/>
    </row>
    <row x14ac:dyDescent="0.25" r="561" customHeight="1" ht="18.75">
      <c r="A561" s="63" t="s">
        <v>1239</v>
      </c>
      <c r="B561" s="63"/>
      <c r="C561" s="49" t="s">
        <v>16</v>
      </c>
      <c r="D561" s="49" t="s">
        <v>627</v>
      </c>
      <c r="E561" s="49" t="s">
        <v>1978</v>
      </c>
      <c r="F561" s="49" t="s">
        <v>2461</v>
      </c>
      <c r="G561" s="64">
        <v>20000000</v>
      </c>
      <c r="H561" s="64"/>
      <c r="I561" s="64"/>
      <c r="J561" s="64">
        <v>1000000</v>
      </c>
      <c r="K561" s="64"/>
      <c r="L561" s="66">
        <v>46197</v>
      </c>
      <c r="M561" s="67">
        <f>IF(L561&gt;0,EDATE(L561,-2),"")</f>
        <v>25569.375</v>
      </c>
      <c r="N561" s="49" t="s">
        <v>302</v>
      </c>
      <c r="O561" s="49" t="s">
        <v>2462</v>
      </c>
      <c r="P561" s="68">
        <f>IF(F561&gt;0,F561,"")</f>
      </c>
      <c r="Q561" s="69" t="s">
        <v>2466</v>
      </c>
      <c r="R561" s="69">
        <v>73135240</v>
      </c>
      <c r="S561" s="67">
        <f>IF(ISNUMBER(M561), EDATE(M561,36)-1, "")</f>
        <v>25569.375</v>
      </c>
      <c r="T561" s="49"/>
      <c r="U561" s="49"/>
      <c r="V561" s="63"/>
      <c r="W561" s="56"/>
      <c r="X561" s="56"/>
      <c r="Y561" s="56"/>
      <c r="Z561" s="56"/>
      <c r="AA561" s="56"/>
      <c r="AB561" s="56"/>
    </row>
    <row x14ac:dyDescent="0.25" r="562" customHeight="1" ht="18.75">
      <c r="A562" s="56"/>
      <c r="B562" s="56"/>
      <c r="C562" s="50" t="s">
        <v>16</v>
      </c>
      <c r="D562" s="50" t="s">
        <v>454</v>
      </c>
      <c r="E562" s="50" t="s">
        <v>585</v>
      </c>
      <c r="F562" s="50" t="s">
        <v>1744</v>
      </c>
      <c r="G562" s="51">
        <v>20000000</v>
      </c>
      <c r="H562" s="51"/>
      <c r="I562" s="51"/>
      <c r="J562" s="51">
        <v>1528000</v>
      </c>
      <c r="K562" s="51"/>
      <c r="L562" s="52">
        <v>46198</v>
      </c>
      <c r="M562" s="53">
        <f>IF(L562&gt;0,EDATE(L562,-2),"")</f>
        <v>25569.375</v>
      </c>
      <c r="N562" s="50" t="s">
        <v>155</v>
      </c>
      <c r="O562" s="50" t="s">
        <v>1749</v>
      </c>
      <c r="P562" s="54">
        <f>IF(F562&gt;0,F562,"")</f>
      </c>
      <c r="Q562" s="55">
        <v>7111232394811</v>
      </c>
      <c r="R562" s="55">
        <v>30369756</v>
      </c>
      <c r="S562" s="53">
        <f>IF(ISNUMBER(M562), EDATE(M562,36)-1, "")</f>
        <v>25569.375</v>
      </c>
      <c r="T562" s="50"/>
      <c r="U562" s="50"/>
      <c r="V562" s="56"/>
      <c r="W562" s="56"/>
      <c r="X562" s="56"/>
      <c r="Y562" s="56"/>
      <c r="Z562" s="56"/>
      <c r="AA562" s="56"/>
      <c r="AB562" s="56"/>
    </row>
    <row x14ac:dyDescent="0.25" r="563" customHeight="1" ht="18.75">
      <c r="A563" s="48" t="s">
        <v>216</v>
      </c>
      <c r="B563" s="48"/>
      <c r="C563" s="50" t="s">
        <v>13</v>
      </c>
      <c r="D563" s="50"/>
      <c r="E563" s="50"/>
      <c r="F563" s="50" t="s">
        <v>1944</v>
      </c>
      <c r="G563" s="55">
        <v>60000000</v>
      </c>
      <c r="H563" s="55"/>
      <c r="I563" s="55"/>
      <c r="J563" s="51">
        <v>4800000</v>
      </c>
      <c r="K563" s="51"/>
      <c r="L563" s="52">
        <v>45778</v>
      </c>
      <c r="M563" s="53">
        <v>45717</v>
      </c>
      <c r="N563" s="50" t="s">
        <v>239</v>
      </c>
      <c r="O563" s="50" t="s">
        <v>1945</v>
      </c>
      <c r="P563" s="50" t="s">
        <v>1944</v>
      </c>
      <c r="Q563" s="55" t="s">
        <v>1946</v>
      </c>
      <c r="R563" s="55" t="s">
        <v>1947</v>
      </c>
      <c r="S563" s="53">
        <v>46812</v>
      </c>
      <c r="T563" s="50"/>
      <c r="U563" s="50"/>
      <c r="V563" s="56"/>
      <c r="W563" s="56"/>
      <c r="X563" s="56"/>
      <c r="Y563" s="56"/>
      <c r="Z563" s="56"/>
      <c r="AA563" s="56"/>
      <c r="AB563" s="56"/>
    </row>
    <row x14ac:dyDescent="0.25" r="564" customHeight="1" ht="18.75">
      <c r="A564" s="56"/>
      <c r="B564" s="56"/>
      <c r="C564" s="50" t="s">
        <v>13</v>
      </c>
      <c r="D564" s="50"/>
      <c r="E564" s="50"/>
      <c r="F564" s="50" t="s">
        <v>1944</v>
      </c>
      <c r="G564" s="55">
        <v>60000000</v>
      </c>
      <c r="H564" s="55"/>
      <c r="I564" s="55"/>
      <c r="J564" s="51">
        <v>4800000</v>
      </c>
      <c r="K564" s="51"/>
      <c r="L564" s="52">
        <v>45778</v>
      </c>
      <c r="M564" s="53">
        <v>45717</v>
      </c>
      <c r="N564" s="50" t="s">
        <v>239</v>
      </c>
      <c r="O564" s="50" t="s">
        <v>1945</v>
      </c>
      <c r="P564" s="50" t="s">
        <v>1944</v>
      </c>
      <c r="Q564" s="55" t="s">
        <v>1946</v>
      </c>
      <c r="R564" s="55" t="s">
        <v>1947</v>
      </c>
      <c r="S564" s="53">
        <v>46812</v>
      </c>
      <c r="T564" s="50"/>
      <c r="U564" s="50"/>
      <c r="V564" s="56"/>
      <c r="W564" s="56"/>
      <c r="X564" s="56"/>
      <c r="Y564" s="56"/>
      <c r="Z564" s="56"/>
      <c r="AA564" s="56"/>
      <c r="AB564" s="56"/>
    </row>
    <row x14ac:dyDescent="0.25" r="565" customHeight="1" ht="18.75">
      <c r="A565" s="56"/>
      <c r="B565" s="56"/>
      <c r="C565" s="50" t="s">
        <v>16</v>
      </c>
      <c r="D565" s="50"/>
      <c r="E565" s="50"/>
      <c r="F565" s="50" t="s">
        <v>1944</v>
      </c>
      <c r="G565" s="55">
        <v>60000000</v>
      </c>
      <c r="H565" s="55"/>
      <c r="I565" s="55"/>
      <c r="J565" s="51">
        <v>4800000</v>
      </c>
      <c r="K565" s="51"/>
      <c r="L565" s="52">
        <v>45904</v>
      </c>
      <c r="M565" s="53">
        <v>45842</v>
      </c>
      <c r="N565" s="50" t="s">
        <v>239</v>
      </c>
      <c r="O565" s="50" t="s">
        <v>1945</v>
      </c>
      <c r="P565" s="50" t="s">
        <v>1944</v>
      </c>
      <c r="Q565" s="55" t="s">
        <v>1946</v>
      </c>
      <c r="R565" s="55" t="s">
        <v>1948</v>
      </c>
      <c r="S565" s="53">
        <v>46937</v>
      </c>
      <c r="T565" s="50"/>
      <c r="U565" s="50"/>
      <c r="V565" s="56"/>
      <c r="W565" s="56"/>
      <c r="X565" s="56"/>
      <c r="Y565" s="56"/>
      <c r="Z565" s="56"/>
      <c r="AA565" s="56"/>
      <c r="AB565" s="56"/>
    </row>
    <row x14ac:dyDescent="0.25" r="566" customHeight="1" ht="18.75">
      <c r="A566" s="56"/>
      <c r="B566" s="56"/>
      <c r="C566" s="50" t="s">
        <v>16</v>
      </c>
      <c r="D566" s="50"/>
      <c r="E566" s="50" t="s">
        <v>637</v>
      </c>
      <c r="F566" s="50" t="s">
        <v>1949</v>
      </c>
      <c r="G566" s="55">
        <v>10000000</v>
      </c>
      <c r="H566" s="55"/>
      <c r="I566" s="55"/>
      <c r="J566" s="51">
        <v>800000</v>
      </c>
      <c r="K566" s="51"/>
      <c r="L566" s="52">
        <v>46159</v>
      </c>
      <c r="M566" s="53">
        <v>46098</v>
      </c>
      <c r="N566" s="50" t="s">
        <v>168</v>
      </c>
      <c r="O566" s="50" t="s">
        <v>1950</v>
      </c>
      <c r="P566" s="50" t="s">
        <v>1949</v>
      </c>
      <c r="Q566" s="55" t="s">
        <v>1951</v>
      </c>
      <c r="R566" s="55" t="s">
        <v>1952</v>
      </c>
      <c r="S566" s="53">
        <v>47193</v>
      </c>
      <c r="T566" s="50" t="s">
        <v>1953</v>
      </c>
      <c r="U566" s="50" t="s">
        <v>166</v>
      </c>
      <c r="V566" s="56"/>
      <c r="W566" s="56"/>
      <c r="X566" s="56"/>
      <c r="Y566" s="56"/>
      <c r="Z566" s="56"/>
      <c r="AA566" s="56"/>
      <c r="AB566" s="56"/>
    </row>
    <row x14ac:dyDescent="0.25" r="567" customHeight="1" ht="18.75">
      <c r="A567" s="56"/>
      <c r="B567" s="56"/>
      <c r="C567" s="50" t="s">
        <v>16</v>
      </c>
      <c r="D567" s="50"/>
      <c r="E567" s="50"/>
      <c r="F567" s="50" t="s">
        <v>1954</v>
      </c>
      <c r="G567" s="55">
        <v>60000000</v>
      </c>
      <c r="H567" s="55"/>
      <c r="I567" s="55"/>
      <c r="J567" s="51">
        <v>4056000</v>
      </c>
      <c r="K567" s="51"/>
      <c r="L567" s="52">
        <v>45938</v>
      </c>
      <c r="M567" s="53">
        <v>45877</v>
      </c>
      <c r="N567" s="50" t="s">
        <v>155</v>
      </c>
      <c r="O567" s="50" t="s">
        <v>1955</v>
      </c>
      <c r="P567" s="50" t="s">
        <v>1954</v>
      </c>
      <c r="Q567" s="55" t="s">
        <v>1956</v>
      </c>
      <c r="R567" s="55" t="s">
        <v>1957</v>
      </c>
      <c r="S567" s="53">
        <v>46972</v>
      </c>
      <c r="T567" s="50"/>
      <c r="U567" s="50"/>
      <c r="V567" s="56"/>
      <c r="W567" s="56"/>
      <c r="X567" s="56"/>
      <c r="Y567" s="56"/>
      <c r="Z567" s="56"/>
      <c r="AA567" s="56"/>
      <c r="AB567" s="56"/>
    </row>
    <row x14ac:dyDescent="0.25" r="568" customHeight="1" ht="18.75">
      <c r="A568" s="56"/>
      <c r="B568" s="56"/>
      <c r="C568" s="50" t="s">
        <v>16</v>
      </c>
      <c r="D568" s="50"/>
      <c r="E568" s="50" t="s">
        <v>1958</v>
      </c>
      <c r="F568" s="50" t="s">
        <v>1959</v>
      </c>
      <c r="G568" s="55">
        <v>10000000</v>
      </c>
      <c r="H568" s="55"/>
      <c r="I568" s="55"/>
      <c r="J568" s="51">
        <v>800000</v>
      </c>
      <c r="K568" s="51"/>
      <c r="L568" s="52">
        <v>46089</v>
      </c>
      <c r="M568" s="53">
        <v>46030</v>
      </c>
      <c r="N568" s="50" t="s">
        <v>155</v>
      </c>
      <c r="O568" s="50" t="s">
        <v>1960</v>
      </c>
      <c r="P568" s="50" t="s">
        <v>1959</v>
      </c>
      <c r="Q568" s="55" t="s">
        <v>1961</v>
      </c>
      <c r="R568" s="55" t="s">
        <v>1962</v>
      </c>
      <c r="S568" s="53">
        <v>47125</v>
      </c>
      <c r="T568" s="50" t="s">
        <v>1963</v>
      </c>
      <c r="U568" s="50" t="s">
        <v>166</v>
      </c>
      <c r="V568" s="56"/>
      <c r="W568" s="56"/>
      <c r="X568" s="56"/>
      <c r="Y568" s="56"/>
      <c r="Z568" s="56"/>
      <c r="AA568" s="56"/>
      <c r="AB568" s="56"/>
    </row>
    <row x14ac:dyDescent="0.25" r="569" customHeight="1" ht="18.75">
      <c r="A569" s="56"/>
      <c r="B569" s="56"/>
      <c r="C569" s="49" t="s">
        <v>16</v>
      </c>
      <c r="D569" s="50"/>
      <c r="E569" s="50"/>
      <c r="F569" s="50" t="s">
        <v>2079</v>
      </c>
      <c r="G569" s="51">
        <v>10000000</v>
      </c>
      <c r="H569" s="51"/>
      <c r="I569" s="51"/>
      <c r="J569" s="51">
        <v>500000</v>
      </c>
      <c r="K569" s="51"/>
      <c r="L569" s="52">
        <v>46198</v>
      </c>
      <c r="M569" s="53">
        <f>IF(L569&gt;0,EDATE(L569,-2),"")</f>
        <v>25569.375</v>
      </c>
      <c r="N569" s="50" t="s">
        <v>239</v>
      </c>
      <c r="O569" s="50" t="s">
        <v>2080</v>
      </c>
      <c r="P569" s="54">
        <f>IF(F569&gt;0,F569,"")</f>
      </c>
      <c r="Q569" s="55" t="s">
        <v>2081</v>
      </c>
      <c r="R569" s="55">
        <v>90223882</v>
      </c>
      <c r="S569" s="53">
        <f>IF(ISNUMBER(M569), EDATE(M569,36)-1, "")</f>
        <v>25569.375</v>
      </c>
      <c r="T569" s="50"/>
      <c r="U569" s="50"/>
      <c r="V569" s="56"/>
      <c r="W569" s="56"/>
      <c r="X569" s="56"/>
      <c r="Y569" s="56"/>
      <c r="Z569" s="56"/>
      <c r="AA569" s="56"/>
      <c r="AB569" s="56"/>
    </row>
    <row x14ac:dyDescent="0.25" r="570" customHeight="1" ht="18.75">
      <c r="A570" s="63" t="s">
        <v>152</v>
      </c>
      <c r="B570" s="63"/>
      <c r="C570" s="49" t="s">
        <v>16</v>
      </c>
      <c r="D570" s="49" t="s">
        <v>454</v>
      </c>
      <c r="E570" s="49" t="s">
        <v>647</v>
      </c>
      <c r="F570" s="49" t="s">
        <v>2967</v>
      </c>
      <c r="G570" s="64">
        <v>20000000</v>
      </c>
      <c r="H570" s="64"/>
      <c r="I570" s="64"/>
      <c r="J570" s="64">
        <v>1800000</v>
      </c>
      <c r="K570" s="64"/>
      <c r="L570" s="66">
        <v>46199</v>
      </c>
      <c r="M570" s="67">
        <f>IF(L570&gt;0,EDATE(L570,-2),"")</f>
        <v>25569.375</v>
      </c>
      <c r="N570" s="49" t="s">
        <v>217</v>
      </c>
      <c r="O570" s="49" t="s">
        <v>2968</v>
      </c>
      <c r="P570" s="68">
        <f>IF(F570&gt;0,F570,"")</f>
      </c>
      <c r="Q570" s="69" t="s">
        <v>2969</v>
      </c>
      <c r="R570" s="69">
        <v>95358226</v>
      </c>
      <c r="S570" s="67">
        <f>IF(ISNUMBER(M570), EDATE(M570,36)-1, "")</f>
        <v>25569.375</v>
      </c>
      <c r="T570" s="49"/>
      <c r="U570" s="49"/>
      <c r="V570" s="63" t="s">
        <v>2970</v>
      </c>
      <c r="W570" s="56"/>
      <c r="X570" s="56"/>
      <c r="Y570" s="56"/>
      <c r="Z570" s="56"/>
      <c r="AA570" s="56"/>
      <c r="AB570" s="56"/>
    </row>
    <row x14ac:dyDescent="0.25" r="571" customHeight="1" ht="18.75">
      <c r="A571" s="56"/>
      <c r="B571" s="56"/>
      <c r="C571" s="50" t="s">
        <v>16</v>
      </c>
      <c r="D571" s="50" t="s">
        <v>454</v>
      </c>
      <c r="E571" s="50"/>
      <c r="F571" s="50" t="s">
        <v>1092</v>
      </c>
      <c r="G571" s="55">
        <v>10000000</v>
      </c>
      <c r="H571" s="55"/>
      <c r="I571" s="55"/>
      <c r="J571" s="51">
        <v>800000</v>
      </c>
      <c r="K571" s="51"/>
      <c r="L571" s="52">
        <v>46200</v>
      </c>
      <c r="M571" s="53">
        <v>46139</v>
      </c>
      <c r="N571" s="50" t="s">
        <v>212</v>
      </c>
      <c r="O571" s="50" t="s">
        <v>1097</v>
      </c>
      <c r="P571" s="50" t="s">
        <v>1092</v>
      </c>
      <c r="Q571" s="55" t="s">
        <v>1098</v>
      </c>
      <c r="R571" s="55" t="s">
        <v>1099</v>
      </c>
      <c r="S571" s="53">
        <v>47234</v>
      </c>
      <c r="T571" s="50"/>
      <c r="U571" s="50"/>
      <c r="V571" s="56"/>
      <c r="W571" s="56"/>
      <c r="X571" s="56"/>
      <c r="Y571" s="56"/>
      <c r="Z571" s="56"/>
      <c r="AA571" s="56"/>
      <c r="AB571" s="56"/>
    </row>
    <row x14ac:dyDescent="0.25" r="572" customHeight="1" ht="18.75">
      <c r="A572" s="56"/>
      <c r="B572" s="56"/>
      <c r="C572" s="50" t="s">
        <v>16</v>
      </c>
      <c r="D572" s="50" t="s">
        <v>816</v>
      </c>
      <c r="E572" s="50"/>
      <c r="F572" s="50" t="s">
        <v>1971</v>
      </c>
      <c r="G572" s="55">
        <v>40000000</v>
      </c>
      <c r="H572" s="55"/>
      <c r="I572" s="55"/>
      <c r="J572" s="51">
        <v>3056000</v>
      </c>
      <c r="K572" s="51"/>
      <c r="L572" s="52">
        <v>46173</v>
      </c>
      <c r="M572" s="53">
        <v>46112</v>
      </c>
      <c r="N572" s="50" t="s">
        <v>239</v>
      </c>
      <c r="O572" s="50" t="s">
        <v>818</v>
      </c>
      <c r="P572" s="50" t="s">
        <v>1971</v>
      </c>
      <c r="Q572" s="55" t="s">
        <v>1972</v>
      </c>
      <c r="R572" s="55" t="s">
        <v>820</v>
      </c>
      <c r="S572" s="53">
        <v>47207</v>
      </c>
      <c r="T572" s="50" t="s">
        <v>1973</v>
      </c>
      <c r="U572" s="50" t="s">
        <v>166</v>
      </c>
      <c r="V572" s="56"/>
      <c r="W572" s="56"/>
      <c r="X572" s="56"/>
      <c r="Y572" s="56"/>
      <c r="Z572" s="56"/>
      <c r="AA572" s="56"/>
      <c r="AB572" s="56"/>
    </row>
    <row x14ac:dyDescent="0.25" r="573" customHeight="1" ht="18.75">
      <c r="A573" s="56"/>
      <c r="B573" s="56"/>
      <c r="C573" s="50" t="s">
        <v>16</v>
      </c>
      <c r="D573" s="50"/>
      <c r="E573" s="50"/>
      <c r="F573" s="50" t="s">
        <v>1372</v>
      </c>
      <c r="G573" s="55">
        <v>10000000</v>
      </c>
      <c r="H573" s="55"/>
      <c r="I573" s="55"/>
      <c r="J573" s="51">
        <v>500000</v>
      </c>
      <c r="K573" s="51"/>
      <c r="L573" s="52">
        <v>46200</v>
      </c>
      <c r="M573" s="53">
        <v>46139</v>
      </c>
      <c r="N573" s="50" t="s">
        <v>161</v>
      </c>
      <c r="O573" s="50" t="s">
        <v>1373</v>
      </c>
      <c r="P573" s="50" t="s">
        <v>1372</v>
      </c>
      <c r="Q573" s="55" t="s">
        <v>1374</v>
      </c>
      <c r="R573" s="55" t="s">
        <v>1375</v>
      </c>
      <c r="S573" s="53">
        <v>47234</v>
      </c>
      <c r="T573" s="50" t="s">
        <v>1376</v>
      </c>
      <c r="U573" s="50" t="s">
        <v>166</v>
      </c>
      <c r="V573" s="56"/>
      <c r="W573" s="56"/>
      <c r="X573" s="56"/>
      <c r="Y573" s="56"/>
      <c r="Z573" s="56"/>
      <c r="AA573" s="56"/>
      <c r="AB573" s="56"/>
    </row>
    <row x14ac:dyDescent="0.25" r="574" customHeight="1" ht="18.75">
      <c r="A574" s="56"/>
      <c r="B574" s="56"/>
      <c r="C574" s="50" t="s">
        <v>16</v>
      </c>
      <c r="D574" s="50" t="s">
        <v>143</v>
      </c>
      <c r="E574" s="50" t="s">
        <v>14</v>
      </c>
      <c r="F574" s="50" t="s">
        <v>1693</v>
      </c>
      <c r="G574" s="55">
        <v>60000000</v>
      </c>
      <c r="H574" s="55"/>
      <c r="I574" s="55"/>
      <c r="J574" s="51">
        <v>4000000</v>
      </c>
      <c r="K574" s="51"/>
      <c r="L574" s="52">
        <v>46200</v>
      </c>
      <c r="M574" s="53">
        <v>46139</v>
      </c>
      <c r="N574" s="50" t="s">
        <v>155</v>
      </c>
      <c r="O574" s="50" t="s">
        <v>1694</v>
      </c>
      <c r="P574" s="50" t="s">
        <v>1693</v>
      </c>
      <c r="Q574" s="55" t="s">
        <v>1695</v>
      </c>
      <c r="R574" s="85" t="s">
        <v>1696</v>
      </c>
      <c r="S574" s="53">
        <v>47234</v>
      </c>
      <c r="T574" s="50"/>
      <c r="U574" s="50"/>
      <c r="V574" s="56"/>
      <c r="W574" s="56"/>
      <c r="X574" s="56"/>
      <c r="Y574" s="56"/>
      <c r="Z574" s="56"/>
      <c r="AA574" s="56"/>
      <c r="AB574" s="56"/>
    </row>
    <row x14ac:dyDescent="0.25" r="575" customHeight="1" ht="18.75">
      <c r="A575" s="56"/>
      <c r="B575" s="56"/>
      <c r="C575" s="50" t="s">
        <v>16</v>
      </c>
      <c r="D575" s="50" t="s">
        <v>454</v>
      </c>
      <c r="E575" s="50"/>
      <c r="F575" s="50" t="s">
        <v>1982</v>
      </c>
      <c r="G575" s="55">
        <v>10000000</v>
      </c>
      <c r="H575" s="55"/>
      <c r="I575" s="55"/>
      <c r="J575" s="51">
        <v>800000</v>
      </c>
      <c r="K575" s="51"/>
      <c r="L575" s="52">
        <v>46154</v>
      </c>
      <c r="M575" s="53">
        <v>46093</v>
      </c>
      <c r="N575" s="50" t="s">
        <v>168</v>
      </c>
      <c r="O575" s="50" t="s">
        <v>1302</v>
      </c>
      <c r="P575" s="50" t="s">
        <v>1982</v>
      </c>
      <c r="Q575" s="55" t="s">
        <v>1983</v>
      </c>
      <c r="R575" s="55" t="s">
        <v>1984</v>
      </c>
      <c r="S575" s="53">
        <v>47189</v>
      </c>
      <c r="T575" s="50"/>
      <c r="U575" s="50"/>
      <c r="V575" s="56"/>
      <c r="W575" s="56"/>
      <c r="X575" s="56"/>
      <c r="Y575" s="56"/>
      <c r="Z575" s="56"/>
      <c r="AA575" s="56"/>
      <c r="AB575" s="56"/>
    </row>
    <row x14ac:dyDescent="0.25" r="576" customHeight="1" ht="18.75">
      <c r="A576" s="56"/>
      <c r="B576" s="56"/>
      <c r="C576" s="50" t="s">
        <v>16</v>
      </c>
      <c r="D576" s="50"/>
      <c r="E576" s="50"/>
      <c r="F576" s="50" t="s">
        <v>1885</v>
      </c>
      <c r="G576" s="55">
        <v>10000000</v>
      </c>
      <c r="H576" s="55"/>
      <c r="I576" s="55"/>
      <c r="J576" s="51">
        <v>400000</v>
      </c>
      <c r="K576" s="51"/>
      <c r="L576" s="52">
        <v>46200</v>
      </c>
      <c r="M576" s="53">
        <v>46139</v>
      </c>
      <c r="N576" s="50" t="s">
        <v>1139</v>
      </c>
      <c r="O576" s="50" t="s">
        <v>1886</v>
      </c>
      <c r="P576" s="50" t="s">
        <v>1885</v>
      </c>
      <c r="Q576" s="55" t="s">
        <v>1890</v>
      </c>
      <c r="R576" s="55" t="s">
        <v>1888</v>
      </c>
      <c r="S576" s="53">
        <v>47234</v>
      </c>
      <c r="T576" s="50" t="s">
        <v>1891</v>
      </c>
      <c r="U576" s="50" t="s">
        <v>166</v>
      </c>
      <c r="V576" s="56"/>
      <c r="W576" s="56"/>
      <c r="X576" s="56"/>
      <c r="Y576" s="56"/>
      <c r="Z576" s="56"/>
      <c r="AA576" s="56"/>
      <c r="AB576" s="56"/>
    </row>
    <row x14ac:dyDescent="0.25" r="577" customHeight="1" ht="18.75">
      <c r="A577" s="56"/>
      <c r="B577" s="56"/>
      <c r="C577" s="50" t="s">
        <v>16</v>
      </c>
      <c r="D577" s="50" t="s">
        <v>143</v>
      </c>
      <c r="E577" s="50" t="s">
        <v>14</v>
      </c>
      <c r="F577" s="50" t="s">
        <v>1932</v>
      </c>
      <c r="G577" s="55">
        <v>10000000</v>
      </c>
      <c r="H577" s="55"/>
      <c r="I577" s="55"/>
      <c r="J577" s="51">
        <v>1200000</v>
      </c>
      <c r="K577" s="51"/>
      <c r="L577" s="52">
        <v>46200</v>
      </c>
      <c r="M577" s="53">
        <v>46139</v>
      </c>
      <c r="N577" s="50" t="s">
        <v>217</v>
      </c>
      <c r="O577" s="50" t="s">
        <v>1933</v>
      </c>
      <c r="P577" s="50" t="s">
        <v>1932</v>
      </c>
      <c r="Q577" s="55" t="s">
        <v>1934</v>
      </c>
      <c r="R577" s="85" t="s">
        <v>1935</v>
      </c>
      <c r="S577" s="53">
        <v>47234</v>
      </c>
      <c r="T577" s="50"/>
      <c r="U577" s="50"/>
      <c r="V577" s="56"/>
      <c r="W577" s="56"/>
      <c r="X577" s="56"/>
      <c r="Y577" s="56"/>
      <c r="Z577" s="56"/>
      <c r="AA577" s="56"/>
      <c r="AB577" s="56"/>
    </row>
    <row x14ac:dyDescent="0.25" r="578" customHeight="1" ht="18.75">
      <c r="A578" s="56"/>
      <c r="B578" s="56"/>
      <c r="C578" s="50" t="s">
        <v>16</v>
      </c>
      <c r="D578" s="50"/>
      <c r="E578" s="50"/>
      <c r="F578" s="50" t="s">
        <v>2053</v>
      </c>
      <c r="G578" s="55">
        <v>10000000</v>
      </c>
      <c r="H578" s="55"/>
      <c r="I578" s="55"/>
      <c r="J578" s="51">
        <v>500000</v>
      </c>
      <c r="K578" s="51"/>
      <c r="L578" s="52">
        <v>46200</v>
      </c>
      <c r="M578" s="53">
        <v>46139</v>
      </c>
      <c r="N578" s="50" t="s">
        <v>2054</v>
      </c>
      <c r="O578" s="50" t="s">
        <v>2055</v>
      </c>
      <c r="P578" s="50" t="s">
        <v>2053</v>
      </c>
      <c r="Q578" s="55" t="s">
        <v>2056</v>
      </c>
      <c r="R578" s="55" t="s">
        <v>2057</v>
      </c>
      <c r="S578" s="53">
        <v>47234</v>
      </c>
      <c r="T578" s="50" t="s">
        <v>2058</v>
      </c>
      <c r="U578" s="50" t="s">
        <v>166</v>
      </c>
      <c r="V578" s="56"/>
      <c r="W578" s="56"/>
      <c r="X578" s="56"/>
      <c r="Y578" s="56"/>
      <c r="Z578" s="56"/>
      <c r="AA578" s="56"/>
      <c r="AB578" s="56"/>
    </row>
    <row x14ac:dyDescent="0.25" r="579" customHeight="1" ht="18.75">
      <c r="A579" s="56"/>
      <c r="B579" s="56"/>
      <c r="C579" s="50" t="s">
        <v>113</v>
      </c>
      <c r="D579" s="50"/>
      <c r="E579" s="50"/>
      <c r="F579" s="50" t="s">
        <v>1990</v>
      </c>
      <c r="G579" s="55">
        <v>30000000</v>
      </c>
      <c r="H579" s="55"/>
      <c r="I579" s="55"/>
      <c r="J579" s="51">
        <v>1500000</v>
      </c>
      <c r="K579" s="51"/>
      <c r="L579" s="52">
        <v>45656</v>
      </c>
      <c r="M579" s="53">
        <v>45595</v>
      </c>
      <c r="N579" s="50" t="s">
        <v>306</v>
      </c>
      <c r="O579" s="50" t="s">
        <v>1991</v>
      </c>
      <c r="P579" s="50" t="s">
        <v>1990</v>
      </c>
      <c r="Q579" s="55" t="s">
        <v>1992</v>
      </c>
      <c r="R579" s="55" t="s">
        <v>1993</v>
      </c>
      <c r="S579" s="53">
        <v>47420</v>
      </c>
      <c r="T579" s="50"/>
      <c r="U579" s="50"/>
      <c r="V579" s="56"/>
      <c r="W579" s="56"/>
      <c r="X579" s="56"/>
      <c r="Y579" s="56"/>
      <c r="Z579" s="56"/>
      <c r="AA579" s="56"/>
      <c r="AB579" s="56"/>
    </row>
    <row x14ac:dyDescent="0.25" r="580" customHeight="1" ht="18.75">
      <c r="A580" s="48" t="s">
        <v>216</v>
      </c>
      <c r="B580" s="48"/>
      <c r="C580" s="50" t="s">
        <v>16</v>
      </c>
      <c r="D580" s="50"/>
      <c r="E580" s="50"/>
      <c r="F580" s="50" t="s">
        <v>1990</v>
      </c>
      <c r="G580" s="55">
        <v>60000000</v>
      </c>
      <c r="H580" s="55"/>
      <c r="I580" s="55"/>
      <c r="J580" s="51">
        <v>4800000</v>
      </c>
      <c r="K580" s="51"/>
      <c r="L580" s="52">
        <v>45992</v>
      </c>
      <c r="M580" s="53">
        <v>45931</v>
      </c>
      <c r="N580" s="50" t="s">
        <v>306</v>
      </c>
      <c r="O580" s="50" t="s">
        <v>1991</v>
      </c>
      <c r="P580" s="50" t="s">
        <v>1990</v>
      </c>
      <c r="Q580" s="55" t="s">
        <v>1992</v>
      </c>
      <c r="R580" s="55" t="s">
        <v>1993</v>
      </c>
      <c r="S580" s="53">
        <v>47119</v>
      </c>
      <c r="T580" s="50"/>
      <c r="U580" s="50"/>
      <c r="V580" s="56"/>
      <c r="W580" s="56"/>
      <c r="X580" s="56"/>
      <c r="Y580" s="56"/>
      <c r="Z580" s="56"/>
      <c r="AA580" s="56"/>
      <c r="AB580" s="56"/>
    </row>
    <row x14ac:dyDescent="0.25" r="581" customHeight="1" ht="18.75">
      <c r="A581" s="63"/>
      <c r="B581" s="63"/>
      <c r="C581" s="49" t="s">
        <v>113</v>
      </c>
      <c r="D581" s="49"/>
      <c r="E581" s="49"/>
      <c r="F581" s="49" t="s">
        <v>1990</v>
      </c>
      <c r="G581" s="64">
        <v>30000000</v>
      </c>
      <c r="H581" s="64"/>
      <c r="I581" s="64"/>
      <c r="J581" s="64">
        <v>1500000</v>
      </c>
      <c r="K581" s="64"/>
      <c r="L581" s="66">
        <v>45656</v>
      </c>
      <c r="M581" s="67">
        <f>IF(L581&gt;0,EDATE(L581,-2),"")</f>
        <v>25569.375</v>
      </c>
      <c r="N581" s="49" t="s">
        <v>217</v>
      </c>
      <c r="O581" s="49" t="s">
        <v>1991</v>
      </c>
      <c r="P581" s="68">
        <f>IF(F581&gt;0,F581,"")</f>
      </c>
      <c r="Q581" s="69" t="s">
        <v>1992</v>
      </c>
      <c r="R581" s="69">
        <v>99050765</v>
      </c>
      <c r="S581" s="53">
        <f>IF(M581&gt;0,EDATE(M581,36)-1,"")</f>
        <v>25569.375</v>
      </c>
      <c r="T581" s="49"/>
      <c r="U581" s="49"/>
      <c r="V581" s="63"/>
      <c r="W581" s="56"/>
      <c r="X581" s="56"/>
      <c r="Y581" s="56"/>
      <c r="Z581" s="56"/>
      <c r="AA581" s="56"/>
      <c r="AB581" s="56"/>
    </row>
    <row x14ac:dyDescent="0.25" r="582" customHeight="1" ht="18.75">
      <c r="A582" s="56"/>
      <c r="B582" s="56"/>
      <c r="C582" s="50" t="s">
        <v>16</v>
      </c>
      <c r="D582" s="50"/>
      <c r="E582" s="50"/>
      <c r="F582" s="50" t="s">
        <v>1995</v>
      </c>
      <c r="G582" s="55">
        <v>10000000</v>
      </c>
      <c r="H582" s="55"/>
      <c r="I582" s="55"/>
      <c r="J582" s="51">
        <v>800000</v>
      </c>
      <c r="K582" s="51"/>
      <c r="L582" s="52">
        <v>46027</v>
      </c>
      <c r="M582" s="53">
        <v>45966</v>
      </c>
      <c r="N582" s="50" t="s">
        <v>306</v>
      </c>
      <c r="O582" s="50" t="s">
        <v>1996</v>
      </c>
      <c r="P582" s="50" t="s">
        <v>1995</v>
      </c>
      <c r="Q582" s="55" t="s">
        <v>1997</v>
      </c>
      <c r="R582" s="55" t="s">
        <v>1998</v>
      </c>
      <c r="S582" s="53">
        <v>47061</v>
      </c>
      <c r="T582" s="50"/>
      <c r="U582" s="50"/>
      <c r="V582" s="56"/>
      <c r="W582" s="56"/>
      <c r="X582" s="56"/>
      <c r="Y582" s="56"/>
      <c r="Z582" s="56"/>
      <c r="AA582" s="56"/>
      <c r="AB582" s="56"/>
    </row>
    <row x14ac:dyDescent="0.25" r="583" customHeight="1" ht="18.75">
      <c r="A583" s="56"/>
      <c r="B583" s="56"/>
      <c r="C583" s="50" t="s">
        <v>16</v>
      </c>
      <c r="D583" s="50"/>
      <c r="E583" s="50"/>
      <c r="F583" s="50" t="s">
        <v>2070</v>
      </c>
      <c r="G583" s="55">
        <v>10000000</v>
      </c>
      <c r="H583" s="55"/>
      <c r="I583" s="55"/>
      <c r="J583" s="51">
        <v>1200000</v>
      </c>
      <c r="K583" s="51"/>
      <c r="L583" s="52">
        <v>46200</v>
      </c>
      <c r="M583" s="53">
        <v>46139</v>
      </c>
      <c r="N583" s="50" t="s">
        <v>161</v>
      </c>
      <c r="O583" s="50" t="s">
        <v>2071</v>
      </c>
      <c r="P583" s="50" t="s">
        <v>2070</v>
      </c>
      <c r="Q583" s="55" t="s">
        <v>2072</v>
      </c>
      <c r="R583" s="55" t="s">
        <v>1375</v>
      </c>
      <c r="S583" s="53">
        <v>47234</v>
      </c>
      <c r="T583" s="50" t="s">
        <v>2073</v>
      </c>
      <c r="U583" s="50" t="s">
        <v>166</v>
      </c>
      <c r="V583" s="56"/>
      <c r="W583" s="56"/>
      <c r="X583" s="56"/>
      <c r="Y583" s="56"/>
      <c r="Z583" s="56"/>
      <c r="AA583" s="56"/>
      <c r="AB583" s="56"/>
    </row>
    <row x14ac:dyDescent="0.25" r="584" customHeight="1" ht="18.75">
      <c r="A584" s="56"/>
      <c r="B584" s="56"/>
      <c r="C584" s="50" t="s">
        <v>16</v>
      </c>
      <c r="D584" s="50"/>
      <c r="E584" s="50"/>
      <c r="F584" s="50" t="s">
        <v>2098</v>
      </c>
      <c r="G584" s="55">
        <v>10000000</v>
      </c>
      <c r="H584" s="55"/>
      <c r="I584" s="55"/>
      <c r="J584" s="51">
        <v>500000</v>
      </c>
      <c r="K584" s="51"/>
      <c r="L584" s="52">
        <v>46200</v>
      </c>
      <c r="M584" s="53">
        <v>46139</v>
      </c>
      <c r="N584" s="50" t="s">
        <v>217</v>
      </c>
      <c r="O584" s="50" t="s">
        <v>2099</v>
      </c>
      <c r="P584" s="50" t="s">
        <v>2098</v>
      </c>
      <c r="Q584" s="55" t="s">
        <v>2100</v>
      </c>
      <c r="R584" s="55" t="s">
        <v>2101</v>
      </c>
      <c r="S584" s="53">
        <v>47234</v>
      </c>
      <c r="T584" s="50" t="s">
        <v>2102</v>
      </c>
      <c r="U584" s="50" t="s">
        <v>166</v>
      </c>
      <c r="V584" s="56"/>
      <c r="W584" s="56"/>
      <c r="X584" s="56"/>
      <c r="Y584" s="56"/>
      <c r="Z584" s="56"/>
      <c r="AA584" s="56"/>
      <c r="AB584" s="56"/>
    </row>
    <row x14ac:dyDescent="0.25" r="585" customHeight="1" ht="18.75">
      <c r="A585" s="56"/>
      <c r="B585" s="56"/>
      <c r="C585" s="50" t="s">
        <v>16</v>
      </c>
      <c r="D585" s="50"/>
      <c r="E585" s="50" t="s">
        <v>1260</v>
      </c>
      <c r="F585" s="50" t="s">
        <v>1342</v>
      </c>
      <c r="G585" s="55">
        <v>10000000</v>
      </c>
      <c r="H585" s="55"/>
      <c r="I585" s="55"/>
      <c r="J585" s="51">
        <v>1200000</v>
      </c>
      <c r="K585" s="51"/>
      <c r="L585" s="52">
        <v>46201</v>
      </c>
      <c r="M585" s="53">
        <v>46140</v>
      </c>
      <c r="N585" s="50" t="s">
        <v>302</v>
      </c>
      <c r="O585" s="50" t="s">
        <v>1343</v>
      </c>
      <c r="P585" s="50" t="s">
        <v>1342</v>
      </c>
      <c r="Q585" s="55" t="s">
        <v>1344</v>
      </c>
      <c r="R585" s="55" t="s">
        <v>1345</v>
      </c>
      <c r="S585" s="53">
        <v>47235</v>
      </c>
      <c r="T585" s="50" t="s">
        <v>1346</v>
      </c>
      <c r="U585" s="50" t="s">
        <v>166</v>
      </c>
      <c r="V585" s="56"/>
      <c r="W585" s="56"/>
      <c r="X585" s="56"/>
      <c r="Y585" s="56"/>
      <c r="Z585" s="56"/>
      <c r="AA585" s="56"/>
      <c r="AB585" s="56"/>
    </row>
    <row x14ac:dyDescent="0.25" r="586" customHeight="1" ht="18.75">
      <c r="A586" s="56"/>
      <c r="B586" s="56"/>
      <c r="C586" s="49" t="s">
        <v>16</v>
      </c>
      <c r="D586" s="50" t="s">
        <v>153</v>
      </c>
      <c r="E586" s="50" t="s">
        <v>318</v>
      </c>
      <c r="F586" s="50" t="s">
        <v>885</v>
      </c>
      <c r="G586" s="51">
        <v>10000000</v>
      </c>
      <c r="H586" s="51"/>
      <c r="I586" s="51"/>
      <c r="J586" s="87">
        <f>IF(G586&gt;0,_xludf.IFS(G586=10000000,1200000,G586=20000000,1800000,G586=30000000,2400000,G586=60000000,4000000),"")</f>
      </c>
      <c r="K586" s="51"/>
      <c r="L586" s="52">
        <v>46202</v>
      </c>
      <c r="M586" s="53">
        <f>IF(L586&gt;0,EDATE(L586,-2),"")</f>
        <v>25569.375</v>
      </c>
      <c r="N586" s="50" t="s">
        <v>205</v>
      </c>
      <c r="O586" s="50" t="s">
        <v>886</v>
      </c>
      <c r="P586" s="54">
        <f>IF(F586&gt;0,F586,"")</f>
      </c>
      <c r="Q586" s="55">
        <v>6501062133014</v>
      </c>
      <c r="R586" s="55">
        <v>87540005</v>
      </c>
      <c r="S586" s="53">
        <f>IF(ISNUMBER(M586), EDATE(M586,36)-1, "")</f>
        <v>25569.375</v>
      </c>
      <c r="T586" s="50"/>
      <c r="U586" s="50"/>
      <c r="V586" s="56"/>
      <c r="W586" s="56"/>
      <c r="X586" s="56"/>
      <c r="Y586" s="56"/>
      <c r="Z586" s="56"/>
      <c r="AA586" s="56"/>
      <c r="AB586" s="56"/>
    </row>
    <row x14ac:dyDescent="0.25" r="587" customHeight="1" ht="18.75">
      <c r="A587" s="63"/>
      <c r="B587" s="63"/>
      <c r="C587" s="49" t="s">
        <v>16</v>
      </c>
      <c r="D587" s="49" t="s">
        <v>48</v>
      </c>
      <c r="E587" s="49" t="s">
        <v>1958</v>
      </c>
      <c r="F587" s="49" t="s">
        <v>481</v>
      </c>
      <c r="G587" s="64">
        <v>10000000</v>
      </c>
      <c r="H587" s="64"/>
      <c r="I587" s="64"/>
      <c r="J587" s="65">
        <f>IF(G587&gt;0,_xludf.IFS(G587=10000000,800000,G587=20000000,1528000,G587=30000000,2028000,G587=60000000,4056000),"")</f>
      </c>
      <c r="K587" s="64"/>
      <c r="L587" s="66">
        <v>46145</v>
      </c>
      <c r="M587" s="67">
        <f>IF(L587&gt;0,EDATE(L587,-2),"")</f>
        <v>25569.375</v>
      </c>
      <c r="N587" s="49" t="s">
        <v>699</v>
      </c>
      <c r="O587" s="49" t="s">
        <v>2005</v>
      </c>
      <c r="P587" s="68">
        <f>IF(F587&gt;0,F587,"")</f>
      </c>
      <c r="Q587" s="69" t="s">
        <v>2006</v>
      </c>
      <c r="R587" s="69">
        <v>73420091</v>
      </c>
      <c r="S587" s="67">
        <f>IF(ISNUMBER(M587), EDATE(M587,36)-1, "")</f>
        <v>25569.375</v>
      </c>
      <c r="T587" s="49"/>
      <c r="U587" s="49"/>
      <c r="V587" s="63"/>
      <c r="W587" s="56"/>
      <c r="X587" s="56"/>
      <c r="Y587" s="56"/>
      <c r="Z587" s="56"/>
      <c r="AA587" s="56"/>
      <c r="AB587" s="56"/>
    </row>
    <row x14ac:dyDescent="0.25" r="588" customHeight="1" ht="18.75">
      <c r="A588" s="56"/>
      <c r="B588" s="56"/>
      <c r="C588" s="50" t="s">
        <v>16</v>
      </c>
      <c r="D588" s="50" t="s">
        <v>67</v>
      </c>
      <c r="E588" s="50" t="s">
        <v>68</v>
      </c>
      <c r="F588" s="50" t="s">
        <v>68</v>
      </c>
      <c r="G588" s="55">
        <v>30000000</v>
      </c>
      <c r="H588" s="55"/>
      <c r="I588" s="55"/>
      <c r="J588" s="51">
        <v>2400000</v>
      </c>
      <c r="K588" s="51"/>
      <c r="L588" s="52">
        <v>45889</v>
      </c>
      <c r="M588" s="53">
        <v>45828</v>
      </c>
      <c r="N588" s="50" t="s">
        <v>302</v>
      </c>
      <c r="O588" s="50" t="s">
        <v>2007</v>
      </c>
      <c r="P588" s="50" t="s">
        <v>68</v>
      </c>
      <c r="Q588" s="55" t="s">
        <v>2008</v>
      </c>
      <c r="R588" s="55" t="s">
        <v>2009</v>
      </c>
      <c r="S588" s="53">
        <v>46923</v>
      </c>
      <c r="T588" s="50" t="s">
        <v>2010</v>
      </c>
      <c r="U588" s="50"/>
      <c r="V588" s="56"/>
      <c r="W588" s="56"/>
      <c r="X588" s="56"/>
      <c r="Y588" s="56"/>
      <c r="Z588" s="56"/>
      <c r="AA588" s="56"/>
      <c r="AB588" s="56"/>
    </row>
    <row x14ac:dyDescent="0.25" r="589" customHeight="1" ht="18.75">
      <c r="A589" s="48" t="s">
        <v>216</v>
      </c>
      <c r="B589" s="48"/>
      <c r="C589" s="50" t="s">
        <v>16</v>
      </c>
      <c r="D589" s="50" t="s">
        <v>67</v>
      </c>
      <c r="E589" s="50" t="s">
        <v>68</v>
      </c>
      <c r="F589" s="50" t="s">
        <v>68</v>
      </c>
      <c r="G589" s="55">
        <v>30000000</v>
      </c>
      <c r="H589" s="55"/>
      <c r="I589" s="55"/>
      <c r="J589" s="51">
        <v>2400000</v>
      </c>
      <c r="K589" s="51"/>
      <c r="L589" s="52">
        <v>45910</v>
      </c>
      <c r="M589" s="53">
        <v>45848</v>
      </c>
      <c r="N589" s="50" t="s">
        <v>302</v>
      </c>
      <c r="O589" s="50" t="s">
        <v>2007</v>
      </c>
      <c r="P589" s="50" t="s">
        <v>68</v>
      </c>
      <c r="Q589" s="55" t="s">
        <v>2008</v>
      </c>
      <c r="R589" s="55" t="s">
        <v>2009</v>
      </c>
      <c r="S589" s="53">
        <v>46943</v>
      </c>
      <c r="T589" s="50"/>
      <c r="U589" s="50"/>
      <c r="V589" s="56"/>
      <c r="W589" s="56"/>
      <c r="X589" s="56"/>
      <c r="Y589" s="56"/>
      <c r="Z589" s="56"/>
      <c r="AA589" s="56"/>
      <c r="AB589" s="56"/>
    </row>
    <row x14ac:dyDescent="0.25" r="590" customHeight="1" ht="18.75">
      <c r="A590" s="71" t="s">
        <v>3310</v>
      </c>
      <c r="B590" s="71"/>
      <c r="C590" s="72" t="s">
        <v>3311</v>
      </c>
      <c r="D590" s="72" t="s">
        <v>67</v>
      </c>
      <c r="E590" s="72" t="s">
        <v>68</v>
      </c>
      <c r="F590" s="72" t="s">
        <v>68</v>
      </c>
      <c r="G590" s="73"/>
      <c r="H590" s="73"/>
      <c r="I590" s="73"/>
      <c r="J590" s="74"/>
      <c r="K590" s="74"/>
      <c r="L590" s="75" t="s">
        <v>449</v>
      </c>
      <c r="M590" s="76" t="s">
        <v>449</v>
      </c>
      <c r="N590" s="72"/>
      <c r="O590" s="72"/>
      <c r="P590" s="72"/>
      <c r="Q590" s="73"/>
      <c r="R590" s="73"/>
      <c r="S590" s="76" t="s">
        <v>449</v>
      </c>
      <c r="T590" s="72"/>
      <c r="U590" s="72"/>
      <c r="V590" s="71"/>
      <c r="W590" s="56"/>
      <c r="X590" s="56"/>
      <c r="Y590" s="56"/>
      <c r="Z590" s="56"/>
      <c r="AA590" s="56"/>
      <c r="AB590" s="56"/>
    </row>
    <row x14ac:dyDescent="0.25" r="591" customHeight="1" ht="18.75">
      <c r="A591" s="56"/>
      <c r="B591" s="56"/>
      <c r="C591" s="50" t="s">
        <v>16</v>
      </c>
      <c r="D591" s="50" t="s">
        <v>143</v>
      </c>
      <c r="E591" s="50" t="s">
        <v>14</v>
      </c>
      <c r="F591" s="50" t="s">
        <v>987</v>
      </c>
      <c r="G591" s="55">
        <v>10000000</v>
      </c>
      <c r="H591" s="55"/>
      <c r="I591" s="55"/>
      <c r="J591" s="51">
        <v>1200000</v>
      </c>
      <c r="K591" s="51"/>
      <c r="L591" s="52">
        <v>46202</v>
      </c>
      <c r="M591" s="53">
        <v>46141</v>
      </c>
      <c r="N591" s="50" t="s">
        <v>988</v>
      </c>
      <c r="O591" s="50" t="s">
        <v>989</v>
      </c>
      <c r="P591" s="50" t="s">
        <v>987</v>
      </c>
      <c r="Q591" s="55" t="s">
        <v>990</v>
      </c>
      <c r="R591" s="55" t="s">
        <v>991</v>
      </c>
      <c r="S591" s="53">
        <v>47236</v>
      </c>
      <c r="T591" s="50"/>
      <c r="U591" s="50"/>
      <c r="V591" s="56"/>
      <c r="W591" s="56"/>
      <c r="X591" s="56"/>
      <c r="Y591" s="56"/>
      <c r="Z591" s="56"/>
      <c r="AA591" s="56"/>
      <c r="AB591" s="56"/>
    </row>
    <row x14ac:dyDescent="0.25" r="592" customHeight="1" ht="18.75">
      <c r="A592" s="56"/>
      <c r="B592" s="56"/>
      <c r="C592" s="49" t="s">
        <v>16</v>
      </c>
      <c r="D592" s="50" t="s">
        <v>143</v>
      </c>
      <c r="E592" s="50" t="s">
        <v>14</v>
      </c>
      <c r="F592" s="50" t="s">
        <v>1646</v>
      </c>
      <c r="G592" s="51">
        <v>10000000</v>
      </c>
      <c r="H592" s="51"/>
      <c r="I592" s="51"/>
      <c r="J592" s="87">
        <f>IF(G592&gt;0,_xludf.IFS(G592=10000000,1200000,G592=20000000,1800000,G592=30000000,2400000,G592=60000000,4000000),"")</f>
      </c>
      <c r="K592" s="51"/>
      <c r="L592" s="52">
        <v>46202</v>
      </c>
      <c r="M592" s="53">
        <f>IF(L592&gt;0,EDATE(L592,-2),"")</f>
        <v>25569.375</v>
      </c>
      <c r="N592" s="50" t="s">
        <v>155</v>
      </c>
      <c r="O592" s="50" t="s">
        <v>1647</v>
      </c>
      <c r="P592" s="54">
        <f>IF(F592&gt;0,F592,"")</f>
      </c>
      <c r="Q592" s="55">
        <v>6803201812664</v>
      </c>
      <c r="R592" s="55">
        <v>36058685</v>
      </c>
      <c r="S592" s="53">
        <f>IF(ISNUMBER(M592), EDATE(M592,36)-1, "")</f>
        <v>25569.375</v>
      </c>
      <c r="T592" s="50"/>
      <c r="U592" s="50"/>
      <c r="V592" s="56"/>
      <c r="W592" s="56"/>
      <c r="X592" s="56"/>
      <c r="Y592" s="56"/>
      <c r="Z592" s="56"/>
      <c r="AA592" s="56"/>
      <c r="AB592" s="56"/>
    </row>
    <row x14ac:dyDescent="0.25" r="593" customHeight="1" ht="18.75">
      <c r="A593" s="56"/>
      <c r="B593" s="56"/>
      <c r="C593" s="50" t="s">
        <v>16</v>
      </c>
      <c r="D593" s="50"/>
      <c r="E593" s="50"/>
      <c r="F593" s="50" t="s">
        <v>2015</v>
      </c>
      <c r="G593" s="55">
        <v>10000000</v>
      </c>
      <c r="H593" s="55"/>
      <c r="I593" s="55"/>
      <c r="J593" s="51">
        <v>800000</v>
      </c>
      <c r="K593" s="51"/>
      <c r="L593" s="52">
        <v>46034</v>
      </c>
      <c r="M593" s="53">
        <v>45973</v>
      </c>
      <c r="N593" s="50" t="s">
        <v>205</v>
      </c>
      <c r="O593" s="50" t="s">
        <v>2016</v>
      </c>
      <c r="P593" s="50" t="s">
        <v>2015</v>
      </c>
      <c r="Q593" s="55" t="s">
        <v>2017</v>
      </c>
      <c r="R593" s="55" t="s">
        <v>2016</v>
      </c>
      <c r="S593" s="53">
        <v>47068</v>
      </c>
      <c r="T593" s="50"/>
      <c r="U593" s="50"/>
      <c r="V593" s="56"/>
      <c r="W593" s="56"/>
      <c r="X593" s="56"/>
      <c r="Y593" s="56"/>
      <c r="Z593" s="56"/>
      <c r="AA593" s="56"/>
      <c r="AB593" s="56"/>
    </row>
    <row x14ac:dyDescent="0.25" r="594" customHeight="1" ht="18.75">
      <c r="A594" s="48" t="s">
        <v>152</v>
      </c>
      <c r="B594" s="48"/>
      <c r="C594" s="50" t="s">
        <v>16</v>
      </c>
      <c r="D594" s="50" t="s">
        <v>55</v>
      </c>
      <c r="E594" s="50" t="s">
        <v>56</v>
      </c>
      <c r="F594" s="50" t="s">
        <v>2018</v>
      </c>
      <c r="G594" s="51">
        <v>10000000</v>
      </c>
      <c r="H594" s="51"/>
      <c r="I594" s="51"/>
      <c r="J594" s="51">
        <v>800000</v>
      </c>
      <c r="K594" s="51"/>
      <c r="L594" s="52">
        <v>46106</v>
      </c>
      <c r="M594" s="53">
        <f>IF(L594&gt;0,EDATE(L594,-2),"")</f>
        <v>25569.375</v>
      </c>
      <c r="N594" s="50" t="s">
        <v>580</v>
      </c>
      <c r="O594" s="50" t="s">
        <v>2019</v>
      </c>
      <c r="P594" s="54">
        <f>IF(F594&gt;0,F594,"")</f>
      </c>
      <c r="Q594" s="55">
        <v>7703242235628</v>
      </c>
      <c r="R594" s="55">
        <v>23537954</v>
      </c>
      <c r="S594" s="53">
        <f>IF(ISNUMBER(M594), EDATE(M594,36)-1, "")</f>
        <v>25569.375</v>
      </c>
      <c r="T594" s="50"/>
      <c r="U594" s="50"/>
      <c r="V594" s="56" t="s">
        <v>2020</v>
      </c>
      <c r="W594" s="56"/>
      <c r="X594" s="56"/>
      <c r="Y594" s="56"/>
      <c r="Z594" s="56"/>
      <c r="AA594" s="56"/>
      <c r="AB594" s="56"/>
    </row>
    <row x14ac:dyDescent="0.25" r="595" customHeight="1" ht="18.75">
      <c r="A595" s="56"/>
      <c r="B595" s="56"/>
      <c r="C595" s="50" t="s">
        <v>16</v>
      </c>
      <c r="D595" s="50" t="s">
        <v>88</v>
      </c>
      <c r="E595" s="50"/>
      <c r="F595" s="50" t="s">
        <v>89</v>
      </c>
      <c r="G595" s="55">
        <v>20000000</v>
      </c>
      <c r="H595" s="55"/>
      <c r="I595" s="55"/>
      <c r="J595" s="51">
        <v>1800000</v>
      </c>
      <c r="K595" s="51"/>
      <c r="L595" s="52">
        <v>46202</v>
      </c>
      <c r="M595" s="53">
        <v>46141</v>
      </c>
      <c r="N595" s="50" t="s">
        <v>217</v>
      </c>
      <c r="O595" s="50" t="s">
        <v>1867</v>
      </c>
      <c r="P595" s="50" t="s">
        <v>3312</v>
      </c>
      <c r="Q595" s="55" t="s">
        <v>1868</v>
      </c>
      <c r="R595" s="55" t="s">
        <v>1869</v>
      </c>
      <c r="S595" s="53">
        <v>47236</v>
      </c>
      <c r="T595" s="50" t="s">
        <v>90</v>
      </c>
      <c r="U595" s="50"/>
      <c r="V595" s="56"/>
      <c r="W595" s="56"/>
      <c r="X595" s="56"/>
      <c r="Y595" s="56"/>
      <c r="Z595" s="56"/>
      <c r="AA595" s="56"/>
      <c r="AB595" s="56"/>
    </row>
    <row x14ac:dyDescent="0.25" r="596" customHeight="1" ht="18.75">
      <c r="A596" s="56"/>
      <c r="B596" s="56"/>
      <c r="C596" s="50" t="s">
        <v>16</v>
      </c>
      <c r="D596" s="50"/>
      <c r="E596" s="50"/>
      <c r="F596" s="50" t="s">
        <v>2023</v>
      </c>
      <c r="G596" s="55">
        <v>60000000</v>
      </c>
      <c r="H596" s="55"/>
      <c r="I596" s="55"/>
      <c r="J596" s="51">
        <v>4800000</v>
      </c>
      <c r="K596" s="51"/>
      <c r="L596" s="52">
        <v>45923</v>
      </c>
      <c r="M596" s="53">
        <v>45847</v>
      </c>
      <c r="N596" s="50" t="s">
        <v>306</v>
      </c>
      <c r="O596" s="50" t="s">
        <v>2024</v>
      </c>
      <c r="P596" s="50" t="s">
        <v>2023</v>
      </c>
      <c r="Q596" s="55" t="s">
        <v>2025</v>
      </c>
      <c r="R596" s="55" t="s">
        <v>2026</v>
      </c>
      <c r="S596" s="53">
        <v>46942</v>
      </c>
      <c r="T596" s="50"/>
      <c r="U596" s="50"/>
      <c r="V596" s="56"/>
      <c r="W596" s="56"/>
      <c r="X596" s="56"/>
      <c r="Y596" s="56"/>
      <c r="Z596" s="56"/>
      <c r="AA596" s="56"/>
      <c r="AB596" s="56"/>
    </row>
    <row x14ac:dyDescent="0.25" r="597" customHeight="1" ht="18.75">
      <c r="A597" s="48" t="s">
        <v>275</v>
      </c>
      <c r="B597" s="48"/>
      <c r="C597" s="50" t="s">
        <v>113</v>
      </c>
      <c r="D597" s="50"/>
      <c r="E597" s="50"/>
      <c r="F597" s="50" t="s">
        <v>2023</v>
      </c>
      <c r="G597" s="51">
        <v>30000000</v>
      </c>
      <c r="H597" s="51"/>
      <c r="I597" s="51"/>
      <c r="J597" s="51">
        <v>1500000</v>
      </c>
      <c r="K597" s="51"/>
      <c r="L597" s="52">
        <v>45626</v>
      </c>
      <c r="M597" s="53">
        <f>IF(L597&gt;0,EDATE(L597,-2),"")</f>
        <v>25569.375</v>
      </c>
      <c r="N597" s="50" t="s">
        <v>217</v>
      </c>
      <c r="O597" s="50" t="s">
        <v>2027</v>
      </c>
      <c r="P597" s="54">
        <f>IF(F597&gt;0,F597,"")</f>
      </c>
      <c r="Q597" s="55" t="s">
        <v>2025</v>
      </c>
      <c r="R597" s="55">
        <v>77884625</v>
      </c>
      <c r="S597" s="53">
        <f>IF(ISNUMBER(M597), EDATE(M597,36)-1, "")</f>
        <v>25569.375</v>
      </c>
      <c r="T597" s="50"/>
      <c r="U597" s="50"/>
      <c r="V597" s="48" t="s">
        <v>2028</v>
      </c>
      <c r="W597" s="56"/>
      <c r="X597" s="56"/>
      <c r="Y597" s="56"/>
      <c r="Z597" s="56"/>
      <c r="AA597" s="56"/>
      <c r="AB597" s="56"/>
    </row>
    <row x14ac:dyDescent="0.25" r="598" customHeight="1" ht="18.75">
      <c r="A598" s="71" t="s">
        <v>2029</v>
      </c>
      <c r="B598" s="71"/>
      <c r="C598" s="72" t="s">
        <v>1527</v>
      </c>
      <c r="D598" s="72"/>
      <c r="E598" s="72"/>
      <c r="F598" s="72" t="s">
        <v>92</v>
      </c>
      <c r="G598" s="73">
        <v>30000000</v>
      </c>
      <c r="H598" s="73"/>
      <c r="I598" s="73"/>
      <c r="J598" s="74"/>
      <c r="K598" s="74"/>
      <c r="L598" s="75">
        <v>45775</v>
      </c>
      <c r="M598" s="76">
        <v>45716</v>
      </c>
      <c r="N598" s="72" t="s">
        <v>217</v>
      </c>
      <c r="O598" s="72" t="s">
        <v>2030</v>
      </c>
      <c r="P598" s="72" t="s">
        <v>92</v>
      </c>
      <c r="Q598" s="73" t="s">
        <v>2031</v>
      </c>
      <c r="R598" s="73" t="s">
        <v>2032</v>
      </c>
      <c r="S598" s="76">
        <v>46810</v>
      </c>
      <c r="T598" s="72"/>
      <c r="U598" s="72"/>
      <c r="V598" s="71"/>
      <c r="W598" s="56"/>
      <c r="X598" s="56"/>
      <c r="Y598" s="56"/>
      <c r="Z598" s="56"/>
      <c r="AA598" s="56"/>
      <c r="AB598" s="56"/>
    </row>
    <row x14ac:dyDescent="0.25" r="599" customHeight="1" ht="18.75">
      <c r="A599" s="56"/>
      <c r="B599" s="56"/>
      <c r="C599" s="50" t="s">
        <v>2033</v>
      </c>
      <c r="D599" s="50"/>
      <c r="E599" s="50"/>
      <c r="F599" s="50" t="s">
        <v>92</v>
      </c>
      <c r="G599" s="55">
        <v>60000000</v>
      </c>
      <c r="H599" s="55"/>
      <c r="I599" s="55"/>
      <c r="J599" s="51">
        <v>2400000</v>
      </c>
      <c r="K599" s="51"/>
      <c r="L599" s="52">
        <v>45778</v>
      </c>
      <c r="M599" s="53">
        <v>45717</v>
      </c>
      <c r="N599" s="50" t="s">
        <v>217</v>
      </c>
      <c r="O599" s="50" t="s">
        <v>2030</v>
      </c>
      <c r="P599" s="50" t="s">
        <v>92</v>
      </c>
      <c r="Q599" s="55" t="s">
        <v>2031</v>
      </c>
      <c r="R599" s="55" t="s">
        <v>2032</v>
      </c>
      <c r="S599" s="53">
        <v>46812</v>
      </c>
      <c r="T599" s="50"/>
      <c r="U599" s="50"/>
      <c r="V599" s="56"/>
      <c r="W599" s="56"/>
      <c r="X599" s="56"/>
      <c r="Y599" s="56"/>
      <c r="Z599" s="56"/>
      <c r="AA599" s="56"/>
      <c r="AB599" s="56"/>
    </row>
    <row x14ac:dyDescent="0.25" r="600" customHeight="1" ht="18.75">
      <c r="A600" s="56"/>
      <c r="B600" s="56"/>
      <c r="C600" s="50" t="s">
        <v>16</v>
      </c>
      <c r="D600" s="50"/>
      <c r="E600" s="50"/>
      <c r="F600" s="50" t="s">
        <v>92</v>
      </c>
      <c r="G600" s="55">
        <v>30000000</v>
      </c>
      <c r="H600" s="55"/>
      <c r="I600" s="55"/>
      <c r="J600" s="51">
        <v>2400000</v>
      </c>
      <c r="K600" s="51"/>
      <c r="L600" s="52">
        <v>45881</v>
      </c>
      <c r="M600" s="53">
        <v>45820</v>
      </c>
      <c r="N600" s="50" t="s">
        <v>217</v>
      </c>
      <c r="O600" s="50" t="s">
        <v>2030</v>
      </c>
      <c r="P600" s="50" t="s">
        <v>92</v>
      </c>
      <c r="Q600" s="55" t="s">
        <v>2031</v>
      </c>
      <c r="R600" s="55" t="s">
        <v>2032</v>
      </c>
      <c r="S600" s="53">
        <v>46915</v>
      </c>
      <c r="T600" s="50"/>
      <c r="U600" s="50"/>
      <c r="V600" s="56"/>
      <c r="W600" s="56"/>
      <c r="X600" s="56"/>
      <c r="Y600" s="56"/>
      <c r="Z600" s="56"/>
      <c r="AA600" s="56"/>
      <c r="AB600" s="56"/>
    </row>
    <row x14ac:dyDescent="0.25" r="601" customHeight="1" ht="18.75">
      <c r="A601" s="56"/>
      <c r="B601" s="56"/>
      <c r="C601" s="50" t="s">
        <v>16</v>
      </c>
      <c r="D601" s="50" t="s">
        <v>143</v>
      </c>
      <c r="E601" s="50" t="s">
        <v>14</v>
      </c>
      <c r="F601" s="50" t="s">
        <v>1964</v>
      </c>
      <c r="G601" s="55">
        <v>10000000</v>
      </c>
      <c r="H601" s="55"/>
      <c r="I601" s="55"/>
      <c r="J601" s="51">
        <v>1200000</v>
      </c>
      <c r="K601" s="51"/>
      <c r="L601" s="52">
        <v>46202</v>
      </c>
      <c r="M601" s="53">
        <v>46141</v>
      </c>
      <c r="N601" s="50" t="s">
        <v>1688</v>
      </c>
      <c r="O601" s="50" t="s">
        <v>1965</v>
      </c>
      <c r="P601" s="50" t="s">
        <v>1964</v>
      </c>
      <c r="Q601" s="55" t="s">
        <v>1966</v>
      </c>
      <c r="R601" s="55" t="s">
        <v>1967</v>
      </c>
      <c r="S601" s="53">
        <v>47236</v>
      </c>
      <c r="T601" s="50"/>
      <c r="U601" s="50"/>
      <c r="V601" s="56"/>
      <c r="W601" s="56"/>
      <c r="X601" s="56"/>
      <c r="Y601" s="56"/>
      <c r="Z601" s="56"/>
      <c r="AA601" s="56"/>
      <c r="AB601" s="56"/>
    </row>
    <row x14ac:dyDescent="0.25" r="602" customHeight="1" ht="18.75">
      <c r="A602" s="71"/>
      <c r="B602" s="71"/>
      <c r="C602" s="72" t="s">
        <v>16</v>
      </c>
      <c r="D602" s="72"/>
      <c r="E602" s="72"/>
      <c r="F602" s="72" t="s">
        <v>2036</v>
      </c>
      <c r="G602" s="73">
        <v>10000000</v>
      </c>
      <c r="H602" s="73"/>
      <c r="I602" s="73"/>
      <c r="J602" s="74"/>
      <c r="K602" s="74"/>
      <c r="L602" s="75">
        <v>46168</v>
      </c>
      <c r="M602" s="76">
        <v>46107</v>
      </c>
      <c r="N602" s="72" t="s">
        <v>168</v>
      </c>
      <c r="O602" s="72" t="s">
        <v>2037</v>
      </c>
      <c r="P602" s="72" t="s">
        <v>2036</v>
      </c>
      <c r="Q602" s="73" t="s">
        <v>2038</v>
      </c>
      <c r="R602" s="73" t="s">
        <v>3313</v>
      </c>
      <c r="S602" s="76">
        <v>47202</v>
      </c>
      <c r="T602" s="72" t="s">
        <v>3314</v>
      </c>
      <c r="U602" s="72" t="s">
        <v>179</v>
      </c>
      <c r="V602" s="71"/>
      <c r="W602" s="56"/>
      <c r="X602" s="56"/>
      <c r="Y602" s="56"/>
      <c r="Z602" s="56"/>
      <c r="AA602" s="56"/>
      <c r="AB602" s="56"/>
    </row>
    <row x14ac:dyDescent="0.25" r="603" customHeight="1" ht="18.75">
      <c r="A603" s="56"/>
      <c r="B603" s="56"/>
      <c r="C603" s="49" t="s">
        <v>16</v>
      </c>
      <c r="D603" s="50" t="s">
        <v>153</v>
      </c>
      <c r="E603" s="50" t="s">
        <v>318</v>
      </c>
      <c r="F603" s="50" t="s">
        <v>2011</v>
      </c>
      <c r="G603" s="51">
        <v>20000000</v>
      </c>
      <c r="H603" s="51"/>
      <c r="I603" s="51"/>
      <c r="J603" s="87">
        <f>IF(G603&gt;0,_xludf.IFS(G603=10000000,1200000,G603=20000000,1800000,G603=30000000,2400000,G603=60000000,4000000),"")</f>
      </c>
      <c r="K603" s="51"/>
      <c r="L603" s="52">
        <v>46202</v>
      </c>
      <c r="M603" s="53">
        <f>IF(L603&gt;0,EDATE(L603,-2),"")</f>
        <v>25569.375</v>
      </c>
      <c r="N603" s="50" t="s">
        <v>168</v>
      </c>
      <c r="O603" s="50" t="s">
        <v>2012</v>
      </c>
      <c r="P603" s="54">
        <f>IF(F603&gt;0,F603,"")</f>
      </c>
      <c r="Q603" s="55">
        <v>6304152332828</v>
      </c>
      <c r="R603" s="55">
        <v>22491891</v>
      </c>
      <c r="S603" s="53">
        <f>IF(ISNUMBER(M603), EDATE(M603,36)-1, "")</f>
        <v>25569.375</v>
      </c>
      <c r="T603" s="50"/>
      <c r="U603" s="50"/>
      <c r="V603" s="56"/>
      <c r="W603" s="56"/>
      <c r="X603" s="56"/>
      <c r="Y603" s="56"/>
      <c r="Z603" s="56"/>
      <c r="AA603" s="56"/>
      <c r="AB603" s="56"/>
    </row>
    <row x14ac:dyDescent="0.25" r="604" customHeight="1" ht="18.75">
      <c r="A604" s="63"/>
      <c r="B604" s="63"/>
      <c r="C604" s="49" t="s">
        <v>16</v>
      </c>
      <c r="D604" s="49" t="s">
        <v>153</v>
      </c>
      <c r="E604" s="49" t="s">
        <v>276</v>
      </c>
      <c r="F604" s="49" t="s">
        <v>2036</v>
      </c>
      <c r="G604" s="64">
        <v>10000000</v>
      </c>
      <c r="H604" s="64"/>
      <c r="I604" s="64"/>
      <c r="J604" s="65">
        <f>IF(G604&gt;0,_xludf.IFS(G604=10000000,800000,G604=20000000,1528000,G604=30000000,2028000,G604=60000000,4056000),"")</f>
      </c>
      <c r="K604" s="64"/>
      <c r="L604" s="66">
        <v>46168</v>
      </c>
      <c r="M604" s="67">
        <f>IF(L604&gt;0,EDATE(L604,-2),"")</f>
        <v>25569.375</v>
      </c>
      <c r="N604" s="49" t="s">
        <v>168</v>
      </c>
      <c r="O604" s="49" t="s">
        <v>2037</v>
      </c>
      <c r="P604" s="68">
        <f>IF(F604&gt;0,F604,"")</f>
      </c>
      <c r="Q604" s="69" t="s">
        <v>2038</v>
      </c>
      <c r="R604" s="69">
        <v>63437949</v>
      </c>
      <c r="S604" s="67">
        <f>IF(ISNUMBER(M604), EDATE(M604,36)-1, "")</f>
        <v>25569.375</v>
      </c>
      <c r="T604" s="49"/>
      <c r="U604" s="49"/>
      <c r="V604" s="63" t="s">
        <v>708</v>
      </c>
      <c r="W604" s="56"/>
      <c r="X604" s="56"/>
      <c r="Y604" s="56"/>
      <c r="Z604" s="56"/>
      <c r="AA604" s="56"/>
      <c r="AB604" s="56"/>
    </row>
    <row x14ac:dyDescent="0.25" r="605" customHeight="1" ht="18.75">
      <c r="A605" s="56"/>
      <c r="B605" s="56"/>
      <c r="C605" s="50" t="s">
        <v>16</v>
      </c>
      <c r="D605" s="50"/>
      <c r="E605" s="50"/>
      <c r="F605" s="50" t="s">
        <v>2040</v>
      </c>
      <c r="G605" s="55">
        <v>60000000</v>
      </c>
      <c r="H605" s="55"/>
      <c r="I605" s="55"/>
      <c r="J605" s="51">
        <v>4800000</v>
      </c>
      <c r="K605" s="51"/>
      <c r="L605" s="52">
        <v>46064</v>
      </c>
      <c r="M605" s="53">
        <v>46002</v>
      </c>
      <c r="N605" s="50" t="s">
        <v>168</v>
      </c>
      <c r="O605" s="50" t="s">
        <v>2041</v>
      </c>
      <c r="P605" s="50" t="s">
        <v>3315</v>
      </c>
      <c r="Q605" s="55" t="s">
        <v>2042</v>
      </c>
      <c r="R605" s="55" t="s">
        <v>2043</v>
      </c>
      <c r="S605" s="53">
        <v>47097</v>
      </c>
      <c r="T605" s="50"/>
      <c r="U605" s="50"/>
      <c r="V605" s="56"/>
      <c r="W605" s="56"/>
      <c r="X605" s="56"/>
      <c r="Y605" s="56"/>
      <c r="Z605" s="56"/>
      <c r="AA605" s="56"/>
      <c r="AB605" s="56"/>
    </row>
    <row x14ac:dyDescent="0.25" r="606" customHeight="1" ht="18.75">
      <c r="A606" s="56"/>
      <c r="B606" s="56"/>
      <c r="C606" s="50" t="s">
        <v>16</v>
      </c>
      <c r="D606" s="50"/>
      <c r="E606" s="50"/>
      <c r="F606" s="50" t="s">
        <v>93</v>
      </c>
      <c r="G606" s="55">
        <v>10000000</v>
      </c>
      <c r="H606" s="55"/>
      <c r="I606" s="55"/>
      <c r="J606" s="51">
        <v>800000</v>
      </c>
      <c r="K606" s="51"/>
      <c r="L606" s="52">
        <v>46162</v>
      </c>
      <c r="M606" s="53">
        <v>46101</v>
      </c>
      <c r="N606" s="50" t="s">
        <v>168</v>
      </c>
      <c r="O606" s="50" t="s">
        <v>2044</v>
      </c>
      <c r="P606" s="50" t="s">
        <v>93</v>
      </c>
      <c r="Q606" s="55" t="s">
        <v>2045</v>
      </c>
      <c r="R606" s="55" t="s">
        <v>2046</v>
      </c>
      <c r="S606" s="53">
        <v>47196</v>
      </c>
      <c r="T606" s="50"/>
      <c r="U606" s="50" t="s">
        <v>166</v>
      </c>
      <c r="V606" s="56"/>
      <c r="W606" s="56"/>
      <c r="X606" s="56"/>
      <c r="Y606" s="56"/>
      <c r="Z606" s="56"/>
      <c r="AA606" s="56"/>
      <c r="AB606" s="56"/>
    </row>
    <row x14ac:dyDescent="0.25" r="607" customHeight="1" ht="18.75">
      <c r="A607" s="56"/>
      <c r="B607" s="56"/>
      <c r="C607" s="50" t="s">
        <v>16</v>
      </c>
      <c r="D607" s="50" t="s">
        <v>143</v>
      </c>
      <c r="E607" s="50" t="s">
        <v>14</v>
      </c>
      <c r="F607" s="50" t="s">
        <v>2305</v>
      </c>
      <c r="G607" s="55">
        <v>30000000</v>
      </c>
      <c r="H607" s="55"/>
      <c r="I607" s="55"/>
      <c r="J607" s="51">
        <v>2400000</v>
      </c>
      <c r="K607" s="51"/>
      <c r="L607" s="52">
        <v>46201</v>
      </c>
      <c r="M607" s="53">
        <v>46141</v>
      </c>
      <c r="N607" s="50" t="s">
        <v>155</v>
      </c>
      <c r="O607" s="50" t="s">
        <v>2306</v>
      </c>
      <c r="P607" s="50" t="s">
        <v>2305</v>
      </c>
      <c r="Q607" s="55" t="s">
        <v>2307</v>
      </c>
      <c r="R607" s="55" t="s">
        <v>2308</v>
      </c>
      <c r="S607" s="53">
        <v>47215</v>
      </c>
      <c r="T607" s="50"/>
      <c r="U607" s="50"/>
      <c r="V607" s="56"/>
      <c r="W607" s="56"/>
      <c r="X607" s="56"/>
      <c r="Y607" s="56"/>
      <c r="Z607" s="56"/>
      <c r="AA607" s="56"/>
      <c r="AB607" s="56"/>
    </row>
    <row x14ac:dyDescent="0.25" r="608" customHeight="1" ht="18.75">
      <c r="A608" s="56"/>
      <c r="B608" s="56"/>
      <c r="C608" s="50" t="s">
        <v>16</v>
      </c>
      <c r="D608" s="50" t="s">
        <v>143</v>
      </c>
      <c r="E608" s="50" t="s">
        <v>14</v>
      </c>
      <c r="F608" s="50" t="s">
        <v>2545</v>
      </c>
      <c r="G608" s="55">
        <v>10000000</v>
      </c>
      <c r="H608" s="55"/>
      <c r="I608" s="55"/>
      <c r="J608" s="51">
        <v>1200000</v>
      </c>
      <c r="K608" s="51"/>
      <c r="L608" s="52">
        <v>46202</v>
      </c>
      <c r="M608" s="53">
        <v>46141</v>
      </c>
      <c r="N608" s="50" t="s">
        <v>1688</v>
      </c>
      <c r="O608" s="50" t="s">
        <v>2546</v>
      </c>
      <c r="P608" s="50" t="s">
        <v>2545</v>
      </c>
      <c r="Q608" s="55" t="s">
        <v>2547</v>
      </c>
      <c r="R608" s="55" t="s">
        <v>2548</v>
      </c>
      <c r="S608" s="53">
        <v>47236</v>
      </c>
      <c r="T608" s="50"/>
      <c r="U608" s="50"/>
      <c r="V608" s="56"/>
      <c r="W608" s="56"/>
      <c r="X608" s="56"/>
      <c r="Y608" s="56"/>
      <c r="Z608" s="56"/>
      <c r="AA608" s="56"/>
      <c r="AB608" s="56"/>
    </row>
    <row x14ac:dyDescent="0.25" r="609" customHeight="1" ht="18.75">
      <c r="A609" s="56"/>
      <c r="B609" s="56"/>
      <c r="C609" s="50" t="s">
        <v>16</v>
      </c>
      <c r="D609" s="50"/>
      <c r="E609" s="50" t="s">
        <v>29</v>
      </c>
      <c r="F609" s="50" t="s">
        <v>2047</v>
      </c>
      <c r="G609" s="55">
        <v>10000000</v>
      </c>
      <c r="H609" s="55"/>
      <c r="I609" s="55"/>
      <c r="J609" s="51">
        <v>800000</v>
      </c>
      <c r="K609" s="51"/>
      <c r="L609" s="52">
        <v>46118</v>
      </c>
      <c r="M609" s="53">
        <v>46059</v>
      </c>
      <c r="N609" s="50" t="s">
        <v>306</v>
      </c>
      <c r="O609" s="50" t="s">
        <v>2048</v>
      </c>
      <c r="P609" s="50" t="s">
        <v>2047</v>
      </c>
      <c r="Q609" s="55" t="s">
        <v>2049</v>
      </c>
      <c r="R609" s="55" t="s">
        <v>2050</v>
      </c>
      <c r="S609" s="53">
        <v>47154</v>
      </c>
      <c r="T609" s="50"/>
      <c r="U609" s="50" t="s">
        <v>166</v>
      </c>
      <c r="V609" s="56"/>
      <c r="W609" s="56"/>
      <c r="X609" s="56"/>
      <c r="Y609" s="56"/>
      <c r="Z609" s="56"/>
      <c r="AA609" s="56"/>
      <c r="AB609" s="56"/>
    </row>
    <row x14ac:dyDescent="0.25" r="610" customHeight="1" ht="18.75">
      <c r="A610" s="63" t="s">
        <v>275</v>
      </c>
      <c r="B610" s="63"/>
      <c r="C610" s="49" t="s">
        <v>16</v>
      </c>
      <c r="D610" s="49" t="s">
        <v>454</v>
      </c>
      <c r="E610" s="49" t="s">
        <v>455</v>
      </c>
      <c r="F610" s="49" t="s">
        <v>524</v>
      </c>
      <c r="G610" s="64">
        <v>10000000</v>
      </c>
      <c r="H610" s="64"/>
      <c r="I610" s="64"/>
      <c r="J610" s="64">
        <v>1200000</v>
      </c>
      <c r="K610" s="64"/>
      <c r="L610" s="66">
        <v>46203</v>
      </c>
      <c r="M610" s="67">
        <f>IF(L610&gt;0,EDATE(L610,-2),"")</f>
        <v>25569.375</v>
      </c>
      <c r="N610" s="49" t="s">
        <v>379</v>
      </c>
      <c r="O610" s="49" t="s">
        <v>525</v>
      </c>
      <c r="P610" s="49" t="s">
        <v>526</v>
      </c>
      <c r="Q610" s="69" t="s">
        <v>527</v>
      </c>
      <c r="R610" s="69">
        <v>51711545</v>
      </c>
      <c r="S610" s="67">
        <f>IF(ISNUMBER(M610), EDATE(M610,36)-1, "")</f>
        <v>25569.375</v>
      </c>
      <c r="T610" s="49"/>
      <c r="U610" s="49"/>
      <c r="V610" s="63"/>
      <c r="W610" s="56"/>
      <c r="X610" s="56"/>
      <c r="Y610" s="56"/>
      <c r="Z610" s="56"/>
      <c r="AA610" s="56"/>
      <c r="AB610" s="56"/>
    </row>
    <row x14ac:dyDescent="0.25" r="611" customHeight="1" ht="18.75">
      <c r="A611" s="63" t="s">
        <v>252</v>
      </c>
      <c r="B611" s="63"/>
      <c r="C611" s="49" t="s">
        <v>16</v>
      </c>
      <c r="D611" s="49" t="s">
        <v>454</v>
      </c>
      <c r="E611" s="49" t="s">
        <v>455</v>
      </c>
      <c r="F611" s="49" t="s">
        <v>524</v>
      </c>
      <c r="G611" s="64">
        <v>10000000</v>
      </c>
      <c r="H611" s="64"/>
      <c r="I611" s="64"/>
      <c r="J611" s="64">
        <v>1200000</v>
      </c>
      <c r="K611" s="64"/>
      <c r="L611" s="66">
        <v>46203</v>
      </c>
      <c r="M611" s="67">
        <f>IF(L611&gt;0,EDATE(L611,-2),"")</f>
        <v>25569.375</v>
      </c>
      <c r="N611" s="49" t="s">
        <v>379</v>
      </c>
      <c r="O611" s="49" t="s">
        <v>525</v>
      </c>
      <c r="P611" s="49" t="s">
        <v>526</v>
      </c>
      <c r="Q611" s="69" t="s">
        <v>527</v>
      </c>
      <c r="R611" s="69">
        <v>51711545</v>
      </c>
      <c r="S611" s="67">
        <f>IF(ISNUMBER(M611), EDATE(M611,36)-1, "")</f>
        <v>25569.375</v>
      </c>
      <c r="T611" s="49"/>
      <c r="U611" s="49"/>
      <c r="V611" s="63"/>
      <c r="W611" s="56"/>
      <c r="X611" s="56"/>
      <c r="Y611" s="56"/>
      <c r="Z611" s="56"/>
      <c r="AA611" s="56"/>
      <c r="AB611" s="56"/>
    </row>
    <row x14ac:dyDescent="0.25" r="612" customHeight="1" ht="18.75">
      <c r="A612" s="63" t="s">
        <v>152</v>
      </c>
      <c r="B612" s="63"/>
      <c r="C612" s="49" t="s">
        <v>16</v>
      </c>
      <c r="D612" s="49" t="s">
        <v>454</v>
      </c>
      <c r="E612" s="49" t="s">
        <v>455</v>
      </c>
      <c r="F612" s="49" t="s">
        <v>755</v>
      </c>
      <c r="G612" s="64">
        <v>20000000</v>
      </c>
      <c r="H612" s="64"/>
      <c r="I612" s="64"/>
      <c r="J612" s="64">
        <v>1800000</v>
      </c>
      <c r="K612" s="64"/>
      <c r="L612" s="66">
        <v>46203</v>
      </c>
      <c r="M612" s="67">
        <f>IF(L612&gt;0,EDATE(L612,-2),"")</f>
        <v>25569.375</v>
      </c>
      <c r="N612" s="49" t="s">
        <v>155</v>
      </c>
      <c r="O612" s="49" t="s">
        <v>756</v>
      </c>
      <c r="P612" s="68">
        <f>IF(F612&gt;0,F612,"")</f>
      </c>
      <c r="Q612" s="69" t="s">
        <v>757</v>
      </c>
      <c r="R612" s="69">
        <v>51711545</v>
      </c>
      <c r="S612" s="67">
        <f>IF(ISNUMBER(M612), EDATE(M612,36)-1, "")</f>
        <v>25569.375</v>
      </c>
      <c r="T612" s="49"/>
      <c r="U612" s="49"/>
      <c r="V612" s="63" t="s">
        <v>758</v>
      </c>
      <c r="W612" s="56"/>
      <c r="X612" s="56"/>
      <c r="Y612" s="56"/>
      <c r="Z612" s="56"/>
      <c r="AA612" s="56"/>
      <c r="AB612" s="56"/>
    </row>
    <row x14ac:dyDescent="0.25" r="613" customHeight="1" ht="18.75">
      <c r="A613" s="56"/>
      <c r="B613" s="56"/>
      <c r="C613" s="50" t="s">
        <v>16</v>
      </c>
      <c r="D613" s="50" t="s">
        <v>454</v>
      </c>
      <c r="E613" s="50"/>
      <c r="F613" s="50" t="s">
        <v>2066</v>
      </c>
      <c r="G613" s="55">
        <v>10000000</v>
      </c>
      <c r="H613" s="55"/>
      <c r="I613" s="55"/>
      <c r="J613" s="51">
        <v>800000</v>
      </c>
      <c r="K613" s="51"/>
      <c r="L613" s="52">
        <v>46154</v>
      </c>
      <c r="M613" s="53">
        <v>46093</v>
      </c>
      <c r="N613" s="50" t="s">
        <v>239</v>
      </c>
      <c r="O613" s="50" t="s">
        <v>2067</v>
      </c>
      <c r="P613" s="50" t="s">
        <v>2066</v>
      </c>
      <c r="Q613" s="55" t="s">
        <v>2068</v>
      </c>
      <c r="R613" s="55" t="s">
        <v>2069</v>
      </c>
      <c r="S613" s="53">
        <v>47188</v>
      </c>
      <c r="T613" s="50"/>
      <c r="U613" s="50"/>
      <c r="V613" s="56"/>
      <c r="W613" s="56"/>
      <c r="X613" s="56"/>
      <c r="Y613" s="56"/>
      <c r="Z613" s="56"/>
      <c r="AA613" s="56"/>
      <c r="AB613" s="56"/>
    </row>
    <row x14ac:dyDescent="0.25" r="614" customHeight="1" ht="18.75">
      <c r="A614" s="63"/>
      <c r="B614" s="63"/>
      <c r="C614" s="49" t="s">
        <v>16</v>
      </c>
      <c r="D614" s="49"/>
      <c r="E614" s="49" t="s">
        <v>357</v>
      </c>
      <c r="F614" s="49" t="s">
        <v>1138</v>
      </c>
      <c r="G614" s="64">
        <v>10000000</v>
      </c>
      <c r="H614" s="64"/>
      <c r="I614" s="64"/>
      <c r="J614" s="64">
        <v>800000</v>
      </c>
      <c r="K614" s="64"/>
      <c r="L614" s="66">
        <v>46203</v>
      </c>
      <c r="M614" s="67">
        <f>IF(L614&gt;0,EDATE(L614,-2),"")</f>
        <v>25569.375</v>
      </c>
      <c r="N614" s="49" t="s">
        <v>217</v>
      </c>
      <c r="O614" s="49" t="s">
        <v>1144</v>
      </c>
      <c r="P614" s="68">
        <f>IF(F614&gt;0,F614,"")</f>
      </c>
      <c r="Q614" s="69" t="s">
        <v>1141</v>
      </c>
      <c r="R614" s="69">
        <v>91780750</v>
      </c>
      <c r="S614" s="67">
        <f>IF(ISNUMBER(M614), EDATE(M614,36)-1, "")</f>
        <v>25569.375</v>
      </c>
      <c r="T614" s="49"/>
      <c r="U614" s="49"/>
      <c r="V614" s="63"/>
      <c r="W614" s="56"/>
      <c r="X614" s="56"/>
      <c r="Y614" s="56"/>
      <c r="Z614" s="56"/>
      <c r="AA614" s="56"/>
      <c r="AB614" s="56"/>
    </row>
    <row x14ac:dyDescent="0.25" r="615" customHeight="1" ht="18.75">
      <c r="A615" s="56"/>
      <c r="B615" s="56"/>
      <c r="C615" s="50" t="s">
        <v>16</v>
      </c>
      <c r="D615" s="50"/>
      <c r="E615" s="50"/>
      <c r="F615" s="50" t="s">
        <v>2076</v>
      </c>
      <c r="G615" s="55">
        <v>30000000</v>
      </c>
      <c r="H615" s="55"/>
      <c r="I615" s="55"/>
      <c r="J615" s="51">
        <v>2028000</v>
      </c>
      <c r="K615" s="51"/>
      <c r="L615" s="52">
        <v>46166</v>
      </c>
      <c r="M615" s="53">
        <v>46105</v>
      </c>
      <c r="N615" s="50" t="s">
        <v>217</v>
      </c>
      <c r="O615" s="50" t="s">
        <v>2077</v>
      </c>
      <c r="P615" s="50" t="s">
        <v>2076</v>
      </c>
      <c r="Q615" s="55" t="s">
        <v>3316</v>
      </c>
      <c r="R615" s="55" t="s">
        <v>3317</v>
      </c>
      <c r="S615" s="53">
        <v>47200</v>
      </c>
      <c r="T615" s="50" t="s">
        <v>3318</v>
      </c>
      <c r="U615" s="50" t="s">
        <v>166</v>
      </c>
      <c r="V615" s="48" t="s">
        <v>656</v>
      </c>
      <c r="W615" s="56"/>
      <c r="X615" s="56"/>
      <c r="Y615" s="56"/>
      <c r="Z615" s="56"/>
      <c r="AA615" s="56"/>
      <c r="AB615" s="56"/>
    </row>
    <row x14ac:dyDescent="0.25" r="616" customHeight="1" ht="18.75">
      <c r="A616" s="56"/>
      <c r="B616" s="56"/>
      <c r="C616" s="50" t="s">
        <v>16</v>
      </c>
      <c r="D616" s="50" t="s">
        <v>2074</v>
      </c>
      <c r="E616" s="50" t="s">
        <v>2075</v>
      </c>
      <c r="F616" s="50" t="s">
        <v>2076</v>
      </c>
      <c r="G616" s="51">
        <v>30000000</v>
      </c>
      <c r="H616" s="51"/>
      <c r="I616" s="51"/>
      <c r="J616" s="51">
        <v>2028000</v>
      </c>
      <c r="K616" s="51"/>
      <c r="L616" s="52">
        <v>46166</v>
      </c>
      <c r="M616" s="53">
        <f>IF(L616&gt;0,EDATE(L616,-2),"")</f>
        <v>25569.375</v>
      </c>
      <c r="N616" s="50" t="s">
        <v>217</v>
      </c>
      <c r="O616" s="50" t="s">
        <v>2077</v>
      </c>
      <c r="P616" s="54">
        <f>IF(F616&gt;0,F616,"")</f>
      </c>
      <c r="Q616" s="55">
        <v>7507092229919</v>
      </c>
      <c r="R616" s="55">
        <v>65410410</v>
      </c>
      <c r="S616" s="53">
        <f>IF(ISNUMBER(M616), EDATE(M616,36)-1, "")</f>
        <v>25569.375</v>
      </c>
      <c r="T616" s="50"/>
      <c r="U616" s="50"/>
      <c r="V616" s="56"/>
      <c r="W616" s="56"/>
      <c r="X616" s="56"/>
      <c r="Y616" s="56"/>
      <c r="Z616" s="56"/>
      <c r="AA616" s="56"/>
      <c r="AB616" s="56"/>
    </row>
    <row x14ac:dyDescent="0.25" r="617" customHeight="1" ht="18.75">
      <c r="A617" s="56"/>
      <c r="B617" s="56"/>
      <c r="C617" s="50" t="s">
        <v>16</v>
      </c>
      <c r="D617" s="50"/>
      <c r="E617" s="50" t="s">
        <v>2078</v>
      </c>
      <c r="F617" s="50" t="s">
        <v>2079</v>
      </c>
      <c r="G617" s="55">
        <v>10000000</v>
      </c>
      <c r="H617" s="55"/>
      <c r="I617" s="55"/>
      <c r="J617" s="51">
        <v>500000</v>
      </c>
      <c r="K617" s="51"/>
      <c r="L617" s="52">
        <v>45462</v>
      </c>
      <c r="M617" s="53">
        <v>45401</v>
      </c>
      <c r="N617" s="50" t="s">
        <v>239</v>
      </c>
      <c r="O617" s="50" t="s">
        <v>2080</v>
      </c>
      <c r="P617" s="50" t="s">
        <v>2079</v>
      </c>
      <c r="Q617" s="55" t="s">
        <v>2081</v>
      </c>
      <c r="R617" s="55" t="s">
        <v>3319</v>
      </c>
      <c r="S617" s="53">
        <v>46495</v>
      </c>
      <c r="T617" s="50" t="s">
        <v>3320</v>
      </c>
      <c r="U617" s="50" t="s">
        <v>166</v>
      </c>
      <c r="V617" s="56"/>
      <c r="W617" s="56"/>
      <c r="X617" s="56"/>
      <c r="Y617" s="56"/>
      <c r="Z617" s="56"/>
      <c r="AA617" s="56"/>
      <c r="AB617" s="56"/>
    </row>
    <row x14ac:dyDescent="0.25" r="618" customHeight="1" ht="18.75">
      <c r="A618" s="56"/>
      <c r="B618" s="56"/>
      <c r="C618" s="50" t="s">
        <v>16</v>
      </c>
      <c r="D618" s="50" t="s">
        <v>55</v>
      </c>
      <c r="E618" s="50" t="s">
        <v>56</v>
      </c>
      <c r="F618" s="50" t="s">
        <v>1151</v>
      </c>
      <c r="G618" s="55">
        <v>10000000</v>
      </c>
      <c r="H618" s="55"/>
      <c r="I618" s="55"/>
      <c r="J618" s="51">
        <v>800000</v>
      </c>
      <c r="K618" s="51"/>
      <c r="L618" s="52">
        <v>46203</v>
      </c>
      <c r="M618" s="53">
        <v>46142</v>
      </c>
      <c r="N618" s="50" t="s">
        <v>217</v>
      </c>
      <c r="O618" s="50" t="s">
        <v>1152</v>
      </c>
      <c r="P618" s="50" t="s">
        <v>1151</v>
      </c>
      <c r="Q618" s="55" t="s">
        <v>1153</v>
      </c>
      <c r="R618" s="55" t="s">
        <v>1154</v>
      </c>
      <c r="S618" s="53">
        <v>47237</v>
      </c>
      <c r="T618" s="50" t="s">
        <v>1155</v>
      </c>
      <c r="U618" s="50"/>
      <c r="V618" s="56"/>
      <c r="W618" s="56"/>
      <c r="X618" s="56"/>
      <c r="Y618" s="56"/>
      <c r="Z618" s="56"/>
      <c r="AA618" s="56"/>
      <c r="AB618" s="56"/>
    </row>
    <row x14ac:dyDescent="0.25" r="619" customHeight="1" ht="18.75">
      <c r="A619" s="56"/>
      <c r="B619" s="56"/>
      <c r="C619" s="50" t="s">
        <v>16</v>
      </c>
      <c r="D619" s="50" t="s">
        <v>143</v>
      </c>
      <c r="E619" s="50" t="s">
        <v>14</v>
      </c>
      <c r="F619" s="50" t="s">
        <v>1175</v>
      </c>
      <c r="G619" s="55">
        <v>10000000</v>
      </c>
      <c r="H619" s="55"/>
      <c r="I619" s="55"/>
      <c r="J619" s="51">
        <v>1200000</v>
      </c>
      <c r="K619" s="51"/>
      <c r="L619" s="52">
        <v>46203</v>
      </c>
      <c r="M619" s="53">
        <v>46142</v>
      </c>
      <c r="N619" s="50" t="s">
        <v>155</v>
      </c>
      <c r="O619" s="50" t="s">
        <v>1180</v>
      </c>
      <c r="P619" s="50" t="s">
        <v>1175</v>
      </c>
      <c r="Q619" s="55" t="s">
        <v>1181</v>
      </c>
      <c r="R619" s="55" t="s">
        <v>1182</v>
      </c>
      <c r="S619" s="53">
        <v>47237</v>
      </c>
      <c r="T619" s="50"/>
      <c r="U619" s="50"/>
      <c r="V619" s="56"/>
      <c r="W619" s="56"/>
      <c r="X619" s="56"/>
      <c r="Y619" s="56"/>
      <c r="Z619" s="56"/>
      <c r="AA619" s="56"/>
      <c r="AB619" s="56"/>
    </row>
    <row x14ac:dyDescent="0.25" r="620" customHeight="1" ht="18.75">
      <c r="A620" s="56"/>
      <c r="B620" s="56"/>
      <c r="C620" s="50" t="s">
        <v>16</v>
      </c>
      <c r="D620" s="50"/>
      <c r="E620" s="50"/>
      <c r="F620" s="50" t="s">
        <v>94</v>
      </c>
      <c r="G620" s="55">
        <v>10000000</v>
      </c>
      <c r="H620" s="55"/>
      <c r="I620" s="55"/>
      <c r="J620" s="51">
        <v>800000</v>
      </c>
      <c r="K620" s="51"/>
      <c r="L620" s="52">
        <v>45813</v>
      </c>
      <c r="M620" s="53">
        <v>45752</v>
      </c>
      <c r="N620" s="50" t="s">
        <v>161</v>
      </c>
      <c r="O620" s="50" t="s">
        <v>2084</v>
      </c>
      <c r="P620" s="50" t="s">
        <v>94</v>
      </c>
      <c r="Q620" s="55" t="s">
        <v>2085</v>
      </c>
      <c r="R620" s="55" t="s">
        <v>2086</v>
      </c>
      <c r="S620" s="53">
        <v>46847</v>
      </c>
      <c r="T620" s="50" t="s">
        <v>95</v>
      </c>
      <c r="U620" s="50" t="s">
        <v>179</v>
      </c>
      <c r="V620" s="56"/>
      <c r="W620" s="56"/>
      <c r="X620" s="56"/>
      <c r="Y620" s="56"/>
      <c r="Z620" s="56"/>
      <c r="AA620" s="56"/>
      <c r="AB620" s="56"/>
    </row>
    <row x14ac:dyDescent="0.25" r="621" customHeight="1" ht="18.75">
      <c r="A621" s="71"/>
      <c r="B621" s="71"/>
      <c r="C621" s="72" t="s">
        <v>16</v>
      </c>
      <c r="D621" s="72"/>
      <c r="E621" s="72"/>
      <c r="F621" s="72" t="s">
        <v>2087</v>
      </c>
      <c r="G621" s="73"/>
      <c r="H621" s="73"/>
      <c r="I621" s="73"/>
      <c r="J621" s="74"/>
      <c r="K621" s="74"/>
      <c r="L621" s="75">
        <v>46034</v>
      </c>
      <c r="M621" s="76">
        <v>45973</v>
      </c>
      <c r="N621" s="72" t="s">
        <v>282</v>
      </c>
      <c r="O621" s="72" t="s">
        <v>2088</v>
      </c>
      <c r="P621" s="72" t="s">
        <v>2087</v>
      </c>
      <c r="Q621" s="73" t="s">
        <v>2089</v>
      </c>
      <c r="R621" s="73" t="s">
        <v>2090</v>
      </c>
      <c r="S621" s="76">
        <v>47068</v>
      </c>
      <c r="T621" s="72"/>
      <c r="U621" s="72"/>
      <c r="V621" s="71"/>
      <c r="W621" s="56"/>
      <c r="X621" s="56"/>
      <c r="Y621" s="56"/>
      <c r="Z621" s="56"/>
      <c r="AA621" s="56"/>
      <c r="AB621" s="56"/>
    </row>
    <row x14ac:dyDescent="0.25" r="622" customHeight="1" ht="18.75">
      <c r="A622" s="48" t="s">
        <v>275</v>
      </c>
      <c r="B622" s="48"/>
      <c r="C622" s="50" t="s">
        <v>16</v>
      </c>
      <c r="D622" s="50"/>
      <c r="E622" s="50"/>
      <c r="F622" s="50" t="s">
        <v>98</v>
      </c>
      <c r="G622" s="55">
        <v>20000000</v>
      </c>
      <c r="H622" s="55"/>
      <c r="I622" s="55"/>
      <c r="J622" s="51">
        <v>1528000</v>
      </c>
      <c r="K622" s="51"/>
      <c r="L622" s="52">
        <v>45748</v>
      </c>
      <c r="M622" s="53">
        <v>45689</v>
      </c>
      <c r="N622" s="50" t="s">
        <v>306</v>
      </c>
      <c r="O622" s="50" t="s">
        <v>2091</v>
      </c>
      <c r="P622" s="50" t="s">
        <v>98</v>
      </c>
      <c r="Q622" s="55" t="s">
        <v>2092</v>
      </c>
      <c r="R622" s="55" t="s">
        <v>2093</v>
      </c>
      <c r="S622" s="53">
        <v>46783</v>
      </c>
      <c r="T622" s="50"/>
      <c r="U622" s="50"/>
      <c r="V622" s="48" t="s">
        <v>3321</v>
      </c>
      <c r="W622" s="56"/>
      <c r="X622" s="56"/>
      <c r="Y622" s="56"/>
      <c r="Z622" s="56"/>
      <c r="AA622" s="56"/>
      <c r="AB622" s="56"/>
    </row>
    <row x14ac:dyDescent="0.25" r="623" customHeight="1" ht="18.75">
      <c r="A623" s="56"/>
      <c r="B623" s="56"/>
      <c r="C623" s="50" t="s">
        <v>16</v>
      </c>
      <c r="D623" s="50"/>
      <c r="E623" s="50"/>
      <c r="F623" s="50" t="s">
        <v>98</v>
      </c>
      <c r="G623" s="55">
        <v>20000000</v>
      </c>
      <c r="H623" s="55"/>
      <c r="I623" s="55"/>
      <c r="J623" s="51">
        <v>1528000</v>
      </c>
      <c r="K623" s="51"/>
      <c r="L623" s="52">
        <v>46113</v>
      </c>
      <c r="M623" s="53">
        <v>46054</v>
      </c>
      <c r="N623" s="50" t="s">
        <v>306</v>
      </c>
      <c r="O623" s="50" t="s">
        <v>2091</v>
      </c>
      <c r="P623" s="50" t="s">
        <v>98</v>
      </c>
      <c r="Q623" s="55" t="s">
        <v>2092</v>
      </c>
      <c r="R623" s="55" t="s">
        <v>2093</v>
      </c>
      <c r="S623" s="53">
        <v>47149</v>
      </c>
      <c r="T623" s="50"/>
      <c r="U623" s="50"/>
      <c r="V623" s="56"/>
      <c r="W623" s="56"/>
      <c r="X623" s="56"/>
      <c r="Y623" s="56"/>
      <c r="Z623" s="56"/>
      <c r="AA623" s="56"/>
      <c r="AB623" s="56"/>
    </row>
    <row x14ac:dyDescent="0.25" r="624" customHeight="1" ht="18.75">
      <c r="A624" s="71"/>
      <c r="B624" s="71"/>
      <c r="C624" s="72" t="s">
        <v>16</v>
      </c>
      <c r="D624" s="72"/>
      <c r="E624" s="72" t="s">
        <v>97</v>
      </c>
      <c r="F624" s="72" t="s">
        <v>98</v>
      </c>
      <c r="G624" s="73">
        <v>20000000</v>
      </c>
      <c r="H624" s="73"/>
      <c r="I624" s="73"/>
      <c r="J624" s="88"/>
      <c r="K624" s="88"/>
      <c r="L624" s="75">
        <v>46113</v>
      </c>
      <c r="M624" s="76">
        <v>46054</v>
      </c>
      <c r="N624" s="72" t="s">
        <v>217</v>
      </c>
      <c r="O624" s="72" t="s">
        <v>2091</v>
      </c>
      <c r="P624" s="72" t="s">
        <v>98</v>
      </c>
      <c r="Q624" s="73" t="s">
        <v>3322</v>
      </c>
      <c r="R624" s="73" t="s">
        <v>3323</v>
      </c>
      <c r="S624" s="76">
        <v>47149</v>
      </c>
      <c r="T624" s="72"/>
      <c r="U624" s="72" t="s">
        <v>166</v>
      </c>
      <c r="V624" s="71" t="s">
        <v>3324</v>
      </c>
      <c r="W624" s="56"/>
      <c r="X624" s="56"/>
      <c r="Y624" s="56"/>
      <c r="Z624" s="56"/>
      <c r="AA624" s="56"/>
      <c r="AB624" s="56"/>
    </row>
    <row x14ac:dyDescent="0.25" r="625" customHeight="1" ht="18.75">
      <c r="A625" s="56"/>
      <c r="B625" s="56"/>
      <c r="C625" s="50" t="s">
        <v>16</v>
      </c>
      <c r="D625" s="50"/>
      <c r="E625" s="50" t="s">
        <v>1305</v>
      </c>
      <c r="F625" s="50" t="s">
        <v>1448</v>
      </c>
      <c r="G625" s="55">
        <v>10000000</v>
      </c>
      <c r="H625" s="55"/>
      <c r="I625" s="55"/>
      <c r="J625" s="51">
        <v>1200000</v>
      </c>
      <c r="K625" s="51"/>
      <c r="L625" s="52">
        <v>46203</v>
      </c>
      <c r="M625" s="53">
        <v>46142</v>
      </c>
      <c r="N625" s="50" t="s">
        <v>168</v>
      </c>
      <c r="O625" s="50" t="s">
        <v>1449</v>
      </c>
      <c r="P625" s="50" t="s">
        <v>1448</v>
      </c>
      <c r="Q625" s="55" t="s">
        <v>1450</v>
      </c>
      <c r="R625" s="55" t="s">
        <v>1451</v>
      </c>
      <c r="S625" s="53">
        <v>47237</v>
      </c>
      <c r="T625" s="50"/>
      <c r="U625" s="50"/>
      <c r="V625" s="56"/>
      <c r="W625" s="56"/>
      <c r="X625" s="56"/>
      <c r="Y625" s="56"/>
      <c r="Z625" s="56"/>
      <c r="AA625" s="56"/>
      <c r="AB625" s="56"/>
    </row>
    <row x14ac:dyDescent="0.25" r="626" customHeight="1" ht="18.75">
      <c r="A626" s="56"/>
      <c r="B626" s="56"/>
      <c r="C626" s="50" t="s">
        <v>16</v>
      </c>
      <c r="D626" s="50" t="s">
        <v>143</v>
      </c>
      <c r="E626" s="50" t="s">
        <v>14</v>
      </c>
      <c r="F626" s="50" t="s">
        <v>1505</v>
      </c>
      <c r="G626" s="55">
        <v>10000000</v>
      </c>
      <c r="H626" s="55"/>
      <c r="I626" s="55"/>
      <c r="J626" s="51">
        <v>1200000</v>
      </c>
      <c r="K626" s="51"/>
      <c r="L626" s="52">
        <v>46203</v>
      </c>
      <c r="M626" s="53">
        <v>46142</v>
      </c>
      <c r="N626" s="50" t="s">
        <v>217</v>
      </c>
      <c r="O626" s="50" t="s">
        <v>1506</v>
      </c>
      <c r="P626" s="50" t="s">
        <v>1505</v>
      </c>
      <c r="Q626" s="55" t="s">
        <v>1507</v>
      </c>
      <c r="R626" s="55" t="s">
        <v>1508</v>
      </c>
      <c r="S626" s="53">
        <v>47237</v>
      </c>
      <c r="T626" s="50"/>
      <c r="U626" s="50"/>
      <c r="V626" s="56"/>
      <c r="W626" s="56"/>
      <c r="X626" s="56"/>
      <c r="Y626" s="56"/>
      <c r="Z626" s="56"/>
      <c r="AA626" s="56"/>
      <c r="AB626" s="56"/>
    </row>
    <row x14ac:dyDescent="0.25" r="627" customHeight="1" ht="18.75">
      <c r="A627" s="56"/>
      <c r="B627" s="56"/>
      <c r="C627" s="49" t="s">
        <v>16</v>
      </c>
      <c r="D627" s="50" t="s">
        <v>48</v>
      </c>
      <c r="E627" s="50" t="s">
        <v>117</v>
      </c>
      <c r="F627" s="50" t="s">
        <v>2670</v>
      </c>
      <c r="G627" s="51">
        <v>10000000</v>
      </c>
      <c r="H627" s="51"/>
      <c r="I627" s="51"/>
      <c r="J627" s="51">
        <v>1200000</v>
      </c>
      <c r="K627" s="51"/>
      <c r="L627" s="52">
        <v>46203</v>
      </c>
      <c r="M627" s="53">
        <f>IF(L627&gt;0,EDATE(L627,-2),"")</f>
        <v>25569.375</v>
      </c>
      <c r="N627" s="50" t="s">
        <v>239</v>
      </c>
      <c r="O627" s="50" t="s">
        <v>2671</v>
      </c>
      <c r="P627" s="54">
        <f>IF(F627&gt;0,F627,"")</f>
      </c>
      <c r="Q627" s="55" t="s">
        <v>2672</v>
      </c>
      <c r="R627" s="55">
        <v>85168758</v>
      </c>
      <c r="S627" s="53">
        <f>IF(ISNUMBER(M627), EDATE(M627,36)-1, "")</f>
        <v>25569.375</v>
      </c>
      <c r="T627" s="50"/>
      <c r="U627" s="50"/>
      <c r="V627" s="56"/>
      <c r="W627" s="56"/>
      <c r="X627" s="56"/>
      <c r="Y627" s="56"/>
      <c r="Z627" s="56"/>
      <c r="AA627" s="56"/>
      <c r="AB627" s="56"/>
    </row>
    <row x14ac:dyDescent="0.25" r="628" customHeight="1" ht="18.75">
      <c r="A628" s="56"/>
      <c r="B628" s="56"/>
      <c r="C628" s="50" t="s">
        <v>16</v>
      </c>
      <c r="D628" s="50"/>
      <c r="E628" s="50"/>
      <c r="F628" s="50" t="s">
        <v>2108</v>
      </c>
      <c r="G628" s="55">
        <v>10000000</v>
      </c>
      <c r="H628" s="55"/>
      <c r="I628" s="55"/>
      <c r="J628" s="51">
        <v>500000</v>
      </c>
      <c r="K628" s="51"/>
      <c r="L628" s="52">
        <v>46172</v>
      </c>
      <c r="M628" s="53">
        <v>46111</v>
      </c>
      <c r="N628" s="50" t="s">
        <v>239</v>
      </c>
      <c r="O628" s="50" t="s">
        <v>2109</v>
      </c>
      <c r="P628" s="50" t="s">
        <v>2108</v>
      </c>
      <c r="Q628" s="55" t="s">
        <v>2110</v>
      </c>
      <c r="R628" s="55" t="s">
        <v>2111</v>
      </c>
      <c r="S628" s="53">
        <v>47206</v>
      </c>
      <c r="T628" s="50" t="s">
        <v>2112</v>
      </c>
      <c r="U628" s="50" t="s">
        <v>166</v>
      </c>
      <c r="V628" s="56"/>
      <c r="W628" s="56"/>
      <c r="X628" s="56"/>
      <c r="Y628" s="56"/>
      <c r="Z628" s="56"/>
      <c r="AA628" s="56"/>
      <c r="AB628" s="56"/>
    </row>
    <row x14ac:dyDescent="0.25" r="629" customHeight="1" ht="18.75">
      <c r="A629" s="56"/>
      <c r="B629" s="56"/>
      <c r="C629" s="50" t="s">
        <v>16</v>
      </c>
      <c r="D629" s="50"/>
      <c r="E629" s="50"/>
      <c r="F629" s="50" t="s">
        <v>2113</v>
      </c>
      <c r="G629" s="55">
        <v>20000000</v>
      </c>
      <c r="H629" s="55"/>
      <c r="I629" s="55"/>
      <c r="J629" s="51">
        <v>1528000</v>
      </c>
      <c r="K629" s="51"/>
      <c r="L629" s="52">
        <v>46064</v>
      </c>
      <c r="M629" s="53">
        <v>46002</v>
      </c>
      <c r="N629" s="50" t="s">
        <v>239</v>
      </c>
      <c r="O629" s="50" t="s">
        <v>2114</v>
      </c>
      <c r="P629" s="50" t="s">
        <v>2113</v>
      </c>
      <c r="Q629" s="55" t="s">
        <v>2115</v>
      </c>
      <c r="R629" s="55" t="s">
        <v>2116</v>
      </c>
      <c r="S629" s="53">
        <v>47097</v>
      </c>
      <c r="T629" s="50"/>
      <c r="U629" s="50"/>
      <c r="V629" s="56"/>
      <c r="W629" s="56"/>
      <c r="X629" s="56"/>
      <c r="Y629" s="56"/>
      <c r="Z629" s="56"/>
      <c r="AA629" s="56"/>
      <c r="AB629" s="56"/>
    </row>
    <row x14ac:dyDescent="0.25" r="630" customHeight="1" ht="18.75">
      <c r="A630" s="56"/>
      <c r="B630" s="56"/>
      <c r="C630" s="50" t="s">
        <v>16</v>
      </c>
      <c r="D630" s="50"/>
      <c r="E630" s="50"/>
      <c r="F630" s="50" t="s">
        <v>2117</v>
      </c>
      <c r="G630" s="55">
        <v>10000000</v>
      </c>
      <c r="H630" s="55"/>
      <c r="I630" s="55"/>
      <c r="J630" s="51">
        <v>800000</v>
      </c>
      <c r="K630" s="51"/>
      <c r="L630" s="52">
        <v>46091</v>
      </c>
      <c r="M630" s="53">
        <v>45667</v>
      </c>
      <c r="N630" s="50" t="s">
        <v>205</v>
      </c>
      <c r="O630" s="50" t="s">
        <v>2118</v>
      </c>
      <c r="P630" s="50" t="s">
        <v>2117</v>
      </c>
      <c r="Q630" s="55" t="s">
        <v>2119</v>
      </c>
      <c r="R630" s="55" t="s">
        <v>2120</v>
      </c>
      <c r="S630" s="53">
        <v>47127</v>
      </c>
      <c r="T630" s="50"/>
      <c r="U630" s="50"/>
      <c r="V630" s="56"/>
      <c r="W630" s="56"/>
      <c r="X630" s="56"/>
      <c r="Y630" s="56"/>
      <c r="Z630" s="56"/>
      <c r="AA630" s="56"/>
      <c r="AB630" s="56"/>
    </row>
    <row x14ac:dyDescent="0.25" r="631" customHeight="1" ht="18.75">
      <c r="A631" s="56"/>
      <c r="B631" s="56"/>
      <c r="C631" s="50" t="s">
        <v>16</v>
      </c>
      <c r="D631" s="50"/>
      <c r="E631" s="50"/>
      <c r="F631" s="50" t="s">
        <v>1978</v>
      </c>
      <c r="G631" s="55">
        <v>10000000</v>
      </c>
      <c r="H631" s="55"/>
      <c r="I631" s="55"/>
      <c r="J631" s="51">
        <v>800000</v>
      </c>
      <c r="K631" s="51"/>
      <c r="L631" s="52">
        <v>46081</v>
      </c>
      <c r="M631" s="53">
        <v>46022</v>
      </c>
      <c r="N631" s="50" t="s">
        <v>168</v>
      </c>
      <c r="O631" s="50" t="s">
        <v>2121</v>
      </c>
      <c r="P631" s="50" t="s">
        <v>1978</v>
      </c>
      <c r="Q631" s="55" t="s">
        <v>2122</v>
      </c>
      <c r="R631" s="55" t="s">
        <v>2123</v>
      </c>
      <c r="S631" s="53">
        <v>47117</v>
      </c>
      <c r="T631" s="50"/>
      <c r="U631" s="50"/>
      <c r="V631" s="56"/>
      <c r="W631" s="56"/>
      <c r="X631" s="56"/>
      <c r="Y631" s="56"/>
      <c r="Z631" s="56"/>
      <c r="AA631" s="56"/>
      <c r="AB631" s="56"/>
    </row>
    <row x14ac:dyDescent="0.25" r="632" customHeight="1" ht="18.75">
      <c r="A632" s="56"/>
      <c r="B632" s="56"/>
      <c r="C632" s="50" t="s">
        <v>16</v>
      </c>
      <c r="D632" s="50"/>
      <c r="E632" s="50"/>
      <c r="F632" s="50" t="s">
        <v>2124</v>
      </c>
      <c r="G632" s="55">
        <v>20000000</v>
      </c>
      <c r="H632" s="55"/>
      <c r="I632" s="55"/>
      <c r="J632" s="51">
        <v>1528000</v>
      </c>
      <c r="K632" s="51"/>
      <c r="L632" s="52">
        <v>46015</v>
      </c>
      <c r="M632" s="53">
        <v>45954</v>
      </c>
      <c r="N632" s="50" t="s">
        <v>155</v>
      </c>
      <c r="O632" s="50" t="s">
        <v>2125</v>
      </c>
      <c r="P632" s="50" t="s">
        <v>2124</v>
      </c>
      <c r="Q632" s="55" t="s">
        <v>2126</v>
      </c>
      <c r="R632" s="55" t="s">
        <v>2127</v>
      </c>
      <c r="S632" s="53">
        <v>47049</v>
      </c>
      <c r="T632" s="50"/>
      <c r="U632" s="50"/>
      <c r="V632" s="56"/>
      <c r="W632" s="56"/>
      <c r="X632" s="56"/>
      <c r="Y632" s="56"/>
      <c r="Z632" s="56"/>
      <c r="AA632" s="56"/>
      <c r="AB632" s="56"/>
    </row>
    <row x14ac:dyDescent="0.25" r="633" customHeight="1" ht="18.75">
      <c r="A633" s="56"/>
      <c r="B633" s="56"/>
      <c r="C633" s="50" t="s">
        <v>16</v>
      </c>
      <c r="D633" s="50"/>
      <c r="E633" s="50"/>
      <c r="F633" s="50" t="s">
        <v>2128</v>
      </c>
      <c r="G633" s="55">
        <v>30000000</v>
      </c>
      <c r="H633" s="55"/>
      <c r="I633" s="55"/>
      <c r="J633" s="51">
        <v>2400000</v>
      </c>
      <c r="K633" s="51"/>
      <c r="L633" s="52">
        <v>45930</v>
      </c>
      <c r="M633" s="53">
        <v>45848</v>
      </c>
      <c r="N633" s="50" t="s">
        <v>182</v>
      </c>
      <c r="O633" s="50" t="s">
        <v>2129</v>
      </c>
      <c r="P633" s="50" t="s">
        <v>2128</v>
      </c>
      <c r="Q633" s="55" t="s">
        <v>2130</v>
      </c>
      <c r="R633" s="55" t="s">
        <v>2131</v>
      </c>
      <c r="S633" s="53">
        <v>46943</v>
      </c>
      <c r="T633" s="50"/>
      <c r="U633" s="50"/>
      <c r="V633" s="56"/>
      <c r="W633" s="56"/>
      <c r="X633" s="56"/>
      <c r="Y633" s="56"/>
      <c r="Z633" s="56"/>
      <c r="AA633" s="56"/>
      <c r="AB633" s="56"/>
    </row>
    <row x14ac:dyDescent="0.25" r="634" customHeight="1" ht="18.75">
      <c r="A634" s="56"/>
      <c r="B634" s="56"/>
      <c r="C634" s="50" t="s">
        <v>16</v>
      </c>
      <c r="D634" s="50"/>
      <c r="E634" s="50"/>
      <c r="F634" s="50" t="s">
        <v>2128</v>
      </c>
      <c r="G634" s="55">
        <v>10000000</v>
      </c>
      <c r="H634" s="55"/>
      <c r="I634" s="55"/>
      <c r="J634" s="51">
        <v>800000</v>
      </c>
      <c r="K634" s="51"/>
      <c r="L634" s="52">
        <v>46016</v>
      </c>
      <c r="M634" s="53">
        <v>45955</v>
      </c>
      <c r="N634" s="50" t="s">
        <v>302</v>
      </c>
      <c r="O634" s="50" t="s">
        <v>2132</v>
      </c>
      <c r="P634" s="50" t="s">
        <v>2128</v>
      </c>
      <c r="Q634" s="55" t="s">
        <v>2133</v>
      </c>
      <c r="R634" s="55" t="s">
        <v>2134</v>
      </c>
      <c r="S634" s="53">
        <v>47050</v>
      </c>
      <c r="T634" s="50"/>
      <c r="U634" s="50"/>
      <c r="V634" s="56"/>
      <c r="W634" s="56"/>
      <c r="X634" s="56"/>
      <c r="Y634" s="56"/>
      <c r="Z634" s="56"/>
      <c r="AA634" s="56"/>
      <c r="AB634" s="56"/>
    </row>
    <row x14ac:dyDescent="0.25" r="635" customHeight="1" ht="18.75">
      <c r="A635" s="56"/>
      <c r="B635" s="56"/>
      <c r="C635" s="50" t="s">
        <v>16</v>
      </c>
      <c r="D635" s="50"/>
      <c r="E635" s="50"/>
      <c r="F635" s="50" t="s">
        <v>2135</v>
      </c>
      <c r="G635" s="55">
        <v>20000000</v>
      </c>
      <c r="H635" s="55"/>
      <c r="I635" s="55"/>
      <c r="J635" s="51">
        <v>1528000</v>
      </c>
      <c r="K635" s="51"/>
      <c r="L635" s="52">
        <v>46093</v>
      </c>
      <c r="M635" s="53">
        <v>46022</v>
      </c>
      <c r="N635" s="50" t="s">
        <v>699</v>
      </c>
      <c r="O635" s="50" t="s">
        <v>2136</v>
      </c>
      <c r="P635" s="50" t="s">
        <v>2135</v>
      </c>
      <c r="Q635" s="55" t="s">
        <v>2137</v>
      </c>
      <c r="R635" s="55" t="s">
        <v>2138</v>
      </c>
      <c r="S635" s="53">
        <v>47129</v>
      </c>
      <c r="T635" s="50"/>
      <c r="U635" s="50"/>
      <c r="V635" s="56"/>
      <c r="W635" s="56"/>
      <c r="X635" s="56"/>
      <c r="Y635" s="56"/>
      <c r="Z635" s="56"/>
      <c r="AA635" s="56"/>
      <c r="AB635" s="56"/>
    </row>
    <row x14ac:dyDescent="0.25" r="636" customHeight="1" ht="18.75">
      <c r="A636" s="71"/>
      <c r="B636" s="71"/>
      <c r="C636" s="72" t="s">
        <v>16</v>
      </c>
      <c r="D636" s="72" t="s">
        <v>410</v>
      </c>
      <c r="E636" s="72" t="s">
        <v>534</v>
      </c>
      <c r="F636" s="72" t="s">
        <v>2139</v>
      </c>
      <c r="G636" s="74">
        <v>30000000</v>
      </c>
      <c r="H636" s="74"/>
      <c r="I636" s="74"/>
      <c r="J636" s="74">
        <v>2028000</v>
      </c>
      <c r="K636" s="74"/>
      <c r="L636" s="75">
        <v>46191</v>
      </c>
      <c r="M636" s="76">
        <v>46099</v>
      </c>
      <c r="N636" s="72" t="s">
        <v>302</v>
      </c>
      <c r="O636" s="72" t="s">
        <v>2140</v>
      </c>
      <c r="P636" s="96">
        <f>IF(F636&gt;0,F636,"")</f>
      </c>
      <c r="Q636" s="73">
        <v>7409032481616</v>
      </c>
      <c r="R636" s="73">
        <v>90741734</v>
      </c>
      <c r="S636" s="76">
        <f>IF(ISNUMBER(M636), EDATE(M636,36)-1, "")</f>
        <v>25569.375</v>
      </c>
      <c r="T636" s="72"/>
      <c r="U636" s="72"/>
      <c r="V636" s="71" t="s">
        <v>3325</v>
      </c>
      <c r="W636" s="56"/>
      <c r="X636" s="56"/>
      <c r="Y636" s="56"/>
      <c r="Z636" s="56"/>
      <c r="AA636" s="56"/>
      <c r="AB636" s="56"/>
    </row>
    <row x14ac:dyDescent="0.25" r="637" customHeight="1" ht="18.75">
      <c r="A637" s="56"/>
      <c r="B637" s="56"/>
      <c r="C637" s="50" t="s">
        <v>16</v>
      </c>
      <c r="D637" s="50" t="s">
        <v>410</v>
      </c>
      <c r="E637" s="50" t="s">
        <v>534</v>
      </c>
      <c r="F637" s="50" t="s">
        <v>2139</v>
      </c>
      <c r="G637" s="51">
        <v>30000000</v>
      </c>
      <c r="H637" s="51"/>
      <c r="I637" s="51"/>
      <c r="J637" s="51">
        <v>2028000</v>
      </c>
      <c r="K637" s="51"/>
      <c r="L637" s="52">
        <v>46160</v>
      </c>
      <c r="M637" s="53">
        <f>IF(L637&gt;0,EDATE(L637,-2),"")</f>
        <v>25569.375</v>
      </c>
      <c r="N637" s="50" t="s">
        <v>302</v>
      </c>
      <c r="O637" s="50" t="s">
        <v>2140</v>
      </c>
      <c r="P637" s="54">
        <f>IF(F637&gt;0,F637,"")</f>
      </c>
      <c r="Q637" s="55">
        <v>7409032481616</v>
      </c>
      <c r="R637" s="55">
        <v>90741734</v>
      </c>
      <c r="S637" s="53">
        <f>IF(ISNUMBER(M637), EDATE(M637,36)-1, "")</f>
        <v>25569.375</v>
      </c>
      <c r="T637" s="50"/>
      <c r="U637" s="50"/>
      <c r="V637" s="50"/>
      <c r="W637" s="56"/>
      <c r="X637" s="56"/>
      <c r="Y637" s="56"/>
      <c r="Z637" s="56"/>
      <c r="AA637" s="56"/>
      <c r="AB637" s="56"/>
    </row>
    <row x14ac:dyDescent="0.25" r="638" customHeight="1" ht="18.75">
      <c r="A638" s="56"/>
      <c r="B638" s="56"/>
      <c r="C638" s="50" t="s">
        <v>16</v>
      </c>
      <c r="D638" s="50"/>
      <c r="E638" s="50"/>
      <c r="F638" s="50" t="s">
        <v>2142</v>
      </c>
      <c r="G638" s="55">
        <v>20000000</v>
      </c>
      <c r="H638" s="55"/>
      <c r="I638" s="55"/>
      <c r="J638" s="51">
        <v>1528000</v>
      </c>
      <c r="K638" s="51"/>
      <c r="L638" s="52">
        <v>45985</v>
      </c>
      <c r="M638" s="53">
        <v>45924</v>
      </c>
      <c r="N638" s="50" t="s">
        <v>217</v>
      </c>
      <c r="O638" s="50" t="s">
        <v>2143</v>
      </c>
      <c r="P638" s="50" t="s">
        <v>2142</v>
      </c>
      <c r="Q638" s="55" t="s">
        <v>2144</v>
      </c>
      <c r="R638" s="55" t="s">
        <v>2145</v>
      </c>
      <c r="S638" s="53">
        <v>47019</v>
      </c>
      <c r="T638" s="50"/>
      <c r="U638" s="50"/>
      <c r="V638" s="56"/>
      <c r="W638" s="56"/>
      <c r="X638" s="56"/>
      <c r="Y638" s="56"/>
      <c r="Z638" s="56"/>
      <c r="AA638" s="56"/>
      <c r="AB638" s="56"/>
    </row>
    <row x14ac:dyDescent="0.25" r="639" customHeight="1" ht="18.75">
      <c r="A639" s="56"/>
      <c r="B639" s="56"/>
      <c r="C639" s="50" t="s">
        <v>16</v>
      </c>
      <c r="D639" s="50"/>
      <c r="E639" s="50"/>
      <c r="F639" s="50" t="s">
        <v>2146</v>
      </c>
      <c r="G639" s="55">
        <v>30000000</v>
      </c>
      <c r="H639" s="55"/>
      <c r="I639" s="55"/>
      <c r="J639" s="51">
        <v>2028000</v>
      </c>
      <c r="K639" s="51"/>
      <c r="L639" s="52">
        <v>46166</v>
      </c>
      <c r="M639" s="53">
        <v>46105</v>
      </c>
      <c r="N639" s="50" t="s">
        <v>580</v>
      </c>
      <c r="O639" s="50" t="s">
        <v>2147</v>
      </c>
      <c r="P639" s="50" t="s">
        <v>2146</v>
      </c>
      <c r="Q639" s="55" t="s">
        <v>2148</v>
      </c>
      <c r="R639" s="55" t="s">
        <v>2149</v>
      </c>
      <c r="S639" s="53">
        <v>47200</v>
      </c>
      <c r="T639" s="50" t="s">
        <v>2150</v>
      </c>
      <c r="U639" s="50" t="s">
        <v>166</v>
      </c>
      <c r="V639" s="48" t="s">
        <v>418</v>
      </c>
      <c r="W639" s="56"/>
      <c r="X639" s="56"/>
      <c r="Y639" s="56"/>
      <c r="Z639" s="56"/>
      <c r="AA639" s="56"/>
      <c r="AB639" s="56"/>
    </row>
    <row x14ac:dyDescent="0.25" r="640" customHeight="1" ht="18.75">
      <c r="A640" s="56"/>
      <c r="B640" s="56"/>
      <c r="C640" s="50" t="s">
        <v>16</v>
      </c>
      <c r="D640" s="50" t="s">
        <v>55</v>
      </c>
      <c r="E640" s="50" t="s">
        <v>56</v>
      </c>
      <c r="F640" s="50" t="s">
        <v>127</v>
      </c>
      <c r="G640" s="55">
        <v>20000000</v>
      </c>
      <c r="H640" s="55"/>
      <c r="I640" s="55"/>
      <c r="J640" s="51">
        <v>1528000</v>
      </c>
      <c r="K640" s="51"/>
      <c r="L640" s="52">
        <v>46205</v>
      </c>
      <c r="M640" s="53">
        <v>46142</v>
      </c>
      <c r="N640" s="50" t="s">
        <v>217</v>
      </c>
      <c r="O640" s="50" t="s">
        <v>2380</v>
      </c>
      <c r="P640" s="50" t="s">
        <v>56</v>
      </c>
      <c r="Q640" s="55" t="s">
        <v>2800</v>
      </c>
      <c r="R640" s="55" t="s">
        <v>2801</v>
      </c>
      <c r="S640" s="53">
        <v>47237</v>
      </c>
      <c r="T640" s="50" t="s">
        <v>2802</v>
      </c>
      <c r="U640" s="50"/>
      <c r="V640" s="56"/>
      <c r="W640" s="56"/>
      <c r="X640" s="56"/>
      <c r="Y640" s="56"/>
      <c r="Z640" s="56"/>
      <c r="AA640" s="56"/>
      <c r="AB640" s="56"/>
    </row>
    <row x14ac:dyDescent="0.25" r="641" customHeight="1" ht="18.75">
      <c r="A641" s="56"/>
      <c r="B641" s="56"/>
      <c r="C641" s="50" t="s">
        <v>16</v>
      </c>
      <c r="D641" s="50"/>
      <c r="E641" s="50"/>
      <c r="F641" s="50" t="s">
        <v>2156</v>
      </c>
      <c r="G641" s="55">
        <v>10000000</v>
      </c>
      <c r="H641" s="55"/>
      <c r="I641" s="55"/>
      <c r="J641" s="51">
        <v>800000</v>
      </c>
      <c r="K641" s="51"/>
      <c r="L641" s="52">
        <v>46156</v>
      </c>
      <c r="M641" s="53">
        <v>46095</v>
      </c>
      <c r="N641" s="50" t="s">
        <v>205</v>
      </c>
      <c r="O641" s="50" t="s">
        <v>711</v>
      </c>
      <c r="P641" s="50" t="s">
        <v>2156</v>
      </c>
      <c r="Q641" s="55" t="s">
        <v>2157</v>
      </c>
      <c r="R641" s="55" t="s">
        <v>2158</v>
      </c>
      <c r="S641" s="53">
        <v>47190</v>
      </c>
      <c r="T641" s="50" t="s">
        <v>2159</v>
      </c>
      <c r="U641" s="50" t="s">
        <v>166</v>
      </c>
      <c r="V641" s="56"/>
      <c r="W641" s="56"/>
      <c r="X641" s="56"/>
      <c r="Y641" s="56"/>
      <c r="Z641" s="56"/>
      <c r="AA641" s="56"/>
      <c r="AB641" s="56"/>
    </row>
    <row x14ac:dyDescent="0.25" r="642" customHeight="1" ht="18.75">
      <c r="A642" s="48" t="s">
        <v>152</v>
      </c>
      <c r="B642" s="48"/>
      <c r="C642" s="49" t="s">
        <v>16</v>
      </c>
      <c r="D642" s="50" t="s">
        <v>153</v>
      </c>
      <c r="E642" s="50" t="s">
        <v>154</v>
      </c>
      <c r="F642" s="50" t="s">
        <v>2156</v>
      </c>
      <c r="G642" s="51">
        <v>60000000</v>
      </c>
      <c r="H642" s="51"/>
      <c r="I642" s="51"/>
      <c r="J642" s="87">
        <f>IF(G642&gt;0,_xludf.IFS(G642=10000000,800000,G642=20000000,1528000,G642=30000000,2028000,G642=60000000,4056000),"")</f>
      </c>
      <c r="K642" s="51"/>
      <c r="L642" s="52">
        <v>46156</v>
      </c>
      <c r="M642" s="53">
        <f>IF(L642&gt;0,EDATE(L642,-2),"")</f>
        <v>25569.375</v>
      </c>
      <c r="N642" s="50" t="s">
        <v>205</v>
      </c>
      <c r="O642" s="50" t="s">
        <v>711</v>
      </c>
      <c r="P642" s="50" t="s">
        <v>2156</v>
      </c>
      <c r="Q642" s="55" t="s">
        <v>2157</v>
      </c>
      <c r="R642" s="55" t="s">
        <v>2158</v>
      </c>
      <c r="S642" s="53">
        <f>IF(ISNUMBER(M642), EDATE(M642,36)-1, "")</f>
        <v>25569.375</v>
      </c>
      <c r="T642" s="50"/>
      <c r="U642" s="50"/>
      <c r="V642" s="48" t="s">
        <v>2161</v>
      </c>
      <c r="W642" s="56"/>
      <c r="X642" s="56"/>
      <c r="Y642" s="56"/>
      <c r="Z642" s="56"/>
      <c r="AA642" s="56"/>
      <c r="AB642" s="56"/>
    </row>
    <row x14ac:dyDescent="0.25" r="643" customHeight="1" ht="18.75">
      <c r="A643" s="63" t="s">
        <v>152</v>
      </c>
      <c r="B643" s="63"/>
      <c r="C643" s="49" t="s">
        <v>16</v>
      </c>
      <c r="D643" s="49" t="s">
        <v>143</v>
      </c>
      <c r="E643" s="49" t="s">
        <v>22</v>
      </c>
      <c r="F643" s="49" t="s">
        <v>3110</v>
      </c>
      <c r="G643" s="64">
        <v>20000000</v>
      </c>
      <c r="H643" s="64"/>
      <c r="I643" s="64"/>
      <c r="J643" s="64">
        <v>1800000</v>
      </c>
      <c r="K643" s="64"/>
      <c r="L643" s="66">
        <v>46203</v>
      </c>
      <c r="M643" s="67">
        <f>IF(L643&gt;0,EDATE(L643,-2),"")</f>
        <v>25569.375</v>
      </c>
      <c r="N643" s="49" t="s">
        <v>155</v>
      </c>
      <c r="O643" s="49" t="s">
        <v>3111</v>
      </c>
      <c r="P643" s="68">
        <f>IF(F643&gt;0,F643,"")</f>
      </c>
      <c r="Q643" s="69" t="s">
        <v>3112</v>
      </c>
      <c r="R643" s="69">
        <v>62919208</v>
      </c>
      <c r="S643" s="67">
        <f>IF(ISNUMBER(M643), EDATE(M643,36)-1, "")</f>
        <v>25569.375</v>
      </c>
      <c r="T643" s="49"/>
      <c r="U643" s="49"/>
      <c r="V643" s="63" t="s">
        <v>3113</v>
      </c>
      <c r="W643" s="56"/>
      <c r="X643" s="56"/>
      <c r="Y643" s="56"/>
      <c r="Z643" s="56"/>
      <c r="AA643" s="56"/>
      <c r="AB643" s="56"/>
    </row>
    <row x14ac:dyDescent="0.25" r="644" customHeight="1" ht="18.75">
      <c r="A644" s="56"/>
      <c r="B644" s="56"/>
      <c r="C644" s="50" t="s">
        <v>16</v>
      </c>
      <c r="D644" s="50"/>
      <c r="E644" s="50"/>
      <c r="F644" s="50" t="s">
        <v>2164</v>
      </c>
      <c r="G644" s="55">
        <v>20000000</v>
      </c>
      <c r="H644" s="55"/>
      <c r="I644" s="55"/>
      <c r="J644" s="51">
        <v>1528000</v>
      </c>
      <c r="K644" s="51"/>
      <c r="L644" s="52">
        <v>46051</v>
      </c>
      <c r="M644" s="53">
        <v>45990</v>
      </c>
      <c r="N644" s="50" t="s">
        <v>222</v>
      </c>
      <c r="O644" s="50" t="s">
        <v>2165</v>
      </c>
      <c r="P644" s="50" t="s">
        <v>2164</v>
      </c>
      <c r="Q644" s="55" t="s">
        <v>2166</v>
      </c>
      <c r="R644" s="55" t="s">
        <v>2167</v>
      </c>
      <c r="S644" s="53">
        <v>47085</v>
      </c>
      <c r="T644" s="50"/>
      <c r="U644" s="50"/>
      <c r="V644" s="56"/>
      <c r="W644" s="56"/>
      <c r="X644" s="56"/>
      <c r="Y644" s="56"/>
      <c r="Z644" s="56"/>
      <c r="AA644" s="56"/>
      <c r="AB644" s="56"/>
    </row>
    <row x14ac:dyDescent="0.25" r="645" customHeight="1" ht="18.75">
      <c r="A645" s="56"/>
      <c r="B645" s="56"/>
      <c r="C645" s="50" t="s">
        <v>16</v>
      </c>
      <c r="D645" s="50"/>
      <c r="E645" s="50" t="s">
        <v>18</v>
      </c>
      <c r="F645" s="50" t="s">
        <v>99</v>
      </c>
      <c r="G645" s="55">
        <v>30000000</v>
      </c>
      <c r="H645" s="55"/>
      <c r="I645" s="55"/>
      <c r="J645" s="51">
        <v>2400000</v>
      </c>
      <c r="K645" s="51"/>
      <c r="L645" s="52">
        <v>45636</v>
      </c>
      <c r="M645" s="53">
        <v>45575</v>
      </c>
      <c r="N645" s="50" t="s">
        <v>217</v>
      </c>
      <c r="O645" s="50" t="s">
        <v>2168</v>
      </c>
      <c r="P645" s="50" t="s">
        <v>99</v>
      </c>
      <c r="Q645" s="55" t="s">
        <v>2169</v>
      </c>
      <c r="R645" s="55" t="s">
        <v>2170</v>
      </c>
      <c r="S645" s="53">
        <v>46669</v>
      </c>
      <c r="T645" s="50"/>
      <c r="U645" s="50"/>
      <c r="V645" s="56"/>
      <c r="W645" s="56"/>
      <c r="X645" s="56"/>
      <c r="Y645" s="56"/>
      <c r="Z645" s="56"/>
      <c r="AA645" s="56"/>
      <c r="AB645" s="56"/>
    </row>
    <row x14ac:dyDescent="0.25" r="646" customHeight="1" ht="18.75">
      <c r="A646" s="56"/>
      <c r="B646" s="56"/>
      <c r="C646" s="50" t="s">
        <v>16</v>
      </c>
      <c r="D646" s="50" t="s">
        <v>627</v>
      </c>
      <c r="E646" s="50"/>
      <c r="F646" s="50" t="s">
        <v>1011</v>
      </c>
      <c r="G646" s="55">
        <v>10000000</v>
      </c>
      <c r="H646" s="55"/>
      <c r="I646" s="55"/>
      <c r="J646" s="51">
        <v>1200000</v>
      </c>
      <c r="K646" s="51"/>
      <c r="L646" s="52">
        <v>46205</v>
      </c>
      <c r="M646" s="53">
        <v>46144</v>
      </c>
      <c r="N646" s="50" t="s">
        <v>239</v>
      </c>
      <c r="O646" s="50" t="s">
        <v>1012</v>
      </c>
      <c r="P646" s="50" t="s">
        <v>1011</v>
      </c>
      <c r="Q646" s="55" t="s">
        <v>1013</v>
      </c>
      <c r="R646" s="55" t="s">
        <v>1014</v>
      </c>
      <c r="S646" s="53">
        <v>47239</v>
      </c>
      <c r="T646" s="50" t="s">
        <v>1015</v>
      </c>
      <c r="U646" s="50"/>
      <c r="V646" s="56"/>
      <c r="W646" s="56"/>
      <c r="X646" s="56"/>
      <c r="Y646" s="56"/>
      <c r="Z646" s="56"/>
      <c r="AA646" s="56"/>
      <c r="AB646" s="56"/>
    </row>
    <row x14ac:dyDescent="0.25" r="647" customHeight="1" ht="18.75">
      <c r="A647" s="63"/>
      <c r="B647" s="63"/>
      <c r="C647" s="49" t="s">
        <v>16</v>
      </c>
      <c r="D647" s="49"/>
      <c r="E647" s="49" t="s">
        <v>357</v>
      </c>
      <c r="F647" s="49" t="s">
        <v>2775</v>
      </c>
      <c r="G647" s="64">
        <v>10000000</v>
      </c>
      <c r="H647" s="64"/>
      <c r="I647" s="64"/>
      <c r="J647" s="64">
        <v>1200000</v>
      </c>
      <c r="K647" s="64"/>
      <c r="L647" s="66">
        <v>46205</v>
      </c>
      <c r="M647" s="67">
        <f>IF(L647&gt;0,EDATE(L647,-2),"")</f>
        <v>25569.375</v>
      </c>
      <c r="N647" s="49" t="s">
        <v>379</v>
      </c>
      <c r="O647" s="49" t="s">
        <v>2776</v>
      </c>
      <c r="P647" s="68">
        <f>IF(F647&gt;0,F647,"")</f>
      </c>
      <c r="Q647" s="69" t="s">
        <v>2777</v>
      </c>
      <c r="R647" s="69">
        <v>84279989</v>
      </c>
      <c r="S647" s="67">
        <f>IF(ISNUMBER(M647), EDATE(M647,36)-1, "")</f>
        <v>25569.375</v>
      </c>
      <c r="T647" s="49"/>
      <c r="U647" s="49"/>
      <c r="V647" s="63"/>
      <c r="W647" s="56"/>
      <c r="X647" s="56"/>
      <c r="Y647" s="56"/>
      <c r="Z647" s="56"/>
      <c r="AA647" s="56"/>
      <c r="AB647" s="56"/>
    </row>
    <row x14ac:dyDescent="0.25" r="648" customHeight="1" ht="18.75">
      <c r="A648" s="48" t="s">
        <v>275</v>
      </c>
      <c r="B648" s="48"/>
      <c r="C648" s="50" t="s">
        <v>16</v>
      </c>
      <c r="D648" s="50" t="s">
        <v>816</v>
      </c>
      <c r="E648" s="50" t="s">
        <v>114</v>
      </c>
      <c r="F648" s="50" t="s">
        <v>2176</v>
      </c>
      <c r="G648" s="55">
        <v>20000000</v>
      </c>
      <c r="H648" s="55"/>
      <c r="I648" s="55"/>
      <c r="J648" s="51">
        <v>1500000</v>
      </c>
      <c r="K648" s="51"/>
      <c r="L648" s="52">
        <v>46118</v>
      </c>
      <c r="M648" s="53">
        <v>46059</v>
      </c>
      <c r="N648" s="50" t="s">
        <v>168</v>
      </c>
      <c r="O648" s="50" t="s">
        <v>2177</v>
      </c>
      <c r="P648" s="50" t="s">
        <v>2176</v>
      </c>
      <c r="Q648" s="55" t="s">
        <v>2178</v>
      </c>
      <c r="R648" s="55" t="s">
        <v>2179</v>
      </c>
      <c r="S648" s="53">
        <v>47154</v>
      </c>
      <c r="T648" s="50"/>
      <c r="U648" s="50"/>
      <c r="V648" s="48" t="s">
        <v>2180</v>
      </c>
      <c r="W648" s="56"/>
      <c r="X648" s="56"/>
      <c r="Y648" s="56"/>
      <c r="Z648" s="56"/>
      <c r="AA648" s="56"/>
      <c r="AB648" s="56"/>
    </row>
    <row x14ac:dyDescent="0.25" r="649" customHeight="1" ht="18.75">
      <c r="A649" s="71"/>
      <c r="B649" s="71"/>
      <c r="C649" s="72" t="s">
        <v>16</v>
      </c>
      <c r="D649" s="72"/>
      <c r="E649" s="72" t="s">
        <v>1161</v>
      </c>
      <c r="F649" s="72" t="s">
        <v>2176</v>
      </c>
      <c r="G649" s="73">
        <v>10000000</v>
      </c>
      <c r="H649" s="73"/>
      <c r="I649" s="73"/>
      <c r="J649" s="88"/>
      <c r="K649" s="88"/>
      <c r="L649" s="75">
        <v>46118</v>
      </c>
      <c r="M649" s="76">
        <v>46059</v>
      </c>
      <c r="N649" s="72" t="s">
        <v>282</v>
      </c>
      <c r="O649" s="72" t="s">
        <v>2177</v>
      </c>
      <c r="P649" s="72" t="s">
        <v>2176</v>
      </c>
      <c r="Q649" s="73" t="s">
        <v>2178</v>
      </c>
      <c r="R649" s="73" t="s">
        <v>2179</v>
      </c>
      <c r="S649" s="76">
        <v>47154</v>
      </c>
      <c r="T649" s="72"/>
      <c r="U649" s="72" t="s">
        <v>166</v>
      </c>
      <c r="V649" s="71"/>
      <c r="W649" s="56"/>
      <c r="X649" s="56"/>
      <c r="Y649" s="56"/>
      <c r="Z649" s="56"/>
      <c r="AA649" s="56"/>
      <c r="AB649" s="56"/>
    </row>
    <row x14ac:dyDescent="0.25" r="650" customHeight="1" ht="18.75">
      <c r="A650" s="71"/>
      <c r="B650" s="71"/>
      <c r="C650" s="72" t="s">
        <v>16</v>
      </c>
      <c r="D650" s="72"/>
      <c r="E650" s="72"/>
      <c r="F650" s="72" t="s">
        <v>2181</v>
      </c>
      <c r="G650" s="55">
        <v>10000000</v>
      </c>
      <c r="H650" s="55"/>
      <c r="I650" s="55"/>
      <c r="J650" s="51">
        <v>800000</v>
      </c>
      <c r="K650" s="51"/>
      <c r="L650" s="75">
        <v>46166</v>
      </c>
      <c r="M650" s="76">
        <v>46105</v>
      </c>
      <c r="N650" s="72" t="s">
        <v>205</v>
      </c>
      <c r="O650" s="72" t="s">
        <v>711</v>
      </c>
      <c r="P650" s="72" t="s">
        <v>2181</v>
      </c>
      <c r="Q650" s="73" t="s">
        <v>2182</v>
      </c>
      <c r="R650" s="73" t="s">
        <v>2183</v>
      </c>
      <c r="S650" s="76">
        <v>47200</v>
      </c>
      <c r="T650" s="72" t="s">
        <v>2184</v>
      </c>
      <c r="U650" s="72"/>
      <c r="V650" s="71" t="s">
        <v>1856</v>
      </c>
      <c r="W650" s="56"/>
      <c r="X650" s="56"/>
      <c r="Y650" s="56"/>
      <c r="Z650" s="56"/>
      <c r="AA650" s="56"/>
      <c r="AB650" s="56"/>
    </row>
    <row x14ac:dyDescent="0.25" r="651" customHeight="1" ht="18.75">
      <c r="A651" s="48" t="s">
        <v>275</v>
      </c>
      <c r="B651" s="48"/>
      <c r="C651" s="49" t="s">
        <v>16</v>
      </c>
      <c r="D651" s="50"/>
      <c r="E651" s="50"/>
      <c r="F651" s="50" t="s">
        <v>2181</v>
      </c>
      <c r="G651" s="51">
        <v>10000000</v>
      </c>
      <c r="H651" s="51"/>
      <c r="I651" s="51"/>
      <c r="J651" s="87">
        <f>IF(G651&gt;0,_xludf.IFS(G651=10000000,800000,G651=20000000,1528000,G651=30000000,2028000,G651=60000000,4056000),"")</f>
      </c>
      <c r="K651" s="51"/>
      <c r="L651" s="52">
        <v>46166</v>
      </c>
      <c r="M651" s="53">
        <f>IF(L651&gt;0,EDATE(L651,-2),"")</f>
        <v>25569.375</v>
      </c>
      <c r="N651" s="50" t="s">
        <v>205</v>
      </c>
      <c r="O651" s="50" t="s">
        <v>711</v>
      </c>
      <c r="P651" s="50" t="s">
        <v>2156</v>
      </c>
      <c r="Q651" s="55" t="s">
        <v>2182</v>
      </c>
      <c r="R651" s="55">
        <v>67515034</v>
      </c>
      <c r="S651" s="53">
        <f>IF(ISNUMBER(M651), EDATE(M651,36)-1, "")</f>
        <v>25569.375</v>
      </c>
      <c r="T651" s="50"/>
      <c r="U651" s="50"/>
      <c r="V651" s="48" t="s">
        <v>715</v>
      </c>
      <c r="W651" s="56"/>
      <c r="X651" s="56"/>
      <c r="Y651" s="56"/>
      <c r="Z651" s="56"/>
      <c r="AA651" s="56"/>
      <c r="AB651" s="56"/>
    </row>
    <row x14ac:dyDescent="0.25" r="652" customHeight="1" ht="18.75">
      <c r="A652" s="56"/>
      <c r="B652" s="56"/>
      <c r="C652" s="49" t="s">
        <v>16</v>
      </c>
      <c r="D652" s="50"/>
      <c r="E652" s="50"/>
      <c r="F652" s="50" t="s">
        <v>2185</v>
      </c>
      <c r="G652" s="51">
        <v>10000000</v>
      </c>
      <c r="H652" s="51"/>
      <c r="I652" s="51"/>
      <c r="J652" s="87">
        <f>IF(G652&gt;0,_xludf.IFS(G652=10000000,800000,G652=20000000,1528000,G652=30000000,2028000,G652=60000000,4056000),"")</f>
      </c>
      <c r="K652" s="51"/>
      <c r="L652" s="52">
        <v>46041</v>
      </c>
      <c r="M652" s="53">
        <f>IF(L652&gt;0,EDATE(L652,-2),"")</f>
        <v>25569.375</v>
      </c>
      <c r="N652" s="50" t="s">
        <v>205</v>
      </c>
      <c r="O652" s="50" t="s">
        <v>2186</v>
      </c>
      <c r="P652" s="54">
        <f>IF(F652&gt;0,F652,"")</f>
      </c>
      <c r="Q652" s="55" t="s">
        <v>2187</v>
      </c>
      <c r="R652" s="55">
        <v>24520756</v>
      </c>
      <c r="S652" s="53">
        <f>IF(ISNUMBER(M652), EDATE(M652,36)-1, "")</f>
        <v>25569.375</v>
      </c>
      <c r="T652" s="50"/>
      <c r="U652" s="50"/>
      <c r="V652" s="56"/>
      <c r="W652" s="56"/>
      <c r="X652" s="56"/>
      <c r="Y652" s="56"/>
      <c r="Z652" s="56"/>
      <c r="AA652" s="56"/>
      <c r="AB652" s="56"/>
    </row>
    <row x14ac:dyDescent="0.25" r="653" customHeight="1" ht="18.75">
      <c r="A653" s="63" t="s">
        <v>152</v>
      </c>
      <c r="B653" s="63"/>
      <c r="C653" s="49" t="s">
        <v>16</v>
      </c>
      <c r="D653" s="49" t="s">
        <v>55</v>
      </c>
      <c r="E653" s="49" t="s">
        <v>56</v>
      </c>
      <c r="F653" s="49" t="s">
        <v>1305</v>
      </c>
      <c r="G653" s="64">
        <v>20000000</v>
      </c>
      <c r="H653" s="64"/>
      <c r="I653" s="64"/>
      <c r="J653" s="65">
        <f>IF(G653&gt;0,_xludf.IFS(G653=10000000,800000,G653=20000000,1528000,G653=30000000,2028000,G653=60000000,4056000),"")</f>
      </c>
      <c r="K653" s="64"/>
      <c r="L653" s="66">
        <v>46209</v>
      </c>
      <c r="M653" s="67">
        <v>46146</v>
      </c>
      <c r="N653" s="49" t="s">
        <v>168</v>
      </c>
      <c r="O653" s="49" t="s">
        <v>1308</v>
      </c>
      <c r="P653" s="68">
        <f>IF(F653&gt;0,F653,"")</f>
      </c>
      <c r="Q653" s="69" t="s">
        <v>1309</v>
      </c>
      <c r="R653" s="69">
        <v>87852273</v>
      </c>
      <c r="S653" s="67">
        <f>IF(ISNUMBER(M653), EDATE(M653,36)-1, "")</f>
        <v>25569.375</v>
      </c>
      <c r="T653" s="49"/>
      <c r="U653" s="49"/>
      <c r="V653" s="63" t="s">
        <v>1310</v>
      </c>
      <c r="W653" s="56"/>
      <c r="X653" s="56"/>
      <c r="Y653" s="56"/>
      <c r="Z653" s="56"/>
      <c r="AA653" s="56"/>
      <c r="AB653" s="56"/>
    </row>
    <row x14ac:dyDescent="0.25" r="654" customHeight="1" ht="18.75">
      <c r="A654" s="63"/>
      <c r="B654" s="63"/>
      <c r="C654" s="49" t="s">
        <v>16</v>
      </c>
      <c r="D654" s="49" t="s">
        <v>48</v>
      </c>
      <c r="E654" s="49" t="s">
        <v>117</v>
      </c>
      <c r="F654" s="49" t="s">
        <v>1596</v>
      </c>
      <c r="G654" s="64">
        <v>10000000</v>
      </c>
      <c r="H654" s="64"/>
      <c r="I654" s="64"/>
      <c r="J654" s="65">
        <f>IF(G654&gt;0,_xludf.IFS(G654=10000000,800000,G654=20000000,1528000,G654=30000000,2028000,G654=60000000,4056000),"")</f>
      </c>
      <c r="K654" s="64"/>
      <c r="L654" s="66">
        <v>46177</v>
      </c>
      <c r="M654" s="67">
        <v>46146</v>
      </c>
      <c r="N654" s="49" t="s">
        <v>239</v>
      </c>
      <c r="O654" s="49" t="s">
        <v>1597</v>
      </c>
      <c r="P654" s="68">
        <f>IF(F654&gt;0,F654,"")</f>
      </c>
      <c r="Q654" s="69" t="s">
        <v>1598</v>
      </c>
      <c r="R654" s="69">
        <v>55834758</v>
      </c>
      <c r="S654" s="67">
        <v>47241</v>
      </c>
      <c r="T654" s="49"/>
      <c r="U654" s="49"/>
      <c r="V654" s="63"/>
      <c r="W654" s="56"/>
      <c r="X654" s="56"/>
      <c r="Y654" s="56"/>
      <c r="Z654" s="56"/>
      <c r="AA654" s="56"/>
      <c r="AB654" s="56"/>
    </row>
    <row x14ac:dyDescent="0.25" r="655" customHeight="1" ht="18.75">
      <c r="A655" s="56"/>
      <c r="B655" s="56"/>
      <c r="C655" s="50" t="s">
        <v>16</v>
      </c>
      <c r="D655" s="50"/>
      <c r="E655" s="50"/>
      <c r="F655" s="50" t="s">
        <v>2190</v>
      </c>
      <c r="G655" s="55">
        <v>10000000</v>
      </c>
      <c r="H655" s="55"/>
      <c r="I655" s="55"/>
      <c r="J655" s="51">
        <v>800000</v>
      </c>
      <c r="K655" s="51"/>
      <c r="L655" s="52">
        <v>46029</v>
      </c>
      <c r="M655" s="53">
        <v>45968</v>
      </c>
      <c r="N655" s="50" t="s">
        <v>306</v>
      </c>
      <c r="O655" s="50" t="s">
        <v>2191</v>
      </c>
      <c r="P655" s="50" t="s">
        <v>2190</v>
      </c>
      <c r="Q655" s="55" t="s">
        <v>2192</v>
      </c>
      <c r="R655" s="55" t="s">
        <v>2193</v>
      </c>
      <c r="S655" s="53">
        <v>47063</v>
      </c>
      <c r="T655" s="50"/>
      <c r="U655" s="50"/>
      <c r="V655" s="56"/>
      <c r="W655" s="56"/>
      <c r="X655" s="56"/>
      <c r="Y655" s="56"/>
      <c r="Z655" s="56"/>
      <c r="AA655" s="56"/>
      <c r="AB655" s="56"/>
    </row>
    <row x14ac:dyDescent="0.25" r="656" customHeight="1" ht="18.75">
      <c r="A656" s="48" t="s">
        <v>3326</v>
      </c>
      <c r="B656" s="48"/>
      <c r="C656" s="50" t="s">
        <v>16</v>
      </c>
      <c r="D656" s="50"/>
      <c r="E656" s="50"/>
      <c r="F656" s="50" t="s">
        <v>2194</v>
      </c>
      <c r="G656" s="55">
        <v>60000000</v>
      </c>
      <c r="H656" s="55"/>
      <c r="I656" s="55"/>
      <c r="J656" s="51">
        <v>4800000</v>
      </c>
      <c r="K656" s="51"/>
      <c r="L656" s="52">
        <v>46180</v>
      </c>
      <c r="M656" s="53">
        <v>45848</v>
      </c>
      <c r="N656" s="50" t="s">
        <v>212</v>
      </c>
      <c r="O656" s="50" t="s">
        <v>2195</v>
      </c>
      <c r="P656" s="50" t="s">
        <v>2194</v>
      </c>
      <c r="Q656" s="55" t="s">
        <v>2196</v>
      </c>
      <c r="R656" s="55" t="s">
        <v>2197</v>
      </c>
      <c r="S656" s="53">
        <v>46943</v>
      </c>
      <c r="T656" s="50"/>
      <c r="U656" s="50"/>
      <c r="V656" s="56"/>
      <c r="W656" s="56"/>
      <c r="X656" s="56"/>
      <c r="Y656" s="56"/>
      <c r="Z656" s="56"/>
      <c r="AA656" s="56"/>
      <c r="AB656" s="56"/>
    </row>
    <row x14ac:dyDescent="0.25" r="657" customHeight="1" ht="18.75">
      <c r="A657" s="56"/>
      <c r="B657" s="56"/>
      <c r="C657" s="50" t="s">
        <v>13</v>
      </c>
      <c r="D657" s="50"/>
      <c r="E657" s="50"/>
      <c r="F657" s="50" t="s">
        <v>2199</v>
      </c>
      <c r="G657" s="55">
        <v>10000000</v>
      </c>
      <c r="H657" s="55"/>
      <c r="I657" s="55"/>
      <c r="J657" s="51">
        <v>900000</v>
      </c>
      <c r="K657" s="51"/>
      <c r="L657" s="52">
        <v>45778</v>
      </c>
      <c r="M657" s="53">
        <v>45717</v>
      </c>
      <c r="N657" s="50" t="s">
        <v>217</v>
      </c>
      <c r="O657" s="50" t="s">
        <v>2200</v>
      </c>
      <c r="P657" s="50" t="s">
        <v>2199</v>
      </c>
      <c r="Q657" s="55" t="s">
        <v>2201</v>
      </c>
      <c r="R657" s="55" t="s">
        <v>2202</v>
      </c>
      <c r="S657" s="53">
        <v>46812</v>
      </c>
      <c r="T657" s="50"/>
      <c r="U657" s="50"/>
      <c r="V657" s="56"/>
      <c r="W657" s="56"/>
      <c r="X657" s="56"/>
      <c r="Y657" s="56"/>
      <c r="Z657" s="56"/>
      <c r="AA657" s="56"/>
      <c r="AB657" s="56"/>
    </row>
    <row x14ac:dyDescent="0.25" r="658" customHeight="1" ht="18.75">
      <c r="A658" s="56"/>
      <c r="B658" s="56"/>
      <c r="C658" s="50" t="s">
        <v>16</v>
      </c>
      <c r="D658" s="50"/>
      <c r="E658" s="50"/>
      <c r="F658" s="50" t="s">
        <v>2203</v>
      </c>
      <c r="G658" s="55">
        <v>10000000</v>
      </c>
      <c r="H658" s="55"/>
      <c r="I658" s="55"/>
      <c r="J658" s="51">
        <v>800000</v>
      </c>
      <c r="K658" s="51"/>
      <c r="L658" s="52">
        <v>46056</v>
      </c>
      <c r="M658" s="53">
        <v>45994</v>
      </c>
      <c r="N658" s="50" t="s">
        <v>217</v>
      </c>
      <c r="O658" s="50" t="s">
        <v>2204</v>
      </c>
      <c r="P658" s="50" t="s">
        <v>2203</v>
      </c>
      <c r="Q658" s="55" t="s">
        <v>2205</v>
      </c>
      <c r="R658" s="55" t="s">
        <v>2206</v>
      </c>
      <c r="S658" s="53">
        <v>47089</v>
      </c>
      <c r="T658" s="50"/>
      <c r="U658" s="50"/>
      <c r="V658" s="56"/>
      <c r="W658" s="56"/>
      <c r="X658" s="56"/>
      <c r="Y658" s="56"/>
      <c r="Z658" s="56"/>
      <c r="AA658" s="56"/>
      <c r="AB658" s="56"/>
    </row>
    <row x14ac:dyDescent="0.25" r="659" customHeight="1" ht="18.75">
      <c r="A659" s="56"/>
      <c r="B659" s="56"/>
      <c r="C659" s="50" t="s">
        <v>16</v>
      </c>
      <c r="D659" s="50"/>
      <c r="E659" s="50"/>
      <c r="F659" s="50" t="s">
        <v>534</v>
      </c>
      <c r="G659" s="55">
        <v>60000000</v>
      </c>
      <c r="H659" s="55"/>
      <c r="I659" s="55"/>
      <c r="J659" s="51">
        <v>4056000</v>
      </c>
      <c r="K659" s="51"/>
      <c r="L659" s="52">
        <v>46013</v>
      </c>
      <c r="M659" s="53">
        <v>45952</v>
      </c>
      <c r="N659" s="50" t="s">
        <v>306</v>
      </c>
      <c r="O659" s="50" t="s">
        <v>2207</v>
      </c>
      <c r="P659" s="50" t="s">
        <v>534</v>
      </c>
      <c r="Q659" s="55" t="s">
        <v>2208</v>
      </c>
      <c r="R659" s="55" t="s">
        <v>2209</v>
      </c>
      <c r="S659" s="53">
        <v>47047</v>
      </c>
      <c r="T659" s="50"/>
      <c r="U659" s="50"/>
      <c r="V659" s="56"/>
      <c r="W659" s="56"/>
      <c r="X659" s="56"/>
      <c r="Y659" s="56"/>
      <c r="Z659" s="56"/>
      <c r="AA659" s="56"/>
      <c r="AB659" s="56"/>
    </row>
    <row x14ac:dyDescent="0.25" r="660" customHeight="1" ht="18.75">
      <c r="A660" s="56"/>
      <c r="B660" s="56"/>
      <c r="C660" s="50" t="s">
        <v>16</v>
      </c>
      <c r="D660" s="50" t="s">
        <v>48</v>
      </c>
      <c r="E660" s="50" t="s">
        <v>117</v>
      </c>
      <c r="F660" s="50" t="s">
        <v>636</v>
      </c>
      <c r="G660" s="51">
        <v>10000000</v>
      </c>
      <c r="H660" s="51"/>
      <c r="I660" s="51"/>
      <c r="J660" s="87">
        <f>IF(G660&gt;0,_xludf.IFS(G660=10000000,1200000,G660=20000000,1800000,G660=30000000,2400000,G660=60000000,4000000),"")</f>
      </c>
      <c r="K660" s="51"/>
      <c r="L660" s="52">
        <v>46207</v>
      </c>
      <c r="M660" s="53">
        <f>IF(L660&gt;0,EDATE(L660,-2),"")</f>
        <v>25569.375</v>
      </c>
      <c r="N660" s="50" t="s">
        <v>168</v>
      </c>
      <c r="O660" s="50" t="s">
        <v>3327</v>
      </c>
      <c r="P660" s="54">
        <f>IF(F660&gt;0,F660,"")</f>
      </c>
      <c r="Q660" s="55">
        <v>7304202267710</v>
      </c>
      <c r="R660" s="55">
        <v>56595871</v>
      </c>
      <c r="S660" s="53">
        <f>IF(ISNUMBER(M660), EDATE(M660,36)-1, "")</f>
        <v>25569.375</v>
      </c>
      <c r="T660" s="50"/>
      <c r="U660" s="50"/>
      <c r="V660" s="56"/>
      <c r="W660" s="56"/>
      <c r="X660" s="56"/>
      <c r="Y660" s="56"/>
      <c r="Z660" s="56"/>
      <c r="AA660" s="56"/>
      <c r="AB660" s="56"/>
    </row>
    <row x14ac:dyDescent="0.25" r="661" customHeight="1" ht="18.75">
      <c r="A661" s="56"/>
      <c r="B661" s="56"/>
      <c r="C661" s="50" t="s">
        <v>16</v>
      </c>
      <c r="D661" s="50"/>
      <c r="E661" s="50"/>
      <c r="F661" s="50" t="s">
        <v>2213</v>
      </c>
      <c r="G661" s="55">
        <v>10000000</v>
      </c>
      <c r="H661" s="55"/>
      <c r="I661" s="55"/>
      <c r="J661" s="51">
        <v>800000</v>
      </c>
      <c r="K661" s="51"/>
      <c r="L661" s="52">
        <v>46126</v>
      </c>
      <c r="M661" s="53">
        <v>46067</v>
      </c>
      <c r="N661" s="50" t="s">
        <v>282</v>
      </c>
      <c r="O661" s="50" t="s">
        <v>471</v>
      </c>
      <c r="P661" s="50" t="s">
        <v>2213</v>
      </c>
      <c r="Q661" s="55" t="s">
        <v>2214</v>
      </c>
      <c r="R661" s="55" t="s">
        <v>2215</v>
      </c>
      <c r="S661" s="53">
        <v>47162</v>
      </c>
      <c r="T661" s="50" t="s">
        <v>2216</v>
      </c>
      <c r="U661" s="50" t="s">
        <v>166</v>
      </c>
      <c r="V661" s="56"/>
      <c r="W661" s="56"/>
      <c r="X661" s="56"/>
      <c r="Y661" s="56"/>
      <c r="Z661" s="56"/>
      <c r="AA661" s="56"/>
      <c r="AB661" s="56"/>
    </row>
    <row x14ac:dyDescent="0.25" r="662" customHeight="1" ht="18.75">
      <c r="A662" s="56"/>
      <c r="B662" s="56"/>
      <c r="C662" s="49" t="s">
        <v>16</v>
      </c>
      <c r="D662" s="50" t="s">
        <v>143</v>
      </c>
      <c r="E662" s="50" t="s">
        <v>2247</v>
      </c>
      <c r="F662" s="50" t="s">
        <v>2248</v>
      </c>
      <c r="G662" s="51">
        <v>10000000</v>
      </c>
      <c r="H662" s="51"/>
      <c r="I662" s="51"/>
      <c r="J662" s="51">
        <v>1200000</v>
      </c>
      <c r="K662" s="51"/>
      <c r="L662" s="52">
        <v>46207</v>
      </c>
      <c r="M662" s="53">
        <f>IF(L662&gt;0,EDATE(L662,-2),"")</f>
        <v>25569.375</v>
      </c>
      <c r="N662" s="50" t="s">
        <v>168</v>
      </c>
      <c r="O662" s="50" t="s">
        <v>2249</v>
      </c>
      <c r="P662" s="54">
        <f>IF(F662&gt;0,F662,"")</f>
      </c>
      <c r="Q662" s="55" t="s">
        <v>2250</v>
      </c>
      <c r="R662" s="55">
        <v>31280384</v>
      </c>
      <c r="S662" s="53">
        <f>IF(ISNUMBER(M662), EDATE(M662,36)-1, "")</f>
        <v>25569.375</v>
      </c>
      <c r="T662" s="50"/>
      <c r="U662" s="50"/>
      <c r="V662" s="56"/>
      <c r="W662" s="56"/>
      <c r="X662" s="56"/>
      <c r="Y662" s="56"/>
      <c r="Z662" s="56"/>
      <c r="AA662" s="56"/>
      <c r="AB662" s="56"/>
    </row>
    <row x14ac:dyDescent="0.25" r="663" customHeight="1" ht="18.75">
      <c r="A663" s="56"/>
      <c r="B663" s="56"/>
      <c r="C663" s="49" t="s">
        <v>16</v>
      </c>
      <c r="D663" s="50" t="s">
        <v>55</v>
      </c>
      <c r="E663" s="50" t="s">
        <v>56</v>
      </c>
      <c r="F663" s="50" t="s">
        <v>2268</v>
      </c>
      <c r="G663" s="51">
        <v>30000000</v>
      </c>
      <c r="H663" s="51"/>
      <c r="I663" s="51"/>
      <c r="J663" s="87">
        <f>IF(G663&gt;0,_xludf.IFS(G663=10000000,800000,G663=20000000,1528000,G663=30000000,2028000,G663=60000000,4056000),"")</f>
      </c>
      <c r="K663" s="51"/>
      <c r="L663" s="52">
        <v>46207</v>
      </c>
      <c r="M663" s="53">
        <f>IF(L663&gt;0,EDATE(L663,-2),"")</f>
        <v>25569.375</v>
      </c>
      <c r="N663" s="50" t="s">
        <v>302</v>
      </c>
      <c r="O663" s="50" t="s">
        <v>2269</v>
      </c>
      <c r="P663" s="54">
        <f>IF(F663&gt;0,F663,"")</f>
      </c>
      <c r="Q663" s="55" t="s">
        <v>2270</v>
      </c>
      <c r="R663" s="55">
        <v>34322427</v>
      </c>
      <c r="S663" s="53">
        <f>IF(ISNUMBER(M663), EDATE(M663,36)-1, "")</f>
        <v>25569.375</v>
      </c>
      <c r="T663" s="50"/>
      <c r="U663" s="50"/>
      <c r="V663" s="56"/>
      <c r="W663" s="56"/>
      <c r="X663" s="56"/>
      <c r="Y663" s="56"/>
      <c r="Z663" s="56"/>
      <c r="AA663" s="56"/>
      <c r="AB663" s="56"/>
    </row>
    <row x14ac:dyDescent="0.25" r="664" customHeight="1" ht="18.75">
      <c r="A664" s="56"/>
      <c r="B664" s="56"/>
      <c r="C664" s="50" t="s">
        <v>16</v>
      </c>
      <c r="D664" s="50" t="s">
        <v>454</v>
      </c>
      <c r="E664" s="50"/>
      <c r="F664" s="50" t="s">
        <v>2404</v>
      </c>
      <c r="G664" s="55">
        <v>60000000</v>
      </c>
      <c r="H664" s="55"/>
      <c r="I664" s="55"/>
      <c r="J664" s="51">
        <v>4056000</v>
      </c>
      <c r="K664" s="51"/>
      <c r="L664" s="52">
        <v>46207</v>
      </c>
      <c r="M664" s="53">
        <v>46146</v>
      </c>
      <c r="N664" s="50" t="s">
        <v>306</v>
      </c>
      <c r="O664" s="50" t="s">
        <v>2405</v>
      </c>
      <c r="P664" s="50" t="s">
        <v>2404</v>
      </c>
      <c r="Q664" s="55" t="s">
        <v>2406</v>
      </c>
      <c r="R664" s="55" t="s">
        <v>2407</v>
      </c>
      <c r="S664" s="53">
        <v>47241</v>
      </c>
      <c r="T664" s="50"/>
      <c r="U664" s="50"/>
      <c r="V664" s="56"/>
      <c r="W664" s="56"/>
      <c r="X664" s="56"/>
      <c r="Y664" s="56"/>
      <c r="Z664" s="56"/>
      <c r="AA664" s="56"/>
      <c r="AB664" s="56"/>
    </row>
    <row x14ac:dyDescent="0.25" r="665" customHeight="1" ht="18.75">
      <c r="A665" s="56"/>
      <c r="B665" s="56"/>
      <c r="C665" s="50" t="s">
        <v>16</v>
      </c>
      <c r="D665" s="50"/>
      <c r="E665" s="50"/>
      <c r="F665" s="50" t="s">
        <v>1332</v>
      </c>
      <c r="G665" s="55">
        <v>30000000</v>
      </c>
      <c r="H665" s="55"/>
      <c r="I665" s="55"/>
      <c r="J665" s="51">
        <v>2400000</v>
      </c>
      <c r="K665" s="51"/>
      <c r="L665" s="52">
        <v>46003</v>
      </c>
      <c r="M665" s="53">
        <v>45942</v>
      </c>
      <c r="N665" s="50" t="s">
        <v>155</v>
      </c>
      <c r="O665" s="50" t="s">
        <v>2229</v>
      </c>
      <c r="P665" s="50" t="s">
        <v>1332</v>
      </c>
      <c r="Q665" s="55" t="s">
        <v>2230</v>
      </c>
      <c r="R665" s="55" t="s">
        <v>2231</v>
      </c>
      <c r="S665" s="53">
        <v>47037</v>
      </c>
      <c r="T665" s="50"/>
      <c r="U665" s="50"/>
      <c r="V665" s="56"/>
      <c r="W665" s="56"/>
      <c r="X665" s="56"/>
      <c r="Y665" s="56"/>
      <c r="Z665" s="56"/>
      <c r="AA665" s="56"/>
      <c r="AB665" s="56"/>
    </row>
    <row x14ac:dyDescent="0.25" r="666" customHeight="1" ht="18.75">
      <c r="A666" s="56"/>
      <c r="B666" s="56"/>
      <c r="C666" s="50" t="s">
        <v>16</v>
      </c>
      <c r="D666" s="50"/>
      <c r="E666" s="50"/>
      <c r="F666" s="50" t="s">
        <v>2232</v>
      </c>
      <c r="G666" s="55">
        <v>10000000</v>
      </c>
      <c r="H666" s="55"/>
      <c r="I666" s="55"/>
      <c r="J666" s="51">
        <v>800000</v>
      </c>
      <c r="K666" s="51"/>
      <c r="L666" s="52">
        <v>46081</v>
      </c>
      <c r="M666" s="53">
        <v>46022</v>
      </c>
      <c r="N666" s="50" t="s">
        <v>205</v>
      </c>
      <c r="O666" s="50" t="s">
        <v>2233</v>
      </c>
      <c r="P666" s="50" t="s">
        <v>2232</v>
      </c>
      <c r="Q666" s="55" t="s">
        <v>2234</v>
      </c>
      <c r="R666" s="55" t="s">
        <v>2235</v>
      </c>
      <c r="S666" s="53">
        <v>47117</v>
      </c>
      <c r="T666" s="50"/>
      <c r="U666" s="50"/>
      <c r="V666" s="56"/>
      <c r="W666" s="56"/>
      <c r="X666" s="56"/>
      <c r="Y666" s="56"/>
      <c r="Z666" s="56"/>
      <c r="AA666" s="56"/>
      <c r="AB666" s="56"/>
    </row>
    <row x14ac:dyDescent="0.25" r="667" customHeight="1" ht="18.75">
      <c r="A667" s="56"/>
      <c r="B667" s="56"/>
      <c r="C667" s="50" t="s">
        <v>113</v>
      </c>
      <c r="D667" s="50"/>
      <c r="E667" s="50"/>
      <c r="F667" s="50" t="s">
        <v>100</v>
      </c>
      <c r="G667" s="55">
        <v>30000000</v>
      </c>
      <c r="H667" s="55"/>
      <c r="I667" s="55"/>
      <c r="J667" s="51">
        <v>1500000</v>
      </c>
      <c r="K667" s="51"/>
      <c r="L667" s="52">
        <v>45595</v>
      </c>
      <c r="M667" s="53">
        <v>45534</v>
      </c>
      <c r="N667" s="50" t="s">
        <v>168</v>
      </c>
      <c r="O667" s="50" t="s">
        <v>2236</v>
      </c>
      <c r="P667" s="50" t="s">
        <v>100</v>
      </c>
      <c r="Q667" s="55" t="s">
        <v>2237</v>
      </c>
      <c r="R667" s="55" t="s">
        <v>2238</v>
      </c>
      <c r="S667" s="53">
        <v>47359</v>
      </c>
      <c r="T667" s="50"/>
      <c r="U667" s="50"/>
      <c r="V667" s="56"/>
      <c r="W667" s="56"/>
      <c r="X667" s="56"/>
      <c r="Y667" s="56"/>
      <c r="Z667" s="56"/>
      <c r="AA667" s="56"/>
      <c r="AB667" s="56"/>
    </row>
    <row x14ac:dyDescent="0.25" r="668" customHeight="1" ht="18.75">
      <c r="A668" s="56"/>
      <c r="B668" s="56"/>
      <c r="C668" s="50" t="s">
        <v>16</v>
      </c>
      <c r="D668" s="50"/>
      <c r="E668" s="50"/>
      <c r="F668" s="50" t="s">
        <v>100</v>
      </c>
      <c r="G668" s="55">
        <v>30000000</v>
      </c>
      <c r="H668" s="55"/>
      <c r="I668" s="55"/>
      <c r="J668" s="51">
        <v>2400000</v>
      </c>
      <c r="K668" s="51"/>
      <c r="L668" s="52">
        <v>45912</v>
      </c>
      <c r="M668" s="53">
        <v>45847</v>
      </c>
      <c r="N668" s="50" t="s">
        <v>168</v>
      </c>
      <c r="O668" s="50" t="s">
        <v>2239</v>
      </c>
      <c r="P668" s="50" t="s">
        <v>100</v>
      </c>
      <c r="Q668" s="55" t="s">
        <v>2237</v>
      </c>
      <c r="R668" s="55" t="s">
        <v>2240</v>
      </c>
      <c r="S668" s="53">
        <v>46942</v>
      </c>
      <c r="T668" s="50"/>
      <c r="U668" s="50"/>
      <c r="V668" s="56"/>
      <c r="W668" s="56"/>
      <c r="X668" s="56"/>
      <c r="Y668" s="56"/>
      <c r="Z668" s="56"/>
      <c r="AA668" s="56"/>
      <c r="AB668" s="56"/>
    </row>
    <row x14ac:dyDescent="0.25" r="669" customHeight="1" ht="18.75">
      <c r="A669" s="56"/>
      <c r="B669" s="56"/>
      <c r="C669" s="50" t="s">
        <v>16</v>
      </c>
      <c r="D669" s="50"/>
      <c r="E669" s="50"/>
      <c r="F669" s="50" t="s">
        <v>100</v>
      </c>
      <c r="G669" s="55">
        <v>60000000</v>
      </c>
      <c r="H669" s="55"/>
      <c r="I669" s="55"/>
      <c r="J669" s="51">
        <v>4800000</v>
      </c>
      <c r="K669" s="51"/>
      <c r="L669" s="52">
        <v>45910</v>
      </c>
      <c r="M669" s="53">
        <v>45848</v>
      </c>
      <c r="N669" s="50" t="s">
        <v>168</v>
      </c>
      <c r="O669" s="50" t="s">
        <v>2236</v>
      </c>
      <c r="P669" s="50" t="s">
        <v>100</v>
      </c>
      <c r="Q669" s="55" t="s">
        <v>2237</v>
      </c>
      <c r="R669" s="55" t="s">
        <v>2240</v>
      </c>
      <c r="S669" s="53">
        <v>46943</v>
      </c>
      <c r="T669" s="50"/>
      <c r="U669" s="50"/>
      <c r="V669" s="56"/>
      <c r="W669" s="56"/>
      <c r="X669" s="56"/>
      <c r="Y669" s="56"/>
      <c r="Z669" s="56"/>
      <c r="AA669" s="56"/>
      <c r="AB669" s="56"/>
    </row>
    <row x14ac:dyDescent="0.25" r="670" customHeight="1" ht="18.75">
      <c r="A670" s="56" t="s">
        <v>152</v>
      </c>
      <c r="B670" s="56"/>
      <c r="C670" s="50" t="s">
        <v>16</v>
      </c>
      <c r="D670" s="50"/>
      <c r="E670" s="50"/>
      <c r="F670" s="50" t="s">
        <v>101</v>
      </c>
      <c r="G670" s="55">
        <v>20000000</v>
      </c>
      <c r="H670" s="55"/>
      <c r="I670" s="55"/>
      <c r="J670" s="51">
        <v>1000000</v>
      </c>
      <c r="K670" s="51"/>
      <c r="L670" s="52">
        <v>46046</v>
      </c>
      <c r="M670" s="53">
        <v>45985</v>
      </c>
      <c r="N670" s="50" t="s">
        <v>174</v>
      </c>
      <c r="O670" s="50" t="s">
        <v>2242</v>
      </c>
      <c r="P670" s="50" t="s">
        <v>101</v>
      </c>
      <c r="Q670" s="55" t="s">
        <v>2243</v>
      </c>
      <c r="R670" s="55" t="s">
        <v>2244</v>
      </c>
      <c r="S670" s="53">
        <v>47080</v>
      </c>
      <c r="T670" s="50"/>
      <c r="U670" s="50"/>
      <c r="V670" s="56" t="s">
        <v>3328</v>
      </c>
      <c r="W670" s="56"/>
      <c r="X670" s="56"/>
      <c r="Y670" s="56"/>
      <c r="Z670" s="56"/>
      <c r="AA670" s="56"/>
      <c r="AB670" s="56"/>
    </row>
    <row x14ac:dyDescent="0.25" r="671" customHeight="1" ht="18.75">
      <c r="A671" s="56"/>
      <c r="B671" s="56"/>
      <c r="C671" s="50" t="s">
        <v>16</v>
      </c>
      <c r="D671" s="50" t="s">
        <v>454</v>
      </c>
      <c r="E671" s="50"/>
      <c r="F671" s="50" t="s">
        <v>1743</v>
      </c>
      <c r="G671" s="55">
        <v>10000000</v>
      </c>
      <c r="H671" s="55"/>
      <c r="I671" s="55"/>
      <c r="J671" s="51">
        <v>1200000</v>
      </c>
      <c r="K671" s="51"/>
      <c r="L671" s="52">
        <v>46207</v>
      </c>
      <c r="M671" s="53">
        <v>46146</v>
      </c>
      <c r="N671" s="50" t="s">
        <v>302</v>
      </c>
      <c r="O671" s="50" t="s">
        <v>2562</v>
      </c>
      <c r="P671" s="50" t="s">
        <v>1743</v>
      </c>
      <c r="Q671" s="55" t="s">
        <v>2563</v>
      </c>
      <c r="R671" s="55" t="s">
        <v>2564</v>
      </c>
      <c r="S671" s="53">
        <v>47241</v>
      </c>
      <c r="T671" s="50"/>
      <c r="U671" s="50"/>
      <c r="V671" s="56"/>
      <c r="W671" s="56"/>
      <c r="X671" s="56"/>
      <c r="Y671" s="56"/>
      <c r="Z671" s="56"/>
      <c r="AA671" s="56"/>
      <c r="AB671" s="56"/>
    </row>
    <row x14ac:dyDescent="0.25" r="672" customHeight="1" ht="18.75">
      <c r="A672" s="56"/>
      <c r="B672" s="56"/>
      <c r="C672" s="50" t="s">
        <v>16</v>
      </c>
      <c r="D672" s="50"/>
      <c r="E672" s="50"/>
      <c r="F672" s="50" t="s">
        <v>2251</v>
      </c>
      <c r="G672" s="55">
        <v>10000000</v>
      </c>
      <c r="H672" s="55"/>
      <c r="I672" s="55"/>
      <c r="J672" s="51">
        <v>800000</v>
      </c>
      <c r="K672" s="51"/>
      <c r="L672" s="52">
        <v>46004</v>
      </c>
      <c r="M672" s="53">
        <v>45943</v>
      </c>
      <c r="N672" s="50" t="s">
        <v>155</v>
      </c>
      <c r="O672" s="50" t="s">
        <v>2252</v>
      </c>
      <c r="P672" s="50" t="s">
        <v>3329</v>
      </c>
      <c r="Q672" s="55" t="s">
        <v>2253</v>
      </c>
      <c r="R672" s="55" t="s">
        <v>2254</v>
      </c>
      <c r="S672" s="53">
        <v>47038</v>
      </c>
      <c r="T672" s="50"/>
      <c r="U672" s="50"/>
      <c r="V672" s="56"/>
      <c r="W672" s="56"/>
      <c r="X672" s="56"/>
      <c r="Y672" s="56"/>
      <c r="Z672" s="56"/>
      <c r="AA672" s="56"/>
      <c r="AB672" s="56"/>
    </row>
    <row x14ac:dyDescent="0.25" r="673" customHeight="1" ht="18.75">
      <c r="A673" s="56"/>
      <c r="B673" s="56"/>
      <c r="C673" s="50" t="s">
        <v>16</v>
      </c>
      <c r="D673" s="50"/>
      <c r="E673" s="50"/>
      <c r="F673" s="50" t="s">
        <v>102</v>
      </c>
      <c r="G673" s="55">
        <v>60000000</v>
      </c>
      <c r="H673" s="55"/>
      <c r="I673" s="55"/>
      <c r="J673" s="51">
        <v>4800000</v>
      </c>
      <c r="K673" s="51"/>
      <c r="L673" s="52">
        <v>45950</v>
      </c>
      <c r="M673" s="53">
        <v>45848</v>
      </c>
      <c r="N673" s="50" t="s">
        <v>168</v>
      </c>
      <c r="O673" s="50" t="s">
        <v>2255</v>
      </c>
      <c r="P673" s="50" t="s">
        <v>102</v>
      </c>
      <c r="Q673" s="55" t="s">
        <v>2256</v>
      </c>
      <c r="R673" s="55" t="s">
        <v>2257</v>
      </c>
      <c r="S673" s="53">
        <v>46984</v>
      </c>
      <c r="T673" s="50"/>
      <c r="U673" s="50"/>
      <c r="V673" s="56"/>
      <c r="W673" s="56"/>
      <c r="X673" s="56"/>
      <c r="Y673" s="56"/>
      <c r="Z673" s="56"/>
      <c r="AA673" s="56"/>
      <c r="AB673" s="56"/>
    </row>
    <row x14ac:dyDescent="0.25" r="674" customHeight="1" ht="18.75">
      <c r="A674" s="56"/>
      <c r="B674" s="56"/>
      <c r="C674" s="50" t="s">
        <v>16</v>
      </c>
      <c r="D674" s="50"/>
      <c r="E674" s="50"/>
      <c r="F674" s="50" t="s">
        <v>102</v>
      </c>
      <c r="G674" s="55">
        <v>60000000</v>
      </c>
      <c r="H674" s="55"/>
      <c r="I674" s="55"/>
      <c r="J674" s="51">
        <v>4800000</v>
      </c>
      <c r="K674" s="51"/>
      <c r="L674" s="52">
        <v>45962</v>
      </c>
      <c r="M674" s="53">
        <v>45901</v>
      </c>
      <c r="N674" s="50" t="s">
        <v>168</v>
      </c>
      <c r="O674" s="50" t="s">
        <v>2255</v>
      </c>
      <c r="P674" s="50" t="s">
        <v>102</v>
      </c>
      <c r="Q674" s="55" t="s">
        <v>2256</v>
      </c>
      <c r="R674" s="55" t="s">
        <v>2257</v>
      </c>
      <c r="S674" s="53">
        <v>46996</v>
      </c>
      <c r="T674" s="50"/>
      <c r="U674" s="50"/>
      <c r="V674" s="56"/>
      <c r="W674" s="56"/>
      <c r="X674" s="56"/>
      <c r="Y674" s="56"/>
      <c r="Z674" s="56"/>
      <c r="AA674" s="56"/>
      <c r="AB674" s="56"/>
    </row>
    <row x14ac:dyDescent="0.25" r="675" customHeight="1" ht="18.75">
      <c r="A675" s="56"/>
      <c r="B675" s="56"/>
      <c r="C675" s="50" t="s">
        <v>16</v>
      </c>
      <c r="D675" s="50"/>
      <c r="E675" s="50" t="s">
        <v>2258</v>
      </c>
      <c r="F675" s="50" t="s">
        <v>2259</v>
      </c>
      <c r="G675" s="55">
        <v>10000000</v>
      </c>
      <c r="H675" s="55"/>
      <c r="I675" s="55"/>
      <c r="J675" s="51">
        <v>800000</v>
      </c>
      <c r="K675" s="51"/>
      <c r="L675" s="52">
        <v>46089</v>
      </c>
      <c r="M675" s="53">
        <v>46030</v>
      </c>
      <c r="N675" s="50" t="s">
        <v>155</v>
      </c>
      <c r="O675" s="50" t="s">
        <v>2260</v>
      </c>
      <c r="P675" s="50" t="s">
        <v>2259</v>
      </c>
      <c r="Q675" s="55" t="s">
        <v>2261</v>
      </c>
      <c r="R675" s="55" t="s">
        <v>2262</v>
      </c>
      <c r="S675" s="53">
        <v>47125</v>
      </c>
      <c r="T675" s="50" t="s">
        <v>2263</v>
      </c>
      <c r="U675" s="50" t="s">
        <v>166</v>
      </c>
      <c r="V675" s="56"/>
      <c r="W675" s="56"/>
      <c r="X675" s="56"/>
      <c r="Y675" s="56"/>
      <c r="Z675" s="56"/>
      <c r="AA675" s="56"/>
      <c r="AB675" s="56"/>
    </row>
    <row x14ac:dyDescent="0.25" r="676" customHeight="1" ht="18.75">
      <c r="A676" s="56"/>
      <c r="B676" s="56"/>
      <c r="C676" s="50" t="s">
        <v>16</v>
      </c>
      <c r="D676" s="50"/>
      <c r="E676" s="50"/>
      <c r="F676" s="50" t="s">
        <v>2264</v>
      </c>
      <c r="G676" s="55">
        <v>20000000</v>
      </c>
      <c r="H676" s="55"/>
      <c r="I676" s="55"/>
      <c r="J676" s="51">
        <v>1528000</v>
      </c>
      <c r="K676" s="51"/>
      <c r="L676" s="52">
        <v>46064</v>
      </c>
      <c r="M676" s="53">
        <v>46002</v>
      </c>
      <c r="N676" s="50" t="s">
        <v>217</v>
      </c>
      <c r="O676" s="50" t="s">
        <v>2265</v>
      </c>
      <c r="P676" s="50" t="s">
        <v>2264</v>
      </c>
      <c r="Q676" s="55" t="s">
        <v>2266</v>
      </c>
      <c r="R676" s="55" t="s">
        <v>2267</v>
      </c>
      <c r="S676" s="53">
        <v>47097</v>
      </c>
      <c r="T676" s="50"/>
      <c r="U676" s="50"/>
      <c r="V676" s="56"/>
      <c r="W676" s="56"/>
      <c r="X676" s="56"/>
      <c r="Y676" s="56"/>
      <c r="Z676" s="56"/>
      <c r="AA676" s="56"/>
      <c r="AB676" s="56"/>
    </row>
    <row x14ac:dyDescent="0.25" r="677" customHeight="1" ht="18.75">
      <c r="A677" s="56"/>
      <c r="B677" s="56"/>
      <c r="C677" s="49" t="s">
        <v>16</v>
      </c>
      <c r="D677" s="50" t="s">
        <v>900</v>
      </c>
      <c r="E677" s="50" t="s">
        <v>1121</v>
      </c>
      <c r="F677" s="50" t="s">
        <v>2823</v>
      </c>
      <c r="G677" s="51">
        <v>10000000</v>
      </c>
      <c r="H677" s="51"/>
      <c r="I677" s="51"/>
      <c r="J677" s="87">
        <f>IF(G677&gt;0,_xludf.IFS(G677=10000000,800000,G677=20000000,1528000,G677=30000000,2028000,G677=60000000,4056000),"")</f>
      </c>
      <c r="K677" s="51"/>
      <c r="L677" s="52">
        <v>46208</v>
      </c>
      <c r="M677" s="53">
        <v>46146</v>
      </c>
      <c r="N677" s="50" t="s">
        <v>168</v>
      </c>
      <c r="O677" s="50" t="s">
        <v>2824</v>
      </c>
      <c r="P677" s="54">
        <f>IF(F677&gt;0,F677,"")</f>
      </c>
      <c r="Q677" s="55" t="s">
        <v>2825</v>
      </c>
      <c r="R677" s="55">
        <v>46221190</v>
      </c>
      <c r="S677" s="53">
        <f>IF(ISNUMBER(M677), EDATE(M677,36)-1, "")</f>
        <v>25569.375</v>
      </c>
      <c r="T677" s="50"/>
      <c r="U677" s="50"/>
      <c r="V677" s="56"/>
      <c r="W677" s="56"/>
      <c r="X677" s="56"/>
      <c r="Y677" s="56"/>
      <c r="Z677" s="56"/>
      <c r="AA677" s="56"/>
      <c r="AB677" s="56"/>
    </row>
    <row x14ac:dyDescent="0.25" r="678" customHeight="1" ht="18.75">
      <c r="A678" s="56"/>
      <c r="B678" s="56"/>
      <c r="C678" s="50" t="s">
        <v>16</v>
      </c>
      <c r="D678" s="50"/>
      <c r="E678" s="50"/>
      <c r="F678" s="50" t="s">
        <v>2271</v>
      </c>
      <c r="G678" s="55">
        <v>60000000</v>
      </c>
      <c r="H678" s="55"/>
      <c r="I678" s="55"/>
      <c r="J678" s="51">
        <v>4056000</v>
      </c>
      <c r="K678" s="51"/>
      <c r="L678" s="52">
        <v>46135</v>
      </c>
      <c r="M678" s="53">
        <v>46076</v>
      </c>
      <c r="N678" s="50" t="s">
        <v>570</v>
      </c>
      <c r="O678" s="50" t="s">
        <v>2272</v>
      </c>
      <c r="P678" s="50" t="s">
        <v>2271</v>
      </c>
      <c r="Q678" s="55" t="s">
        <v>2273</v>
      </c>
      <c r="R678" s="55" t="s">
        <v>2274</v>
      </c>
      <c r="S678" s="53">
        <v>47171</v>
      </c>
      <c r="T678" s="50" t="s">
        <v>2275</v>
      </c>
      <c r="U678" s="50" t="s">
        <v>166</v>
      </c>
      <c r="V678" s="56"/>
      <c r="W678" s="56"/>
      <c r="X678" s="56"/>
      <c r="Y678" s="56"/>
      <c r="Z678" s="56"/>
      <c r="AA678" s="56"/>
      <c r="AB678" s="56"/>
    </row>
    <row x14ac:dyDescent="0.25" r="679" customHeight="1" ht="18.75">
      <c r="A679" s="48" t="s">
        <v>2276</v>
      </c>
      <c r="B679" s="48"/>
      <c r="C679" s="50" t="s">
        <v>16</v>
      </c>
      <c r="D679" s="50"/>
      <c r="E679" s="50"/>
      <c r="F679" s="50" t="s">
        <v>103</v>
      </c>
      <c r="G679" s="55">
        <v>30000000</v>
      </c>
      <c r="H679" s="55"/>
      <c r="I679" s="55"/>
      <c r="J679" s="51">
        <v>2028000</v>
      </c>
      <c r="K679" s="51"/>
      <c r="L679" s="52">
        <v>46007</v>
      </c>
      <c r="M679" s="53">
        <v>45946</v>
      </c>
      <c r="N679" s="50" t="s">
        <v>168</v>
      </c>
      <c r="O679" s="50" t="s">
        <v>2277</v>
      </c>
      <c r="P679" s="50" t="s">
        <v>103</v>
      </c>
      <c r="Q679" s="55" t="s">
        <v>2278</v>
      </c>
      <c r="R679" s="55" t="s">
        <v>2279</v>
      </c>
      <c r="S679" s="53">
        <v>47041</v>
      </c>
      <c r="T679" s="50"/>
      <c r="U679" s="50"/>
      <c r="V679" s="56"/>
      <c r="W679" s="56"/>
      <c r="X679" s="56"/>
      <c r="Y679" s="56"/>
      <c r="Z679" s="56"/>
      <c r="AA679" s="56"/>
      <c r="AB679" s="56"/>
    </row>
    <row x14ac:dyDescent="0.25" r="680" customHeight="1" ht="18.75">
      <c r="A680" s="56"/>
      <c r="B680" s="56"/>
      <c r="C680" s="50" t="s">
        <v>16</v>
      </c>
      <c r="D680" s="50"/>
      <c r="E680" s="50"/>
      <c r="F680" s="50" t="s">
        <v>2280</v>
      </c>
      <c r="G680" s="55">
        <v>20000000</v>
      </c>
      <c r="H680" s="55"/>
      <c r="I680" s="55"/>
      <c r="J680" s="51">
        <v>1528000</v>
      </c>
      <c r="K680" s="51"/>
      <c r="L680" s="52">
        <v>46071</v>
      </c>
      <c r="M680" s="53">
        <v>46009</v>
      </c>
      <c r="N680" s="50" t="s">
        <v>239</v>
      </c>
      <c r="O680" s="50" t="s">
        <v>2281</v>
      </c>
      <c r="P680" s="50" t="s">
        <v>2280</v>
      </c>
      <c r="Q680" s="55" t="s">
        <v>2282</v>
      </c>
      <c r="R680" s="55" t="s">
        <v>2283</v>
      </c>
      <c r="S680" s="53">
        <v>47104</v>
      </c>
      <c r="T680" s="50"/>
      <c r="U680" s="50"/>
      <c r="V680" s="56"/>
      <c r="W680" s="56"/>
      <c r="X680" s="56"/>
      <c r="Y680" s="56"/>
      <c r="Z680" s="56"/>
      <c r="AA680" s="56"/>
      <c r="AB680" s="56"/>
    </row>
    <row x14ac:dyDescent="0.25" r="681" customHeight="1" ht="18.75">
      <c r="A681" s="56"/>
      <c r="B681" s="56"/>
      <c r="C681" s="50" t="s">
        <v>16</v>
      </c>
      <c r="D681" s="50" t="s">
        <v>419</v>
      </c>
      <c r="E681" s="50" t="s">
        <v>420</v>
      </c>
      <c r="F681" s="50" t="s">
        <v>2280</v>
      </c>
      <c r="G681" s="55">
        <v>60000000</v>
      </c>
      <c r="H681" s="55"/>
      <c r="I681" s="55"/>
      <c r="J681" s="51">
        <v>800000</v>
      </c>
      <c r="K681" s="51"/>
      <c r="L681" s="52">
        <v>46167</v>
      </c>
      <c r="M681" s="53">
        <v>46106</v>
      </c>
      <c r="N681" s="50" t="s">
        <v>168</v>
      </c>
      <c r="O681" s="50" t="s">
        <v>2284</v>
      </c>
      <c r="P681" s="50" t="s">
        <v>2280</v>
      </c>
      <c r="Q681" s="55" t="s">
        <v>2285</v>
      </c>
      <c r="R681" s="55" t="s">
        <v>2286</v>
      </c>
      <c r="S681" s="53">
        <v>47201</v>
      </c>
      <c r="T681" s="50" t="s">
        <v>2287</v>
      </c>
      <c r="U681" s="50" t="s">
        <v>166</v>
      </c>
      <c r="V681" s="48" t="s">
        <v>1761</v>
      </c>
      <c r="W681" s="56"/>
      <c r="X681" s="56"/>
      <c r="Y681" s="56"/>
      <c r="Z681" s="56"/>
      <c r="AA681" s="56"/>
      <c r="AB681" s="56"/>
    </row>
    <row x14ac:dyDescent="0.25" r="682" customHeight="1" ht="18.75">
      <c r="A682" s="48" t="s">
        <v>252</v>
      </c>
      <c r="B682" s="48"/>
      <c r="C682" s="49" t="s">
        <v>16</v>
      </c>
      <c r="D682" s="50" t="s">
        <v>419</v>
      </c>
      <c r="E682" s="50" t="s">
        <v>420</v>
      </c>
      <c r="F682" s="50" t="s">
        <v>2280</v>
      </c>
      <c r="G682" s="51">
        <v>10000000</v>
      </c>
      <c r="H682" s="51"/>
      <c r="I682" s="51"/>
      <c r="J682" s="87">
        <f>IF(G682&gt;0,_xludf.IFS(G682=10000000,800000,G682=20000000,1528000,G682=30000000,2028000,G682=60000000,4056000),"")</f>
      </c>
      <c r="K682" s="51"/>
      <c r="L682" s="52">
        <v>46158</v>
      </c>
      <c r="M682" s="53">
        <v>46059</v>
      </c>
      <c r="N682" s="50" t="s">
        <v>168</v>
      </c>
      <c r="O682" s="50" t="s">
        <v>2288</v>
      </c>
      <c r="P682" s="54">
        <f>IF(F682&gt;0,F682,"")</f>
      </c>
      <c r="Q682" s="55" t="s">
        <v>2285</v>
      </c>
      <c r="R682" s="55">
        <v>75685643</v>
      </c>
      <c r="S682" s="53">
        <f>IF(ISNUMBER(M682), EDATE(M682,36)-1, "")</f>
        <v>25569.375</v>
      </c>
      <c r="T682" s="50"/>
      <c r="U682" s="50"/>
      <c r="V682" s="56"/>
      <c r="W682" s="56"/>
      <c r="X682" s="56"/>
      <c r="Y682" s="56"/>
      <c r="Z682" s="56"/>
      <c r="AA682" s="56"/>
      <c r="AB682" s="56"/>
    </row>
    <row x14ac:dyDescent="0.25" r="683" customHeight="1" ht="18.75">
      <c r="A683" s="48" t="s">
        <v>63</v>
      </c>
      <c r="B683" s="62"/>
      <c r="C683" s="50" t="s">
        <v>16</v>
      </c>
      <c r="D683" s="50" t="s">
        <v>88</v>
      </c>
      <c r="E683" s="50" t="s">
        <v>14</v>
      </c>
      <c r="F683" s="50" t="s">
        <v>500</v>
      </c>
      <c r="G683" s="55">
        <v>30000000</v>
      </c>
      <c r="H683" s="55"/>
      <c r="I683" s="55"/>
      <c r="J683" s="51">
        <v>2400000</v>
      </c>
      <c r="K683" s="51"/>
      <c r="L683" s="52">
        <v>46208</v>
      </c>
      <c r="M683" s="53">
        <v>46147</v>
      </c>
      <c r="N683" s="50" t="s">
        <v>212</v>
      </c>
      <c r="O683" s="50" t="s">
        <v>501</v>
      </c>
      <c r="P683" s="50" t="s">
        <v>500</v>
      </c>
      <c r="Q683" s="55" t="s">
        <v>502</v>
      </c>
      <c r="R683" s="55" t="s">
        <v>503</v>
      </c>
      <c r="S683" s="53">
        <v>47242</v>
      </c>
      <c r="T683" s="50"/>
      <c r="U683" s="50"/>
      <c r="V683" s="56"/>
      <c r="W683" s="56"/>
      <c r="X683" s="56"/>
      <c r="Y683" s="56"/>
      <c r="Z683" s="56"/>
      <c r="AA683" s="56"/>
      <c r="AB683" s="56"/>
    </row>
    <row x14ac:dyDescent="0.25" r="684" customHeight="1" ht="18.75">
      <c r="A684" s="56"/>
      <c r="B684" s="56"/>
      <c r="C684" s="50" t="s">
        <v>16</v>
      </c>
      <c r="D684" s="50"/>
      <c r="E684" s="50"/>
      <c r="F684" s="50" t="s">
        <v>2289</v>
      </c>
      <c r="G684" s="55">
        <v>20000000</v>
      </c>
      <c r="H684" s="55"/>
      <c r="I684" s="55"/>
      <c r="J684" s="51">
        <v>1528000</v>
      </c>
      <c r="K684" s="51"/>
      <c r="L684" s="52">
        <v>46118</v>
      </c>
      <c r="M684" s="53">
        <v>46059</v>
      </c>
      <c r="N684" s="50" t="s">
        <v>168</v>
      </c>
      <c r="O684" s="50" t="s">
        <v>2284</v>
      </c>
      <c r="P684" s="50" t="s">
        <v>2289</v>
      </c>
      <c r="Q684" s="55" t="s">
        <v>2285</v>
      </c>
      <c r="R684" s="55" t="s">
        <v>2286</v>
      </c>
      <c r="S684" s="53">
        <v>47154</v>
      </c>
      <c r="T684" s="50"/>
      <c r="U684" s="50" t="s">
        <v>166</v>
      </c>
      <c r="V684" s="56"/>
      <c r="W684" s="56"/>
      <c r="X684" s="56"/>
      <c r="Y684" s="56"/>
      <c r="Z684" s="56"/>
      <c r="AA684" s="56"/>
      <c r="AB684" s="56"/>
    </row>
    <row x14ac:dyDescent="0.25" r="685" customHeight="1" ht="18.75">
      <c r="A685" s="48" t="s">
        <v>152</v>
      </c>
      <c r="B685" s="48"/>
      <c r="C685" s="50" t="s">
        <v>16</v>
      </c>
      <c r="D685" s="50"/>
      <c r="E685" s="50"/>
      <c r="F685" s="50" t="s">
        <v>2290</v>
      </c>
      <c r="G685" s="51">
        <v>10000000</v>
      </c>
      <c r="H685" s="51"/>
      <c r="I685" s="51"/>
      <c r="J685" s="51">
        <v>800000</v>
      </c>
      <c r="K685" s="51"/>
      <c r="L685" s="52">
        <v>46156</v>
      </c>
      <c r="M685" s="53">
        <f>IF(L685&gt;0,EDATE(L685,-2),"")</f>
        <v>25569.375</v>
      </c>
      <c r="N685" s="50" t="s">
        <v>239</v>
      </c>
      <c r="O685" s="50" t="s">
        <v>2291</v>
      </c>
      <c r="P685" s="54">
        <f>IF(F685&gt;0,F685,"")</f>
      </c>
      <c r="Q685" s="55">
        <v>990625222258</v>
      </c>
      <c r="R685" s="55">
        <v>22217258</v>
      </c>
      <c r="S685" s="53">
        <f>IF(ISNUMBER(M685), EDATE(M685,36)-1, "")</f>
        <v>25569.375</v>
      </c>
      <c r="T685" s="50"/>
      <c r="U685" s="50"/>
      <c r="V685" s="56" t="s">
        <v>2292</v>
      </c>
      <c r="W685" s="56"/>
      <c r="X685" s="56"/>
      <c r="Y685" s="56"/>
      <c r="Z685" s="56"/>
      <c r="AA685" s="56"/>
      <c r="AB685" s="56"/>
    </row>
    <row x14ac:dyDescent="0.25" r="686" customHeight="1" ht="18.75">
      <c r="A686" s="56"/>
      <c r="B686" s="56"/>
      <c r="C686" s="50" t="s">
        <v>16</v>
      </c>
      <c r="D686" s="50"/>
      <c r="E686" s="50"/>
      <c r="F686" s="50" t="s">
        <v>114</v>
      </c>
      <c r="G686" s="55">
        <v>30000000</v>
      </c>
      <c r="H686" s="55"/>
      <c r="I686" s="55"/>
      <c r="J686" s="51">
        <v>2400000</v>
      </c>
      <c r="K686" s="51"/>
      <c r="L686" s="52">
        <v>45903</v>
      </c>
      <c r="M686" s="53">
        <v>45841</v>
      </c>
      <c r="N686" s="50" t="s">
        <v>155</v>
      </c>
      <c r="O686" s="50" t="s">
        <v>295</v>
      </c>
      <c r="P686" s="50" t="s">
        <v>114</v>
      </c>
      <c r="Q686" s="55" t="s">
        <v>2293</v>
      </c>
      <c r="R686" s="55" t="s">
        <v>297</v>
      </c>
      <c r="S686" s="53">
        <v>46936</v>
      </c>
      <c r="T686" s="50"/>
      <c r="U686" s="50"/>
      <c r="V686" s="56"/>
      <c r="W686" s="56"/>
      <c r="X686" s="56"/>
      <c r="Y686" s="56"/>
      <c r="Z686" s="56"/>
      <c r="AA686" s="56"/>
      <c r="AB686" s="56"/>
    </row>
    <row x14ac:dyDescent="0.25" r="687" customHeight="1" ht="18.75">
      <c r="A687" s="56"/>
      <c r="B687" s="56"/>
      <c r="C687" s="50" t="s">
        <v>16</v>
      </c>
      <c r="D687" s="50"/>
      <c r="E687" s="50"/>
      <c r="F687" s="50" t="s">
        <v>114</v>
      </c>
      <c r="G687" s="55">
        <v>150000000</v>
      </c>
      <c r="H687" s="55"/>
      <c r="I687" s="55"/>
      <c r="J687" s="51">
        <v>4800000</v>
      </c>
      <c r="K687" s="51"/>
      <c r="L687" s="52">
        <v>45932</v>
      </c>
      <c r="M687" s="53">
        <v>45848</v>
      </c>
      <c r="N687" s="50" t="s">
        <v>155</v>
      </c>
      <c r="O687" s="50" t="s">
        <v>295</v>
      </c>
      <c r="P687" s="50" t="s">
        <v>114</v>
      </c>
      <c r="Q687" s="55" t="s">
        <v>2294</v>
      </c>
      <c r="R687" s="55" t="s">
        <v>297</v>
      </c>
      <c r="S687" s="53">
        <v>46966</v>
      </c>
      <c r="T687" s="50"/>
      <c r="U687" s="50"/>
      <c r="V687" s="56"/>
      <c r="W687" s="56"/>
      <c r="X687" s="56"/>
      <c r="Y687" s="56"/>
      <c r="Z687" s="56"/>
      <c r="AA687" s="56"/>
      <c r="AB687" s="56"/>
    </row>
    <row x14ac:dyDescent="0.25" r="688" customHeight="1" ht="18.75">
      <c r="A688" s="56"/>
      <c r="B688" s="56"/>
      <c r="C688" s="50" t="s">
        <v>16</v>
      </c>
      <c r="D688" s="50"/>
      <c r="E688" s="50"/>
      <c r="F688" s="50" t="s">
        <v>2295</v>
      </c>
      <c r="G688" s="55">
        <v>10000000</v>
      </c>
      <c r="H688" s="55"/>
      <c r="I688" s="55"/>
      <c r="J688" s="51">
        <v>800000</v>
      </c>
      <c r="K688" s="51"/>
      <c r="L688" s="52">
        <v>46166</v>
      </c>
      <c r="M688" s="53">
        <v>46105</v>
      </c>
      <c r="N688" s="50" t="s">
        <v>205</v>
      </c>
      <c r="O688" s="50" t="s">
        <v>711</v>
      </c>
      <c r="P688" s="50" t="s">
        <v>2295</v>
      </c>
      <c r="Q688" s="55" t="s">
        <v>2296</v>
      </c>
      <c r="R688" s="55" t="s">
        <v>2297</v>
      </c>
      <c r="S688" s="53">
        <v>47200</v>
      </c>
      <c r="T688" s="50" t="s">
        <v>2298</v>
      </c>
      <c r="U688" s="50" t="s">
        <v>166</v>
      </c>
      <c r="V688" s="56" t="s">
        <v>1856</v>
      </c>
      <c r="W688" s="56"/>
      <c r="X688" s="56"/>
      <c r="Y688" s="56"/>
      <c r="Z688" s="56"/>
      <c r="AA688" s="56"/>
      <c r="AB688" s="56"/>
    </row>
    <row x14ac:dyDescent="0.25" r="689" customHeight="1" ht="18.75">
      <c r="A689" s="48" t="s">
        <v>275</v>
      </c>
      <c r="B689" s="48"/>
      <c r="C689" s="49" t="s">
        <v>16</v>
      </c>
      <c r="D689" s="50"/>
      <c r="E689" s="50"/>
      <c r="F689" s="50" t="s">
        <v>2295</v>
      </c>
      <c r="G689" s="51">
        <v>10000000</v>
      </c>
      <c r="H689" s="51"/>
      <c r="I689" s="51"/>
      <c r="J689" s="87">
        <f>IF(G689&gt;0,_xludf.IFS(G689=10000000,800000,G689=20000000,1528000,G689=30000000,2028000,G689=60000000,4056000),"")</f>
      </c>
      <c r="K689" s="51"/>
      <c r="L689" s="52">
        <v>46166</v>
      </c>
      <c r="M689" s="53">
        <f>IF(L689&gt;0,EDATE(L689,-2),"")</f>
        <v>25569.375</v>
      </c>
      <c r="N689" s="50" t="s">
        <v>205</v>
      </c>
      <c r="O689" s="50" t="s">
        <v>711</v>
      </c>
      <c r="P689" s="50" t="s">
        <v>2156</v>
      </c>
      <c r="Q689" s="55" t="s">
        <v>2296</v>
      </c>
      <c r="R689" s="55">
        <v>79407560</v>
      </c>
      <c r="S689" s="53">
        <f>IF(ISNUMBER(M689), EDATE(M689,36)-1, "")</f>
        <v>25569.375</v>
      </c>
      <c r="T689" s="50"/>
      <c r="U689" s="50"/>
      <c r="V689" s="48" t="s">
        <v>715</v>
      </c>
      <c r="W689" s="56"/>
      <c r="X689" s="56"/>
      <c r="Y689" s="56"/>
      <c r="Z689" s="56"/>
      <c r="AA689" s="56"/>
      <c r="AB689" s="56"/>
    </row>
    <row x14ac:dyDescent="0.25" r="690" customHeight="1" ht="18.75">
      <c r="A690" s="56"/>
      <c r="B690" s="56"/>
      <c r="C690" s="50" t="s">
        <v>16</v>
      </c>
      <c r="D690" s="50"/>
      <c r="E690" s="50"/>
      <c r="F690" s="50" t="s">
        <v>2300</v>
      </c>
      <c r="G690" s="55">
        <v>10000000</v>
      </c>
      <c r="H690" s="55"/>
      <c r="I690" s="55"/>
      <c r="J690" s="51">
        <v>800000</v>
      </c>
      <c r="K690" s="51"/>
      <c r="L690" s="52">
        <v>46166</v>
      </c>
      <c r="M690" s="53">
        <v>46105</v>
      </c>
      <c r="N690" s="50" t="s">
        <v>205</v>
      </c>
      <c r="O690" s="50" t="s">
        <v>711</v>
      </c>
      <c r="P690" s="50" t="s">
        <v>2300</v>
      </c>
      <c r="Q690" s="55" t="s">
        <v>2301</v>
      </c>
      <c r="R690" s="55" t="s">
        <v>2302</v>
      </c>
      <c r="S690" s="53">
        <v>47200</v>
      </c>
      <c r="T690" s="50" t="s">
        <v>2303</v>
      </c>
      <c r="U690" s="50" t="s">
        <v>166</v>
      </c>
      <c r="V690" s="56" t="s">
        <v>1856</v>
      </c>
      <c r="W690" s="56"/>
      <c r="X690" s="56"/>
      <c r="Y690" s="56"/>
      <c r="Z690" s="56"/>
      <c r="AA690" s="56"/>
      <c r="AB690" s="56"/>
    </row>
    <row x14ac:dyDescent="0.25" r="691" customHeight="1" ht="18.75">
      <c r="A691" s="48" t="s">
        <v>275</v>
      </c>
      <c r="B691" s="48"/>
      <c r="C691" s="49" t="s">
        <v>16</v>
      </c>
      <c r="D691" s="50"/>
      <c r="E691" s="50"/>
      <c r="F691" s="50" t="s">
        <v>2300</v>
      </c>
      <c r="G691" s="51">
        <v>10000000</v>
      </c>
      <c r="H691" s="51"/>
      <c r="I691" s="51"/>
      <c r="J691" s="87">
        <f>IF(G691&gt;0,_xludf.IFS(G691=10000000,800000,G691=20000000,1528000,G691=30000000,2028000,G691=60000000,4056000),"")</f>
      </c>
      <c r="K691" s="51"/>
      <c r="L691" s="52">
        <v>46166</v>
      </c>
      <c r="M691" s="53">
        <f>IF(L691&gt;0,EDATE(L691,-2),"")</f>
        <v>25569.375</v>
      </c>
      <c r="N691" s="50" t="s">
        <v>205</v>
      </c>
      <c r="O691" s="50" t="s">
        <v>711</v>
      </c>
      <c r="P691" s="50" t="s">
        <v>2156</v>
      </c>
      <c r="Q691" s="55" t="s">
        <v>2301</v>
      </c>
      <c r="R691" s="55">
        <v>57524153</v>
      </c>
      <c r="S691" s="53">
        <f>IF(ISNUMBER(M691), EDATE(M691,36)-1, "")</f>
        <v>25569.375</v>
      </c>
      <c r="T691" s="50"/>
      <c r="U691" s="50"/>
      <c r="V691" s="48" t="s">
        <v>715</v>
      </c>
      <c r="W691" s="56"/>
      <c r="X691" s="56"/>
      <c r="Y691" s="56"/>
      <c r="Z691" s="56"/>
      <c r="AA691" s="56"/>
      <c r="AB691" s="56"/>
    </row>
    <row x14ac:dyDescent="0.25" r="692" customHeight="1" ht="18.75">
      <c r="A692" s="56"/>
      <c r="B692" s="56"/>
      <c r="C692" s="50" t="s">
        <v>16</v>
      </c>
      <c r="D692" s="50"/>
      <c r="E692" s="50"/>
      <c r="F692" s="50" t="s">
        <v>104</v>
      </c>
      <c r="G692" s="55">
        <v>10000000</v>
      </c>
      <c r="H692" s="55"/>
      <c r="I692" s="55"/>
      <c r="J692" s="51">
        <v>800000</v>
      </c>
      <c r="K692" s="51"/>
      <c r="L692" s="52">
        <v>46041</v>
      </c>
      <c r="M692" s="53">
        <v>45980</v>
      </c>
      <c r="N692" s="50" t="s">
        <v>940</v>
      </c>
      <c r="O692" s="50" t="s">
        <v>2186</v>
      </c>
      <c r="P692" s="50" t="s">
        <v>104</v>
      </c>
      <c r="Q692" s="55" t="s">
        <v>2187</v>
      </c>
      <c r="R692" s="55" t="s">
        <v>2304</v>
      </c>
      <c r="S692" s="53">
        <v>47075</v>
      </c>
      <c r="T692" s="50"/>
      <c r="U692" s="50"/>
      <c r="V692" s="56"/>
      <c r="W692" s="56"/>
      <c r="X692" s="56"/>
      <c r="Y692" s="56"/>
      <c r="Z692" s="56"/>
      <c r="AA692" s="56"/>
      <c r="AB692" s="56"/>
    </row>
    <row x14ac:dyDescent="0.25" r="693" customHeight="1" ht="18.75">
      <c r="A693" s="56"/>
      <c r="B693" s="56"/>
      <c r="C693" s="50" t="s">
        <v>16</v>
      </c>
      <c r="D693" s="50" t="s">
        <v>454</v>
      </c>
      <c r="E693" s="50" t="s">
        <v>647</v>
      </c>
      <c r="F693" s="50" t="s">
        <v>950</v>
      </c>
      <c r="G693" s="51">
        <v>30000000</v>
      </c>
      <c r="H693" s="51"/>
      <c r="I693" s="51"/>
      <c r="J693" s="87">
        <f>IF(G693&gt;0,_xludf.IFS(G693=10000000,1200000,G693=20000000,1800000,G693=30000000,2400000,G693=60000000,4000000),"")</f>
      </c>
      <c r="K693" s="51"/>
      <c r="L693" s="52">
        <v>46208</v>
      </c>
      <c r="M693" s="53">
        <f>IF(L693&gt;0,EDATE(L693,-2),"")</f>
        <v>25569.375</v>
      </c>
      <c r="N693" s="50" t="s">
        <v>217</v>
      </c>
      <c r="O693" s="50" t="s">
        <v>951</v>
      </c>
      <c r="P693" s="54">
        <f>IF(F693&gt;0,F693,"")</f>
      </c>
      <c r="Q693" s="55">
        <v>403813165438</v>
      </c>
      <c r="R693" s="55">
        <v>29340831</v>
      </c>
      <c r="S693" s="53">
        <f>IF(ISNUMBER(M693), EDATE(M693,36)-1, "")</f>
        <v>25569.375</v>
      </c>
      <c r="T693" s="50"/>
      <c r="U693" s="50"/>
      <c r="V693" s="50"/>
      <c r="W693" s="56"/>
      <c r="X693" s="56"/>
      <c r="Y693" s="56"/>
      <c r="Z693" s="56"/>
      <c r="AA693" s="56"/>
      <c r="AB693" s="56"/>
    </row>
    <row x14ac:dyDescent="0.25" r="694" customHeight="1" ht="18.75">
      <c r="A694" s="56"/>
      <c r="B694" s="56"/>
      <c r="C694" s="50" t="s">
        <v>16</v>
      </c>
      <c r="D694" s="50" t="s">
        <v>143</v>
      </c>
      <c r="E694" s="50" t="s">
        <v>22</v>
      </c>
      <c r="F694" s="50" t="s">
        <v>2309</v>
      </c>
      <c r="G694" s="55">
        <v>10000000</v>
      </c>
      <c r="H694" s="55"/>
      <c r="I694" s="55"/>
      <c r="J694" s="51">
        <v>800000</v>
      </c>
      <c r="K694" s="51"/>
      <c r="L694" s="52">
        <v>46145</v>
      </c>
      <c r="M694" s="53">
        <v>46084</v>
      </c>
      <c r="N694" s="50" t="s">
        <v>302</v>
      </c>
      <c r="O694" s="50" t="s">
        <v>2310</v>
      </c>
      <c r="P694" s="50" t="s">
        <v>2309</v>
      </c>
      <c r="Q694" s="55" t="s">
        <v>2311</v>
      </c>
      <c r="R694" s="55" t="s">
        <v>2312</v>
      </c>
      <c r="S694" s="53">
        <v>47179</v>
      </c>
      <c r="T694" s="50" t="s">
        <v>2313</v>
      </c>
      <c r="U694" s="50" t="s">
        <v>166</v>
      </c>
      <c r="V694" s="56"/>
      <c r="W694" s="56"/>
      <c r="X694" s="56"/>
      <c r="Y694" s="56"/>
      <c r="Z694" s="56"/>
      <c r="AA694" s="56"/>
      <c r="AB694" s="56"/>
    </row>
    <row x14ac:dyDescent="0.25" r="695" customHeight="1" ht="18.75">
      <c r="A695" s="56"/>
      <c r="B695" s="56"/>
      <c r="C695" s="50" t="s">
        <v>16</v>
      </c>
      <c r="D695" s="50" t="s">
        <v>900</v>
      </c>
      <c r="E695" s="50" t="s">
        <v>1393</v>
      </c>
      <c r="F695" s="50" t="s">
        <v>3160</v>
      </c>
      <c r="G695" s="51">
        <v>10000000</v>
      </c>
      <c r="H695" s="51"/>
      <c r="I695" s="51"/>
      <c r="J695" s="51">
        <v>800000</v>
      </c>
      <c r="K695" s="51"/>
      <c r="L695" s="52">
        <v>46208</v>
      </c>
      <c r="M695" s="53">
        <f>IF(L695&gt;0,EDATE(L695,-2),"")</f>
        <v>25569.375</v>
      </c>
      <c r="N695" s="50" t="s">
        <v>168</v>
      </c>
      <c r="O695" s="50" t="s">
        <v>3161</v>
      </c>
      <c r="P695" s="54">
        <f>IF(F695&gt;0,F695,"")</f>
      </c>
      <c r="Q695" s="55">
        <v>6702212830425</v>
      </c>
      <c r="R695" s="55">
        <v>80036415</v>
      </c>
      <c r="S695" s="53">
        <f>IF(ISNUMBER(M695), EDATE(M695,36)-1, "")</f>
        <v>25569.375</v>
      </c>
      <c r="T695" s="50"/>
      <c r="U695" s="50"/>
      <c r="V695" s="50"/>
      <c r="W695" s="56"/>
      <c r="X695" s="56"/>
      <c r="Y695" s="56"/>
      <c r="Z695" s="56"/>
      <c r="AA695" s="56"/>
      <c r="AB695" s="56"/>
    </row>
    <row x14ac:dyDescent="0.25" r="696" customHeight="1" ht="18.75">
      <c r="A696" s="48" t="s">
        <v>152</v>
      </c>
      <c r="B696" s="48"/>
      <c r="C696" s="50" t="s">
        <v>16</v>
      </c>
      <c r="D696" s="50"/>
      <c r="E696" s="50" t="s">
        <v>862</v>
      </c>
      <c r="F696" s="50" t="s">
        <v>2319</v>
      </c>
      <c r="G696" s="55">
        <v>10000000</v>
      </c>
      <c r="H696" s="55"/>
      <c r="I696" s="55"/>
      <c r="J696" s="51">
        <v>800000</v>
      </c>
      <c r="K696" s="51"/>
      <c r="L696" s="52">
        <v>46108</v>
      </c>
      <c r="M696" s="53">
        <v>46049</v>
      </c>
      <c r="N696" s="50" t="s">
        <v>168</v>
      </c>
      <c r="O696" s="50" t="s">
        <v>2320</v>
      </c>
      <c r="P696" s="50" t="s">
        <v>2319</v>
      </c>
      <c r="Q696" s="55" t="s">
        <v>2321</v>
      </c>
      <c r="R696" s="55" t="s">
        <v>2322</v>
      </c>
      <c r="S696" s="53">
        <v>47144</v>
      </c>
      <c r="T696" s="50"/>
      <c r="U696" s="50" t="s">
        <v>166</v>
      </c>
      <c r="V696" s="48" t="s">
        <v>2323</v>
      </c>
      <c r="W696" s="56"/>
      <c r="X696" s="56"/>
      <c r="Y696" s="56"/>
      <c r="Z696" s="56"/>
      <c r="AA696" s="56"/>
      <c r="AB696" s="56"/>
    </row>
    <row x14ac:dyDescent="0.25" r="697" customHeight="1" ht="18.75">
      <c r="A697" s="71"/>
      <c r="B697" s="71"/>
      <c r="C697" s="72" t="s">
        <v>16</v>
      </c>
      <c r="D697" s="72"/>
      <c r="E697" s="72" t="s">
        <v>862</v>
      </c>
      <c r="F697" s="72" t="s">
        <v>2319</v>
      </c>
      <c r="G697" s="73">
        <v>10000000</v>
      </c>
      <c r="H697" s="73"/>
      <c r="I697" s="73"/>
      <c r="J697" s="88"/>
      <c r="K697" s="88"/>
      <c r="L697" s="75">
        <v>46138</v>
      </c>
      <c r="M697" s="76">
        <v>46079</v>
      </c>
      <c r="N697" s="72" t="s">
        <v>282</v>
      </c>
      <c r="O697" s="72" t="s">
        <v>2320</v>
      </c>
      <c r="P697" s="72" t="s">
        <v>2319</v>
      </c>
      <c r="Q697" s="73" t="s">
        <v>2321</v>
      </c>
      <c r="R697" s="73" t="s">
        <v>2322</v>
      </c>
      <c r="S697" s="76">
        <v>47174</v>
      </c>
      <c r="T697" s="72"/>
      <c r="U697" s="72" t="s">
        <v>166</v>
      </c>
      <c r="V697" s="71" t="s">
        <v>3330</v>
      </c>
      <c r="W697" s="56"/>
      <c r="X697" s="56"/>
      <c r="Y697" s="56"/>
      <c r="Z697" s="56"/>
      <c r="AA697" s="56"/>
      <c r="AB697" s="56"/>
    </row>
    <row x14ac:dyDescent="0.25" r="698" customHeight="1" ht="18.75">
      <c r="A698" s="56"/>
      <c r="B698" s="56"/>
      <c r="C698" s="50" t="s">
        <v>16</v>
      </c>
      <c r="D698" s="50"/>
      <c r="E698" s="50"/>
      <c r="F698" s="50" t="s">
        <v>2325</v>
      </c>
      <c r="G698" s="55">
        <v>10000000</v>
      </c>
      <c r="H698" s="55"/>
      <c r="I698" s="55"/>
      <c r="J698" s="51">
        <v>800000</v>
      </c>
      <c r="K698" s="51"/>
      <c r="L698" s="52">
        <v>46041</v>
      </c>
      <c r="M698" s="53">
        <v>45980</v>
      </c>
      <c r="N698" s="50" t="s">
        <v>155</v>
      </c>
      <c r="O698" s="50" t="s">
        <v>295</v>
      </c>
      <c r="P698" s="50" t="s">
        <v>114</v>
      </c>
      <c r="Q698" s="55" t="s">
        <v>2326</v>
      </c>
      <c r="R698" s="55" t="s">
        <v>297</v>
      </c>
      <c r="S698" s="53">
        <v>47075</v>
      </c>
      <c r="T698" s="50"/>
      <c r="U698" s="50"/>
      <c r="V698" s="56"/>
      <c r="W698" s="56"/>
      <c r="X698" s="56"/>
      <c r="Y698" s="56"/>
      <c r="Z698" s="56"/>
      <c r="AA698" s="56"/>
      <c r="AB698" s="56"/>
    </row>
    <row x14ac:dyDescent="0.25" r="699" customHeight="1" ht="18.75">
      <c r="A699" s="63"/>
      <c r="B699" s="63"/>
      <c r="C699" s="49" t="s">
        <v>16</v>
      </c>
      <c r="D699" s="49" t="s">
        <v>454</v>
      </c>
      <c r="E699" s="49" t="s">
        <v>455</v>
      </c>
      <c r="F699" s="49" t="s">
        <v>1400</v>
      </c>
      <c r="G699" s="64">
        <v>10000000</v>
      </c>
      <c r="H699" s="64"/>
      <c r="I699" s="64"/>
      <c r="J699" s="64">
        <v>1200000</v>
      </c>
      <c r="K699" s="64"/>
      <c r="L699" s="66">
        <v>46209</v>
      </c>
      <c r="M699" s="67">
        <f>IF(L699&gt;0,EDATE(L699,-2),"")</f>
        <v>25569.375</v>
      </c>
      <c r="N699" s="49" t="s">
        <v>155</v>
      </c>
      <c r="O699" s="49" t="s">
        <v>1401</v>
      </c>
      <c r="P699" s="68">
        <f>IF(F699&gt;0,F699,"")</f>
      </c>
      <c r="Q699" s="69" t="s">
        <v>1402</v>
      </c>
      <c r="R699" s="69">
        <v>27775293</v>
      </c>
      <c r="S699" s="67">
        <f>IF(ISNUMBER(M699), EDATE(M699,36)-1, "")</f>
        <v>25569.375</v>
      </c>
      <c r="T699" s="49"/>
      <c r="U699" s="49"/>
      <c r="V699" s="63"/>
      <c r="W699" s="56"/>
      <c r="X699" s="56"/>
      <c r="Y699" s="56"/>
      <c r="Z699" s="56"/>
      <c r="AA699" s="56"/>
      <c r="AB699" s="56"/>
    </row>
    <row x14ac:dyDescent="0.25" r="700" customHeight="1" ht="18.75">
      <c r="A700" s="56"/>
      <c r="B700" s="56"/>
      <c r="C700" s="50" t="s">
        <v>16</v>
      </c>
      <c r="D700" s="50"/>
      <c r="E700" s="50"/>
      <c r="F700" s="50" t="s">
        <v>2329</v>
      </c>
      <c r="G700" s="55">
        <v>10000000</v>
      </c>
      <c r="H700" s="55"/>
      <c r="I700" s="55"/>
      <c r="J700" s="51">
        <v>800000</v>
      </c>
      <c r="K700" s="51"/>
      <c r="L700" s="52">
        <v>46022</v>
      </c>
      <c r="M700" s="53">
        <v>46022</v>
      </c>
      <c r="N700" s="50" t="s">
        <v>168</v>
      </c>
      <c r="O700" s="50" t="s">
        <v>2330</v>
      </c>
      <c r="P700" s="50" t="s">
        <v>2329</v>
      </c>
      <c r="Q700" s="55" t="s">
        <v>2331</v>
      </c>
      <c r="R700" s="55" t="s">
        <v>2332</v>
      </c>
      <c r="S700" s="53">
        <v>47117</v>
      </c>
      <c r="T700" s="50"/>
      <c r="U700" s="50"/>
      <c r="V700" s="56"/>
      <c r="W700" s="56"/>
      <c r="X700" s="56"/>
      <c r="Y700" s="56"/>
      <c r="Z700" s="56"/>
      <c r="AA700" s="56"/>
      <c r="AB700" s="56"/>
    </row>
    <row x14ac:dyDescent="0.25" r="701" customHeight="1" ht="18.75">
      <c r="A701" s="56"/>
      <c r="B701" s="56"/>
      <c r="C701" s="50" t="s">
        <v>16</v>
      </c>
      <c r="D701" s="50"/>
      <c r="E701" s="50"/>
      <c r="F701" s="50" t="s">
        <v>105</v>
      </c>
      <c r="G701" s="55">
        <v>10000000</v>
      </c>
      <c r="H701" s="55"/>
      <c r="I701" s="55"/>
      <c r="J701" s="51">
        <v>800000</v>
      </c>
      <c r="K701" s="51"/>
      <c r="L701" s="52">
        <v>46044</v>
      </c>
      <c r="M701" s="53">
        <v>45983</v>
      </c>
      <c r="N701" s="50" t="s">
        <v>217</v>
      </c>
      <c r="O701" s="50" t="s">
        <v>2333</v>
      </c>
      <c r="P701" s="50" t="s">
        <v>105</v>
      </c>
      <c r="Q701" s="55" t="s">
        <v>2334</v>
      </c>
      <c r="R701" s="55" t="s">
        <v>2335</v>
      </c>
      <c r="S701" s="53">
        <v>47078</v>
      </c>
      <c r="T701" s="50"/>
      <c r="U701" s="50"/>
      <c r="V701" s="56"/>
      <c r="W701" s="56"/>
      <c r="X701" s="56"/>
      <c r="Y701" s="56"/>
      <c r="Z701" s="56"/>
      <c r="AA701" s="56"/>
      <c r="AB701" s="56"/>
    </row>
    <row x14ac:dyDescent="0.25" r="702" customHeight="1" ht="18.75">
      <c r="A702" s="63"/>
      <c r="B702" s="63"/>
      <c r="C702" s="49" t="s">
        <v>16</v>
      </c>
      <c r="D702" s="49" t="s">
        <v>153</v>
      </c>
      <c r="E702" s="49" t="s">
        <v>276</v>
      </c>
      <c r="F702" s="49" t="s">
        <v>2036</v>
      </c>
      <c r="G702" s="64">
        <v>30000000</v>
      </c>
      <c r="H702" s="64"/>
      <c r="I702" s="64"/>
      <c r="J702" s="64">
        <v>2400000</v>
      </c>
      <c r="K702" s="64"/>
      <c r="L702" s="66">
        <v>46209</v>
      </c>
      <c r="M702" s="67">
        <f>IF(L702&gt;0,EDATE(L702,-2),"")</f>
        <v>25569.375</v>
      </c>
      <c r="N702" s="49" t="s">
        <v>168</v>
      </c>
      <c r="O702" s="49" t="s">
        <v>2037</v>
      </c>
      <c r="P702" s="68">
        <f>IF(F702&gt;0,F702,"")</f>
      </c>
      <c r="Q702" s="69" t="s">
        <v>2038</v>
      </c>
      <c r="R702" s="69">
        <v>63437949</v>
      </c>
      <c r="S702" s="67">
        <f>IF(ISNUMBER(M702), EDATE(M702,36)-1, "")</f>
        <v>25569.375</v>
      </c>
      <c r="T702" s="49"/>
      <c r="U702" s="49"/>
      <c r="V702" s="63" t="s">
        <v>2039</v>
      </c>
      <c r="W702" s="56"/>
      <c r="X702" s="56"/>
      <c r="Y702" s="56"/>
      <c r="Z702" s="56"/>
      <c r="AA702" s="56"/>
      <c r="AB702" s="56"/>
    </row>
    <row x14ac:dyDescent="0.25" r="703" customHeight="1" ht="18.75">
      <c r="A703" s="56" t="s">
        <v>152</v>
      </c>
      <c r="B703" s="56"/>
      <c r="C703" s="50" t="s">
        <v>16</v>
      </c>
      <c r="D703" s="50" t="s">
        <v>454</v>
      </c>
      <c r="E703" s="50" t="s">
        <v>647</v>
      </c>
      <c r="F703" s="50" t="s">
        <v>2341</v>
      </c>
      <c r="G703" s="51">
        <v>10000000</v>
      </c>
      <c r="H703" s="51"/>
      <c r="I703" s="51"/>
      <c r="J703" s="51">
        <v>800000</v>
      </c>
      <c r="K703" s="51"/>
      <c r="L703" s="52">
        <v>46169</v>
      </c>
      <c r="M703" s="53">
        <f>IF(L703&gt;0,EDATE(L703,-2),"")</f>
        <v>25569.375</v>
      </c>
      <c r="N703" s="50" t="s">
        <v>155</v>
      </c>
      <c r="O703" s="50" t="s">
        <v>2342</v>
      </c>
      <c r="P703" s="54">
        <f>IF(F703&gt;0,F703,"")</f>
      </c>
      <c r="Q703" s="55">
        <v>5903051000415</v>
      </c>
      <c r="R703" s="55">
        <v>37264202</v>
      </c>
      <c r="S703" s="53">
        <f>IF(ISNUMBER(M703), EDATE(M703,36)-1, "")</f>
        <v>25569.375</v>
      </c>
      <c r="T703" s="50"/>
      <c r="U703" s="50"/>
      <c r="V703" s="56" t="s">
        <v>2343</v>
      </c>
      <c r="W703" s="56"/>
      <c r="X703" s="56"/>
      <c r="Y703" s="56"/>
      <c r="Z703" s="56"/>
      <c r="AA703" s="56"/>
      <c r="AB703" s="56"/>
    </row>
    <row x14ac:dyDescent="0.25" r="704" customHeight="1" ht="18.75">
      <c r="A704" s="56"/>
      <c r="B704" s="56"/>
      <c r="C704" s="50" t="s">
        <v>16</v>
      </c>
      <c r="D704" s="50"/>
      <c r="E704" s="50"/>
      <c r="F704" s="50" t="s">
        <v>2344</v>
      </c>
      <c r="G704" s="55">
        <v>30000000</v>
      </c>
      <c r="H704" s="55"/>
      <c r="I704" s="55"/>
      <c r="J704" s="51">
        <v>2400000</v>
      </c>
      <c r="K704" s="51"/>
      <c r="L704" s="52">
        <v>45948</v>
      </c>
      <c r="M704" s="53">
        <v>45848</v>
      </c>
      <c r="N704" s="50" t="s">
        <v>155</v>
      </c>
      <c r="O704" s="50" t="s">
        <v>2345</v>
      </c>
      <c r="P704" s="50" t="s">
        <v>2344</v>
      </c>
      <c r="Q704" s="55" t="s">
        <v>2346</v>
      </c>
      <c r="R704" s="55" t="s">
        <v>2347</v>
      </c>
      <c r="S704" s="53">
        <v>46982</v>
      </c>
      <c r="T704" s="50"/>
      <c r="U704" s="50"/>
      <c r="V704" s="56"/>
      <c r="W704" s="56"/>
      <c r="X704" s="56"/>
      <c r="Y704" s="56"/>
      <c r="Z704" s="56"/>
      <c r="AA704" s="56"/>
      <c r="AB704" s="56"/>
    </row>
    <row x14ac:dyDescent="0.25" r="705" customHeight="1" ht="18.75">
      <c r="A705" s="63"/>
      <c r="B705" s="63"/>
      <c r="C705" s="49" t="s">
        <v>16</v>
      </c>
      <c r="D705" s="49"/>
      <c r="E705" s="49" t="s">
        <v>357</v>
      </c>
      <c r="F705" s="49" t="s">
        <v>2377</v>
      </c>
      <c r="G705" s="64">
        <v>10000000</v>
      </c>
      <c r="H705" s="64"/>
      <c r="I705" s="64"/>
      <c r="J705" s="64">
        <v>1200000</v>
      </c>
      <c r="K705" s="64"/>
      <c r="L705" s="66">
        <v>46209</v>
      </c>
      <c r="M705" s="67">
        <f>IF(L705&gt;0,EDATE(L705,-2),"")</f>
        <v>25569.375</v>
      </c>
      <c r="N705" s="49" t="s">
        <v>217</v>
      </c>
      <c r="O705" s="49" t="s">
        <v>2378</v>
      </c>
      <c r="P705" s="68">
        <f>IF(F705&gt;0,F705,"")</f>
      </c>
      <c r="Q705" s="69" t="s">
        <v>2379</v>
      </c>
      <c r="R705" s="69">
        <v>54453764</v>
      </c>
      <c r="S705" s="67">
        <f>IF(ISNUMBER(M705), EDATE(M705,36)-1, "")</f>
        <v>25569.375</v>
      </c>
      <c r="T705" s="49"/>
      <c r="U705" s="49"/>
      <c r="V705" s="63"/>
      <c r="W705" s="56"/>
      <c r="X705" s="56"/>
      <c r="Y705" s="56"/>
      <c r="Z705" s="56"/>
      <c r="AA705" s="56"/>
      <c r="AB705" s="56"/>
    </row>
    <row x14ac:dyDescent="0.25" r="706" customHeight="1" ht="18.75">
      <c r="A706" s="56"/>
      <c r="B706" s="56"/>
      <c r="C706" s="50" t="s">
        <v>16</v>
      </c>
      <c r="D706" s="50" t="s">
        <v>737</v>
      </c>
      <c r="E706" s="50" t="s">
        <v>357</v>
      </c>
      <c r="F706" s="50" t="s">
        <v>3201</v>
      </c>
      <c r="G706" s="55">
        <v>20000000</v>
      </c>
      <c r="H706" s="55"/>
      <c r="I706" s="55"/>
      <c r="J706" s="51">
        <v>1528000</v>
      </c>
      <c r="K706" s="51"/>
      <c r="L706" s="52">
        <v>46209</v>
      </c>
      <c r="M706" s="53">
        <v>46148</v>
      </c>
      <c r="N706" s="50" t="s">
        <v>217</v>
      </c>
      <c r="O706" s="50" t="s">
        <v>3202</v>
      </c>
      <c r="P706" s="50" t="s">
        <v>3201</v>
      </c>
      <c r="Q706" s="55" t="s">
        <v>3203</v>
      </c>
      <c r="R706" s="55" t="s">
        <v>3204</v>
      </c>
      <c r="S706" s="53">
        <v>47243</v>
      </c>
      <c r="T706" s="50"/>
      <c r="U706" s="50"/>
      <c r="V706" s="56"/>
      <c r="W706" s="56"/>
      <c r="X706" s="56"/>
      <c r="Y706" s="56"/>
      <c r="Z706" s="56"/>
      <c r="AA706" s="56"/>
      <c r="AB706" s="56"/>
    </row>
    <row x14ac:dyDescent="0.25" r="707" customHeight="1" ht="18.75">
      <c r="A707" s="56"/>
      <c r="B707" s="56"/>
      <c r="C707" s="50" t="s">
        <v>16</v>
      </c>
      <c r="D707" s="50"/>
      <c r="E707" s="50" t="s">
        <v>75</v>
      </c>
      <c r="F707" s="50" t="s">
        <v>2354</v>
      </c>
      <c r="G707" s="55">
        <v>10000000</v>
      </c>
      <c r="H707" s="55"/>
      <c r="I707" s="55"/>
      <c r="J707" s="51">
        <v>500000</v>
      </c>
      <c r="K707" s="51"/>
      <c r="L707" s="52">
        <v>46146</v>
      </c>
      <c r="M707" s="53">
        <v>46085</v>
      </c>
      <c r="N707" s="50" t="s">
        <v>217</v>
      </c>
      <c r="O707" s="50" t="s">
        <v>2355</v>
      </c>
      <c r="P707" s="50" t="s">
        <v>2354</v>
      </c>
      <c r="Q707" s="55" t="s">
        <v>2356</v>
      </c>
      <c r="R707" s="55" t="s">
        <v>2357</v>
      </c>
      <c r="S707" s="53">
        <v>47180</v>
      </c>
      <c r="T707" s="50" t="s">
        <v>2358</v>
      </c>
      <c r="U707" s="50"/>
      <c r="V707" s="48" t="s">
        <v>2359</v>
      </c>
      <c r="W707" s="56"/>
      <c r="X707" s="56"/>
      <c r="Y707" s="56"/>
      <c r="Z707" s="56"/>
      <c r="AA707" s="56"/>
      <c r="AB707" s="56"/>
    </row>
    <row x14ac:dyDescent="0.25" r="708" customHeight="1" ht="18.75">
      <c r="A708" s="48" t="s">
        <v>275</v>
      </c>
      <c r="B708" s="48"/>
      <c r="C708" s="50" t="s">
        <v>16</v>
      </c>
      <c r="D708" s="50"/>
      <c r="E708" s="50"/>
      <c r="F708" s="50" t="s">
        <v>106</v>
      </c>
      <c r="G708" s="55">
        <v>60000000</v>
      </c>
      <c r="H708" s="55"/>
      <c r="I708" s="55"/>
      <c r="J708" s="51">
        <v>4800000</v>
      </c>
      <c r="K708" s="51"/>
      <c r="L708" s="52">
        <v>46094</v>
      </c>
      <c r="M708" s="53">
        <v>46022</v>
      </c>
      <c r="N708" s="50" t="s">
        <v>212</v>
      </c>
      <c r="O708" s="50" t="s">
        <v>2360</v>
      </c>
      <c r="P708" s="50" t="s">
        <v>106</v>
      </c>
      <c r="Q708" s="55" t="s">
        <v>2361</v>
      </c>
      <c r="R708" s="55" t="s">
        <v>1823</v>
      </c>
      <c r="S708" s="53">
        <v>47117</v>
      </c>
      <c r="T708" s="50"/>
      <c r="U708" s="50"/>
      <c r="V708" s="56"/>
      <c r="W708" s="56"/>
      <c r="X708" s="56"/>
      <c r="Y708" s="56"/>
      <c r="Z708" s="56"/>
      <c r="AA708" s="56"/>
      <c r="AB708" s="56"/>
    </row>
    <row x14ac:dyDescent="0.25" r="709" customHeight="1" ht="18.75">
      <c r="A709" s="56"/>
      <c r="B709" s="56"/>
      <c r="C709" s="50" t="s">
        <v>16</v>
      </c>
      <c r="D709" s="50"/>
      <c r="E709" s="50"/>
      <c r="F709" s="50" t="s">
        <v>2362</v>
      </c>
      <c r="G709" s="55">
        <v>60000000</v>
      </c>
      <c r="H709" s="55"/>
      <c r="I709" s="55"/>
      <c r="J709" s="51">
        <v>4056000</v>
      </c>
      <c r="K709" s="51"/>
      <c r="L709" s="52">
        <v>46001</v>
      </c>
      <c r="M709" s="53">
        <v>45940</v>
      </c>
      <c r="N709" s="50" t="s">
        <v>239</v>
      </c>
      <c r="O709" s="50" t="s">
        <v>2363</v>
      </c>
      <c r="P709" s="50" t="s">
        <v>2362</v>
      </c>
      <c r="Q709" s="55" t="s">
        <v>2364</v>
      </c>
      <c r="R709" s="55" t="s">
        <v>2365</v>
      </c>
      <c r="S709" s="53">
        <v>47035</v>
      </c>
      <c r="T709" s="50"/>
      <c r="U709" s="50"/>
      <c r="V709" s="56"/>
      <c r="W709" s="56"/>
      <c r="X709" s="56"/>
      <c r="Y709" s="56"/>
      <c r="Z709" s="56"/>
      <c r="AA709" s="56"/>
      <c r="AB709" s="56"/>
    </row>
    <row x14ac:dyDescent="0.25" r="710" customHeight="1" ht="18.75">
      <c r="A710" s="56"/>
      <c r="B710" s="56"/>
      <c r="C710" s="50" t="s">
        <v>16</v>
      </c>
      <c r="D710" s="50" t="s">
        <v>410</v>
      </c>
      <c r="E710" s="50" t="s">
        <v>1294</v>
      </c>
      <c r="F710" s="50" t="s">
        <v>2362</v>
      </c>
      <c r="G710" s="55">
        <v>30000000</v>
      </c>
      <c r="H710" s="55"/>
      <c r="I710" s="55"/>
      <c r="J710" s="51">
        <v>2028000</v>
      </c>
      <c r="K710" s="51"/>
      <c r="L710" s="52">
        <v>46138</v>
      </c>
      <c r="M710" s="53">
        <v>46079</v>
      </c>
      <c r="N710" s="50" t="s">
        <v>302</v>
      </c>
      <c r="O710" s="50" t="s">
        <v>2366</v>
      </c>
      <c r="P710" s="50" t="s">
        <v>2362</v>
      </c>
      <c r="Q710" s="55" t="s">
        <v>2364</v>
      </c>
      <c r="R710" s="55" t="s">
        <v>1712</v>
      </c>
      <c r="S710" s="53">
        <v>47174</v>
      </c>
      <c r="T710" s="50"/>
      <c r="U710" s="50"/>
      <c r="V710" s="56"/>
      <c r="W710" s="56"/>
      <c r="X710" s="56"/>
      <c r="Y710" s="56"/>
      <c r="Z710" s="56"/>
      <c r="AA710" s="56"/>
      <c r="AB710" s="56"/>
    </row>
    <row x14ac:dyDescent="0.25" r="711" customHeight="1" ht="18.75">
      <c r="A711" s="71"/>
      <c r="B711" s="71"/>
      <c r="C711" s="72" t="s">
        <v>16</v>
      </c>
      <c r="D711" s="72" t="s">
        <v>55</v>
      </c>
      <c r="E711" s="72"/>
      <c r="F711" s="72" t="s">
        <v>2367</v>
      </c>
      <c r="G711" s="73">
        <v>10000000</v>
      </c>
      <c r="H711" s="73"/>
      <c r="I711" s="73"/>
      <c r="J711" s="74"/>
      <c r="K711" s="74"/>
      <c r="L711" s="75">
        <v>46156</v>
      </c>
      <c r="M711" s="76">
        <v>46095</v>
      </c>
      <c r="N711" s="72" t="s">
        <v>217</v>
      </c>
      <c r="O711" s="72" t="s">
        <v>2368</v>
      </c>
      <c r="P711" s="72" t="s">
        <v>2367</v>
      </c>
      <c r="Q711" s="73" t="s">
        <v>2369</v>
      </c>
      <c r="R711" s="73" t="s">
        <v>2370</v>
      </c>
      <c r="S711" s="76">
        <v>47190</v>
      </c>
      <c r="T711" s="72" t="s">
        <v>2371</v>
      </c>
      <c r="U711" s="72" t="s">
        <v>293</v>
      </c>
      <c r="V711" s="71"/>
      <c r="W711" s="56"/>
      <c r="X711" s="56"/>
      <c r="Y711" s="56"/>
      <c r="Z711" s="56"/>
      <c r="AA711" s="56"/>
      <c r="AB711" s="56"/>
    </row>
    <row x14ac:dyDescent="0.25" r="712" customHeight="1" ht="18.75">
      <c r="A712" s="63"/>
      <c r="B712" s="63"/>
      <c r="C712" s="49" t="s">
        <v>16</v>
      </c>
      <c r="D712" s="49"/>
      <c r="E712" s="49" t="s">
        <v>357</v>
      </c>
      <c r="F712" s="49" t="s">
        <v>1011</v>
      </c>
      <c r="G712" s="64">
        <v>10000000</v>
      </c>
      <c r="H712" s="64"/>
      <c r="I712" s="64"/>
      <c r="J712" s="64">
        <v>1200000</v>
      </c>
      <c r="K712" s="64"/>
      <c r="L712" s="66">
        <v>46210</v>
      </c>
      <c r="M712" s="67">
        <f>IF(L712&gt;0,EDATE(L712,-2),"")</f>
        <v>25569.375</v>
      </c>
      <c r="N712" s="49" t="s">
        <v>212</v>
      </c>
      <c r="O712" s="49" t="s">
        <v>1018</v>
      </c>
      <c r="P712" s="68">
        <f>IF(F712&gt;0,F712,"")</f>
      </c>
      <c r="Q712" s="69" t="s">
        <v>1019</v>
      </c>
      <c r="R712" s="69">
        <v>87680141</v>
      </c>
      <c r="S712" s="67">
        <f>IF(ISNUMBER(M712), EDATE(M712,36)-1, "")</f>
        <v>25569.375</v>
      </c>
      <c r="T712" s="49"/>
      <c r="U712" s="49"/>
      <c r="V712" s="63"/>
      <c r="W712" s="56"/>
      <c r="X712" s="56"/>
      <c r="Y712" s="56"/>
      <c r="Z712" s="56"/>
      <c r="AA712" s="56"/>
      <c r="AB712" s="56"/>
    </row>
    <row x14ac:dyDescent="0.25" r="713" customHeight="1" ht="18.75">
      <c r="A713" s="63"/>
      <c r="B713" s="63"/>
      <c r="C713" s="49" t="s">
        <v>16</v>
      </c>
      <c r="D713" s="49" t="s">
        <v>454</v>
      </c>
      <c r="E713" s="49" t="s">
        <v>1325</v>
      </c>
      <c r="F713" s="49" t="s">
        <v>327</v>
      </c>
      <c r="G713" s="64">
        <v>10000000</v>
      </c>
      <c r="H713" s="64"/>
      <c r="I713" s="64"/>
      <c r="J713" s="64">
        <v>1200000</v>
      </c>
      <c r="K713" s="64"/>
      <c r="L713" s="66">
        <v>46210</v>
      </c>
      <c r="M713" s="67">
        <f>IF(L713&gt;0,EDATE(L713,-2),"")</f>
        <v>25569.375</v>
      </c>
      <c r="N713" s="49" t="s">
        <v>155</v>
      </c>
      <c r="O713" s="49" t="s">
        <v>1326</v>
      </c>
      <c r="P713" s="68">
        <f>IF(F713&gt;0,F713,"")</f>
      </c>
      <c r="Q713" s="69" t="s">
        <v>1327</v>
      </c>
      <c r="R713" s="69">
        <v>93125320</v>
      </c>
      <c r="S713" s="67">
        <f>IF(ISNUMBER(M713), EDATE(M713,36)-1, "")</f>
        <v>25569.375</v>
      </c>
      <c r="T713" s="49"/>
      <c r="U713" s="49"/>
      <c r="V713" s="63"/>
      <c r="W713" s="56"/>
      <c r="X713" s="56"/>
      <c r="Y713" s="56"/>
      <c r="Z713" s="56"/>
      <c r="AA713" s="56"/>
      <c r="AB713" s="56"/>
    </row>
    <row x14ac:dyDescent="0.25" r="714" customHeight="1" ht="18.75">
      <c r="A714" s="56"/>
      <c r="B714" s="56"/>
      <c r="C714" s="50" t="s">
        <v>13</v>
      </c>
      <c r="D714" s="50"/>
      <c r="E714" s="50"/>
      <c r="F714" s="50" t="s">
        <v>56</v>
      </c>
      <c r="G714" s="55">
        <v>20000000</v>
      </c>
      <c r="H714" s="55"/>
      <c r="I714" s="55"/>
      <c r="J714" s="51">
        <v>1650000</v>
      </c>
      <c r="K714" s="51"/>
      <c r="L714" s="52">
        <v>45778</v>
      </c>
      <c r="M714" s="53">
        <v>45717</v>
      </c>
      <c r="N714" s="50" t="s">
        <v>306</v>
      </c>
      <c r="O714" s="50" t="s">
        <v>2380</v>
      </c>
      <c r="P714" s="50" t="s">
        <v>56</v>
      </c>
      <c r="Q714" s="55" t="s">
        <v>2381</v>
      </c>
      <c r="R714" s="55" t="s">
        <v>2382</v>
      </c>
      <c r="S714" s="53">
        <v>46812</v>
      </c>
      <c r="T714" s="50"/>
      <c r="U714" s="50" t="s">
        <v>2383</v>
      </c>
      <c r="V714" s="56"/>
      <c r="W714" s="56"/>
      <c r="X714" s="56"/>
      <c r="Y714" s="56"/>
      <c r="Z714" s="56"/>
      <c r="AA714" s="56"/>
      <c r="AB714" s="56"/>
    </row>
    <row x14ac:dyDescent="0.25" r="715" customHeight="1" ht="18.75">
      <c r="A715" s="56"/>
      <c r="B715" s="56"/>
      <c r="C715" s="50" t="s">
        <v>16</v>
      </c>
      <c r="D715" s="50"/>
      <c r="E715" s="50"/>
      <c r="F715" s="50" t="s">
        <v>56</v>
      </c>
      <c r="G715" s="55">
        <v>10000000</v>
      </c>
      <c r="H715" s="55"/>
      <c r="I715" s="55"/>
      <c r="J715" s="51">
        <v>800000</v>
      </c>
      <c r="K715" s="51"/>
      <c r="L715" s="52">
        <v>45880</v>
      </c>
      <c r="M715" s="53">
        <v>45819</v>
      </c>
      <c r="N715" s="50" t="s">
        <v>306</v>
      </c>
      <c r="O715" s="50" t="s">
        <v>2380</v>
      </c>
      <c r="P715" s="50" t="s">
        <v>56</v>
      </c>
      <c r="Q715" s="55" t="s">
        <v>2381</v>
      </c>
      <c r="R715" s="55" t="s">
        <v>2382</v>
      </c>
      <c r="S715" s="53">
        <v>46914</v>
      </c>
      <c r="T715" s="50"/>
      <c r="U715" s="50"/>
      <c r="V715" s="56"/>
      <c r="W715" s="56"/>
      <c r="X715" s="56"/>
      <c r="Y715" s="56"/>
      <c r="Z715" s="56"/>
      <c r="AA715" s="56"/>
      <c r="AB715" s="56"/>
    </row>
    <row x14ac:dyDescent="0.25" r="716" customHeight="1" ht="18.75">
      <c r="A716" s="56"/>
      <c r="B716" s="56"/>
      <c r="C716" s="49" t="s">
        <v>16</v>
      </c>
      <c r="D716" s="50" t="s">
        <v>410</v>
      </c>
      <c r="E716" s="50" t="s">
        <v>534</v>
      </c>
      <c r="F716" s="50" t="s">
        <v>2327</v>
      </c>
      <c r="G716" s="51">
        <v>10000000</v>
      </c>
      <c r="H716" s="51"/>
      <c r="I716" s="51"/>
      <c r="J716" s="87">
        <f>IF(G716&gt;0,_xludf.IFS(G716=10000000,1200000,G716=20000000,1800000,G716=30000000,2400000,G716=60000000,4000000),"")</f>
      </c>
      <c r="K716" s="51"/>
      <c r="L716" s="52">
        <v>46210</v>
      </c>
      <c r="M716" s="53">
        <f>IF(L716&gt;0,EDATE(L716,-2),"")</f>
        <v>25569.375</v>
      </c>
      <c r="N716" s="50" t="s">
        <v>168</v>
      </c>
      <c r="O716" s="50" t="s">
        <v>2328</v>
      </c>
      <c r="P716" s="54">
        <f>IF(F716&gt;0,F716,"")</f>
      </c>
      <c r="Q716" s="55">
        <v>7611071481615</v>
      </c>
      <c r="R716" s="55">
        <v>41950893</v>
      </c>
      <c r="S716" s="53">
        <f>IF(ISNUMBER(M716), EDATE(M716,36)-1, "")</f>
        <v>25569.375</v>
      </c>
      <c r="T716" s="50"/>
      <c r="U716" s="50"/>
      <c r="V716" s="56"/>
      <c r="W716" s="56"/>
      <c r="X716" s="56"/>
      <c r="Y716" s="56"/>
      <c r="Z716" s="56"/>
      <c r="AA716" s="56"/>
      <c r="AB716" s="56"/>
    </row>
    <row x14ac:dyDescent="0.25" r="717" customHeight="1" ht="18.75">
      <c r="A717" s="56"/>
      <c r="B717" s="56"/>
      <c r="C717" s="50" t="s">
        <v>27</v>
      </c>
      <c r="D717" s="50"/>
      <c r="E717" s="50"/>
      <c r="F717" s="50" t="s">
        <v>56</v>
      </c>
      <c r="G717" s="51">
        <v>3000000</v>
      </c>
      <c r="H717" s="51"/>
      <c r="I717" s="51"/>
      <c r="J717" s="51">
        <v>300000</v>
      </c>
      <c r="K717" s="51"/>
      <c r="L717" s="52">
        <v>46031</v>
      </c>
      <c r="M717" s="53">
        <v>46000</v>
      </c>
      <c r="N717" s="50" t="s">
        <v>282</v>
      </c>
      <c r="O717" s="50" t="s">
        <v>2389</v>
      </c>
      <c r="P717" s="50" t="s">
        <v>56</v>
      </c>
      <c r="Q717" s="55">
        <v>8503022125812</v>
      </c>
      <c r="R717" s="55">
        <v>33821764</v>
      </c>
      <c r="S717" s="53">
        <f>IF(ISNUMBER(M717), EDATE(M717,36)-1, "")</f>
        <v>25569.375</v>
      </c>
      <c r="T717" s="50"/>
      <c r="U717" s="50"/>
      <c r="V717" s="56"/>
      <c r="W717" s="56"/>
      <c r="X717" s="56"/>
      <c r="Y717" s="56"/>
      <c r="Z717" s="56"/>
      <c r="AA717" s="56"/>
      <c r="AB717" s="56"/>
    </row>
    <row x14ac:dyDescent="0.25" r="718" customHeight="1" ht="18.75">
      <c r="A718" s="56"/>
      <c r="B718" s="56"/>
      <c r="C718" s="50" t="s">
        <v>16</v>
      </c>
      <c r="D718" s="50"/>
      <c r="E718" s="50" t="s">
        <v>107</v>
      </c>
      <c r="F718" s="50" t="s">
        <v>108</v>
      </c>
      <c r="G718" s="55">
        <v>1000000</v>
      </c>
      <c r="H718" s="55"/>
      <c r="I718" s="55"/>
      <c r="J718" s="51">
        <v>1528000</v>
      </c>
      <c r="K718" s="51"/>
      <c r="L718" s="52">
        <v>46081</v>
      </c>
      <c r="M718" s="53">
        <v>46022</v>
      </c>
      <c r="N718" s="50" t="s">
        <v>155</v>
      </c>
      <c r="O718" s="50" t="s">
        <v>2390</v>
      </c>
      <c r="P718" s="50" t="s">
        <v>108</v>
      </c>
      <c r="Q718" s="55" t="s">
        <v>2391</v>
      </c>
      <c r="R718" s="55" t="s">
        <v>2392</v>
      </c>
      <c r="S718" s="53">
        <v>47117</v>
      </c>
      <c r="T718" s="50" t="s">
        <v>109</v>
      </c>
      <c r="U718" s="50" t="s">
        <v>166</v>
      </c>
      <c r="V718" s="56"/>
      <c r="W718" s="56"/>
      <c r="X718" s="56"/>
      <c r="Y718" s="56"/>
      <c r="Z718" s="56"/>
      <c r="AA718" s="56"/>
      <c r="AB718" s="56"/>
    </row>
    <row x14ac:dyDescent="0.25" r="719" customHeight="1" ht="18.75">
      <c r="A719" s="56"/>
      <c r="B719" s="56"/>
      <c r="C719" s="50" t="s">
        <v>16</v>
      </c>
      <c r="D719" s="50" t="s">
        <v>143</v>
      </c>
      <c r="E719" s="50"/>
      <c r="F719" s="50" t="s">
        <v>2919</v>
      </c>
      <c r="G719" s="55">
        <v>60000000</v>
      </c>
      <c r="H719" s="55"/>
      <c r="I719" s="55"/>
      <c r="J719" s="51">
        <v>4000000</v>
      </c>
      <c r="K719" s="51"/>
      <c r="L719" s="52">
        <v>46210</v>
      </c>
      <c r="M719" s="53">
        <v>46149</v>
      </c>
      <c r="N719" s="50" t="s">
        <v>155</v>
      </c>
      <c r="O719" s="50" t="s">
        <v>2924</v>
      </c>
      <c r="P719" s="50" t="s">
        <v>2919</v>
      </c>
      <c r="Q719" s="55" t="s">
        <v>2925</v>
      </c>
      <c r="R719" s="55" t="s">
        <v>2926</v>
      </c>
      <c r="S719" s="53">
        <v>47244</v>
      </c>
      <c r="T719" s="50"/>
      <c r="U719" s="50"/>
      <c r="V719" s="56"/>
      <c r="W719" s="56"/>
      <c r="X719" s="56"/>
      <c r="Y719" s="56"/>
      <c r="Z719" s="56"/>
      <c r="AA719" s="56"/>
      <c r="AB719" s="56"/>
    </row>
    <row x14ac:dyDescent="0.25" r="720" customHeight="1" ht="18.75">
      <c r="A720" s="71"/>
      <c r="B720" s="71"/>
      <c r="C720" s="72" t="s">
        <v>16</v>
      </c>
      <c r="D720" s="72"/>
      <c r="E720" s="72" t="s">
        <v>117</v>
      </c>
      <c r="F720" s="72" t="s">
        <v>521</v>
      </c>
      <c r="G720" s="73">
        <v>10000000</v>
      </c>
      <c r="H720" s="73"/>
      <c r="I720" s="73"/>
      <c r="J720" s="74"/>
      <c r="K720" s="74"/>
      <c r="L720" s="75">
        <v>46140</v>
      </c>
      <c r="M720" s="76">
        <v>46081</v>
      </c>
      <c r="N720" s="72" t="s">
        <v>282</v>
      </c>
      <c r="O720" s="72" t="s">
        <v>2397</v>
      </c>
      <c r="P720" s="72" t="s">
        <v>521</v>
      </c>
      <c r="Q720" s="73" t="s">
        <v>2398</v>
      </c>
      <c r="R720" s="73" t="s">
        <v>2399</v>
      </c>
      <c r="S720" s="76">
        <v>47176</v>
      </c>
      <c r="T720" s="72" t="s">
        <v>2400</v>
      </c>
      <c r="U720" s="72" t="s">
        <v>166</v>
      </c>
      <c r="V720" s="71"/>
      <c r="W720" s="56"/>
      <c r="X720" s="56"/>
      <c r="Y720" s="56"/>
      <c r="Z720" s="56"/>
      <c r="AA720" s="56"/>
      <c r="AB720" s="56"/>
    </row>
    <row x14ac:dyDescent="0.25" r="721" customHeight="1" ht="18.75">
      <c r="A721" s="56"/>
      <c r="B721" s="56"/>
      <c r="C721" s="49" t="s">
        <v>16</v>
      </c>
      <c r="D721" s="50"/>
      <c r="E721" s="50"/>
      <c r="F721" s="50" t="s">
        <v>3198</v>
      </c>
      <c r="G721" s="51">
        <v>30000000</v>
      </c>
      <c r="H721" s="51"/>
      <c r="I721" s="51"/>
      <c r="J721" s="51">
        <v>2400000</v>
      </c>
      <c r="K721" s="51"/>
      <c r="L721" s="52">
        <v>46210</v>
      </c>
      <c r="M721" s="53">
        <f>IF(L721&gt;0,EDATE(L721,-2),"")</f>
        <v>25569.375</v>
      </c>
      <c r="N721" s="50" t="s">
        <v>155</v>
      </c>
      <c r="O721" s="50" t="s">
        <v>3199</v>
      </c>
      <c r="P721" s="54">
        <f>IF(F721&gt;0,F721,"")</f>
      </c>
      <c r="Q721" s="55" t="s">
        <v>3200</v>
      </c>
      <c r="R721" s="55">
        <v>28920486</v>
      </c>
      <c r="S721" s="53">
        <f>IF(ISNUMBER(M721), EDATE(M721,36)-1, "")</f>
        <v>25569.375</v>
      </c>
      <c r="T721" s="50"/>
      <c r="U721" s="50"/>
      <c r="V721" s="56"/>
      <c r="W721" s="56"/>
      <c r="X721" s="56"/>
      <c r="Y721" s="56"/>
      <c r="Z721" s="56"/>
      <c r="AA721" s="56"/>
      <c r="AB721" s="56"/>
    </row>
    <row x14ac:dyDescent="0.25" r="722" customHeight="1" ht="18.75">
      <c r="A722" s="56"/>
      <c r="B722" s="56"/>
      <c r="C722" s="50" t="s">
        <v>16</v>
      </c>
      <c r="D722" s="50"/>
      <c r="E722" s="50"/>
      <c r="F722" s="50" t="s">
        <v>396</v>
      </c>
      <c r="G722" s="55">
        <v>10000000</v>
      </c>
      <c r="H722" s="55"/>
      <c r="I722" s="55"/>
      <c r="J722" s="51">
        <v>1200000</v>
      </c>
      <c r="K722" s="51"/>
      <c r="L722" s="52">
        <v>46211</v>
      </c>
      <c r="M722" s="53">
        <v>46150</v>
      </c>
      <c r="N722" s="50" t="s">
        <v>302</v>
      </c>
      <c r="O722" s="50" t="s">
        <v>397</v>
      </c>
      <c r="P722" s="50" t="s">
        <v>396</v>
      </c>
      <c r="Q722" s="55" t="s">
        <v>398</v>
      </c>
      <c r="R722" s="55" t="s">
        <v>399</v>
      </c>
      <c r="S722" s="53">
        <v>47245</v>
      </c>
      <c r="T722" s="50"/>
      <c r="U722" s="50"/>
      <c r="V722" s="56"/>
      <c r="W722" s="56"/>
      <c r="X722" s="56"/>
      <c r="Y722" s="56"/>
      <c r="Z722" s="56"/>
      <c r="AA722" s="56"/>
      <c r="AB722" s="56"/>
    </row>
    <row x14ac:dyDescent="0.25" r="723" customHeight="1" ht="18.75">
      <c r="A723" s="56"/>
      <c r="B723" s="56"/>
      <c r="C723" s="49" t="s">
        <v>16</v>
      </c>
      <c r="D723" s="50" t="s">
        <v>410</v>
      </c>
      <c r="E723" s="50" t="s">
        <v>411</v>
      </c>
      <c r="F723" s="50" t="s">
        <v>412</v>
      </c>
      <c r="G723" s="51">
        <v>10000000</v>
      </c>
      <c r="H723" s="51"/>
      <c r="I723" s="51"/>
      <c r="J723" s="87">
        <f>IF(G723&gt;0,_xludf.IFS(G723=10000000,1200000,G723=20000000,1800000,G723=30000000,2400000,G723=60000000,4000000),"")</f>
      </c>
      <c r="K723" s="51"/>
      <c r="L723" s="52">
        <v>46211</v>
      </c>
      <c r="M723" s="53">
        <f>IF(L723&gt;0,EDATE(L723,-2),"")</f>
        <v>25569.375</v>
      </c>
      <c r="N723" s="50" t="s">
        <v>168</v>
      </c>
      <c r="O723" s="50" t="s">
        <v>413</v>
      </c>
      <c r="P723" s="54">
        <f>IF(F723&gt;0,F723,"")</f>
      </c>
      <c r="Q723" s="55" t="s">
        <v>414</v>
      </c>
      <c r="R723" s="55">
        <v>5515700</v>
      </c>
      <c r="S723" s="53">
        <f>IF(ISNUMBER(M723), EDATE(M723,36)-1, "")</f>
        <v>25569.375</v>
      </c>
      <c r="T723" s="50"/>
      <c r="U723" s="50"/>
      <c r="V723" s="56"/>
      <c r="W723" s="56"/>
      <c r="X723" s="56"/>
      <c r="Y723" s="56"/>
      <c r="Z723" s="56"/>
      <c r="AA723" s="56"/>
      <c r="AB723" s="56"/>
    </row>
    <row x14ac:dyDescent="0.25" r="724" customHeight="1" ht="18.75">
      <c r="A724" s="56"/>
      <c r="B724" s="56"/>
      <c r="C724" s="49" t="s">
        <v>16</v>
      </c>
      <c r="D724" s="50"/>
      <c r="E724" s="50"/>
      <c r="F724" s="50" t="s">
        <v>2408</v>
      </c>
      <c r="G724" s="51">
        <v>10000000</v>
      </c>
      <c r="H724" s="51"/>
      <c r="I724" s="51"/>
      <c r="J724" s="87">
        <f>IF(G724&gt;0,_xludf.IFS(G724=10000000,800000,G724=20000000,1528000,G724=30000000,2028000,G724=60000000,4056000),"")</f>
      </c>
      <c r="K724" s="51"/>
      <c r="L724" s="52">
        <v>46108</v>
      </c>
      <c r="M724" s="53">
        <f>IF(L724&gt;0,EDATE(L724,-2),"")</f>
        <v>25569.375</v>
      </c>
      <c r="N724" s="50" t="s">
        <v>234</v>
      </c>
      <c r="O724" s="50" t="s">
        <v>2409</v>
      </c>
      <c r="P724" s="50" t="s">
        <v>3331</v>
      </c>
      <c r="Q724" s="55" t="s">
        <v>2410</v>
      </c>
      <c r="R724" s="55">
        <v>86121680</v>
      </c>
      <c r="S724" s="53">
        <f>IF(ISNUMBER(M724), EDATE(M724,36)-1, "")</f>
        <v>25569.375</v>
      </c>
      <c r="T724" s="50"/>
      <c r="U724" s="50"/>
      <c r="V724" s="56"/>
      <c r="W724" s="56"/>
      <c r="X724" s="56"/>
      <c r="Y724" s="56"/>
      <c r="Z724" s="56"/>
      <c r="AA724" s="56"/>
      <c r="AB724" s="56"/>
    </row>
    <row x14ac:dyDescent="0.25" r="725" customHeight="1" ht="18.75">
      <c r="A725" s="63" t="s">
        <v>708</v>
      </c>
      <c r="B725" s="63"/>
      <c r="C725" s="49" t="s">
        <v>16</v>
      </c>
      <c r="D725" s="49" t="s">
        <v>80</v>
      </c>
      <c r="E725" s="49" t="s">
        <v>596</v>
      </c>
      <c r="F725" s="49" t="s">
        <v>117</v>
      </c>
      <c r="G725" s="64">
        <v>10000000</v>
      </c>
      <c r="H725" s="64"/>
      <c r="I725" s="64"/>
      <c r="J725" s="64">
        <v>1200000</v>
      </c>
      <c r="K725" s="64"/>
      <c r="L725" s="66">
        <v>46211</v>
      </c>
      <c r="M725" s="67">
        <f>IF(L725&gt;0,EDATE(L725,-2),"")</f>
        <v>25569.375</v>
      </c>
      <c r="N725" s="49" t="s">
        <v>217</v>
      </c>
      <c r="O725" s="49" t="s">
        <v>704</v>
      </c>
      <c r="P725" s="68">
        <f>IF(F725&gt;0,F725,"")</f>
      </c>
      <c r="Q725" s="69" t="s">
        <v>705</v>
      </c>
      <c r="R725" s="69">
        <v>94914154</v>
      </c>
      <c r="S725" s="67">
        <f>IF(ISNUMBER(M725), EDATE(M725,36)-1, "")</f>
        <v>25569.375</v>
      </c>
      <c r="T725" s="49"/>
      <c r="U725" s="49"/>
      <c r="V725" s="63" t="s">
        <v>709</v>
      </c>
      <c r="W725" s="56"/>
      <c r="X725" s="56"/>
      <c r="Y725" s="56"/>
      <c r="Z725" s="56"/>
      <c r="AA725" s="56"/>
      <c r="AB725" s="56"/>
    </row>
    <row x14ac:dyDescent="0.25" r="726" customHeight="1" ht="18.75">
      <c r="A726" s="56"/>
      <c r="B726" s="56"/>
      <c r="C726" s="50" t="s">
        <v>16</v>
      </c>
      <c r="D726" s="50" t="s">
        <v>143</v>
      </c>
      <c r="E726" s="50" t="s">
        <v>1498</v>
      </c>
      <c r="F726" s="50" t="s">
        <v>1585</v>
      </c>
      <c r="G726" s="55">
        <v>60000000</v>
      </c>
      <c r="H726" s="55"/>
      <c r="I726" s="55"/>
      <c r="J726" s="51">
        <v>4000000</v>
      </c>
      <c r="K726" s="51"/>
      <c r="L726" s="52">
        <v>46211</v>
      </c>
      <c r="M726" s="53">
        <v>46150</v>
      </c>
      <c r="N726" s="50" t="s">
        <v>155</v>
      </c>
      <c r="O726" s="50" t="s">
        <v>1586</v>
      </c>
      <c r="P726" s="50" t="s">
        <v>1585</v>
      </c>
      <c r="Q726" s="55" t="s">
        <v>1587</v>
      </c>
      <c r="R726" s="55" t="s">
        <v>1588</v>
      </c>
      <c r="S726" s="53">
        <v>47245</v>
      </c>
      <c r="T726" s="50"/>
      <c r="U726" s="50"/>
      <c r="V726" s="56"/>
      <c r="W726" s="56"/>
      <c r="X726" s="56"/>
      <c r="Y726" s="56"/>
      <c r="Z726" s="56"/>
      <c r="AA726" s="56"/>
      <c r="AB726" s="56"/>
    </row>
    <row x14ac:dyDescent="0.25" r="727" customHeight="1" ht="18.75">
      <c r="A727" s="63"/>
      <c r="B727" s="63"/>
      <c r="C727" s="49" t="s">
        <v>16</v>
      </c>
      <c r="D727" s="49" t="s">
        <v>454</v>
      </c>
      <c r="E727" s="49" t="s">
        <v>647</v>
      </c>
      <c r="F727" s="49" t="s">
        <v>648</v>
      </c>
      <c r="G727" s="64">
        <v>10000000</v>
      </c>
      <c r="H727" s="64"/>
      <c r="I727" s="64"/>
      <c r="J727" s="64">
        <v>1200000</v>
      </c>
      <c r="K727" s="64"/>
      <c r="L727" s="66">
        <v>46212</v>
      </c>
      <c r="M727" s="67">
        <f>IF(L727&gt;0,EDATE(L727,-2),"")</f>
        <v>25569.375</v>
      </c>
      <c r="N727" s="49" t="s">
        <v>155</v>
      </c>
      <c r="O727" s="49" t="s">
        <v>649</v>
      </c>
      <c r="P727" s="68">
        <f>IF(F727&gt;0,F727,"")</f>
      </c>
      <c r="Q727" s="69" t="s">
        <v>650</v>
      </c>
      <c r="R727" s="69">
        <v>56249879</v>
      </c>
      <c r="S727" s="67">
        <f>IF(ISNUMBER(M727), EDATE(M727,36)-1, "")</f>
        <v>25569.375</v>
      </c>
      <c r="T727" s="49"/>
      <c r="U727" s="49"/>
      <c r="V727" s="63"/>
      <c r="W727" s="56"/>
      <c r="X727" s="56"/>
      <c r="Y727" s="56"/>
      <c r="Z727" s="56"/>
      <c r="AA727" s="56"/>
      <c r="AB727" s="56"/>
    </row>
    <row x14ac:dyDescent="0.25" r="728" customHeight="1" ht="18.75">
      <c r="A728" s="48" t="s">
        <v>2423</v>
      </c>
      <c r="B728" s="48"/>
      <c r="C728" s="50" t="s">
        <v>16</v>
      </c>
      <c r="D728" s="50"/>
      <c r="E728" s="50"/>
      <c r="F728" s="50" t="s">
        <v>111</v>
      </c>
      <c r="G728" s="55">
        <v>40000000</v>
      </c>
      <c r="H728" s="55"/>
      <c r="I728" s="55"/>
      <c r="J728" s="51">
        <v>2028000</v>
      </c>
      <c r="K728" s="51"/>
      <c r="L728" s="52">
        <v>45974</v>
      </c>
      <c r="M728" s="53">
        <v>45913</v>
      </c>
      <c r="N728" s="50" t="s">
        <v>217</v>
      </c>
      <c r="O728" s="50" t="s">
        <v>2424</v>
      </c>
      <c r="P728" s="50" t="s">
        <v>111</v>
      </c>
      <c r="Q728" s="55" t="s">
        <v>2425</v>
      </c>
      <c r="R728" s="55" t="s">
        <v>2426</v>
      </c>
      <c r="S728" s="53">
        <v>47008</v>
      </c>
      <c r="T728" s="50"/>
      <c r="U728" s="50"/>
      <c r="V728" s="48" t="s">
        <v>3332</v>
      </c>
      <c r="W728" s="56"/>
      <c r="X728" s="56"/>
      <c r="Y728" s="56"/>
      <c r="Z728" s="56"/>
      <c r="AA728" s="56"/>
      <c r="AB728" s="56"/>
    </row>
    <row x14ac:dyDescent="0.25" r="729" customHeight="1" ht="18.75">
      <c r="A729" s="48" t="s">
        <v>2423</v>
      </c>
      <c r="B729" s="48"/>
      <c r="C729" s="50" t="s">
        <v>16</v>
      </c>
      <c r="D729" s="50"/>
      <c r="E729" s="50"/>
      <c r="F729" s="50" t="s">
        <v>111</v>
      </c>
      <c r="G729" s="55">
        <v>10000000</v>
      </c>
      <c r="H729" s="55"/>
      <c r="I729" s="55"/>
      <c r="J729" s="51">
        <v>800000</v>
      </c>
      <c r="K729" s="51"/>
      <c r="L729" s="52">
        <v>46050</v>
      </c>
      <c r="M729" s="53">
        <v>45989</v>
      </c>
      <c r="N729" s="50" t="s">
        <v>217</v>
      </c>
      <c r="O729" s="50" t="s">
        <v>2424</v>
      </c>
      <c r="P729" s="50" t="s">
        <v>111</v>
      </c>
      <c r="Q729" s="55" t="s">
        <v>2425</v>
      </c>
      <c r="R729" s="55" t="s">
        <v>2426</v>
      </c>
      <c r="S729" s="53">
        <v>47084</v>
      </c>
      <c r="T729" s="50"/>
      <c r="U729" s="50"/>
      <c r="V729" s="48" t="s">
        <v>3333</v>
      </c>
      <c r="W729" s="56"/>
      <c r="X729" s="56"/>
      <c r="Y729" s="56"/>
      <c r="Z729" s="56"/>
      <c r="AA729" s="56"/>
      <c r="AB729" s="56"/>
    </row>
    <row x14ac:dyDescent="0.25" r="730" customHeight="1" ht="18.75">
      <c r="A730" s="56"/>
      <c r="B730" s="56"/>
      <c r="C730" s="50" t="s">
        <v>16</v>
      </c>
      <c r="D730" s="50"/>
      <c r="E730" s="50"/>
      <c r="F730" s="50" t="s">
        <v>476</v>
      </c>
      <c r="G730" s="55">
        <v>10000000</v>
      </c>
      <c r="H730" s="55"/>
      <c r="I730" s="55"/>
      <c r="J730" s="51">
        <v>800000</v>
      </c>
      <c r="K730" s="51"/>
      <c r="L730" s="52">
        <v>46081</v>
      </c>
      <c r="M730" s="53">
        <v>46022</v>
      </c>
      <c r="N730" s="50" t="s">
        <v>234</v>
      </c>
      <c r="O730" s="50" t="s">
        <v>2420</v>
      </c>
      <c r="P730" s="50" t="s">
        <v>2419</v>
      </c>
      <c r="Q730" s="55" t="s">
        <v>2421</v>
      </c>
      <c r="R730" s="55" t="s">
        <v>2422</v>
      </c>
      <c r="S730" s="53">
        <v>47117</v>
      </c>
      <c r="T730" s="50"/>
      <c r="U730" s="50"/>
      <c r="V730" s="56"/>
      <c r="W730" s="56"/>
      <c r="X730" s="56"/>
      <c r="Y730" s="56"/>
      <c r="Z730" s="56"/>
      <c r="AA730" s="56"/>
      <c r="AB730" s="56"/>
    </row>
    <row x14ac:dyDescent="0.25" r="731" customHeight="1" ht="18.75">
      <c r="A731" s="56"/>
      <c r="B731" s="56"/>
      <c r="C731" s="50" t="s">
        <v>1527</v>
      </c>
      <c r="D731" s="50"/>
      <c r="E731" s="50"/>
      <c r="F731" s="50" t="s">
        <v>847</v>
      </c>
      <c r="G731" s="55">
        <v>30000000</v>
      </c>
      <c r="H731" s="55"/>
      <c r="I731" s="55"/>
      <c r="J731" s="51">
        <v>1500000</v>
      </c>
      <c r="K731" s="51"/>
      <c r="L731" s="52">
        <v>45755</v>
      </c>
      <c r="M731" s="53">
        <v>45696</v>
      </c>
      <c r="N731" s="50" t="s">
        <v>182</v>
      </c>
      <c r="O731" s="50" t="s">
        <v>2428</v>
      </c>
      <c r="P731" s="50" t="s">
        <v>847</v>
      </c>
      <c r="Q731" s="55" t="s">
        <v>2429</v>
      </c>
      <c r="R731" s="55" t="s">
        <v>2430</v>
      </c>
      <c r="S731" s="53">
        <v>46790</v>
      </c>
      <c r="T731" s="50"/>
      <c r="U731" s="50"/>
      <c r="V731" s="56"/>
      <c r="W731" s="56"/>
      <c r="X731" s="56"/>
      <c r="Y731" s="56"/>
      <c r="Z731" s="56"/>
      <c r="AA731" s="56"/>
      <c r="AB731" s="56"/>
    </row>
    <row x14ac:dyDescent="0.25" r="732" customHeight="1" ht="18.75">
      <c r="A732" s="56"/>
      <c r="B732" s="56"/>
      <c r="C732" s="50" t="s">
        <v>16</v>
      </c>
      <c r="D732" s="50"/>
      <c r="E732" s="50"/>
      <c r="F732" s="50" t="s">
        <v>847</v>
      </c>
      <c r="G732" s="55">
        <v>30000000</v>
      </c>
      <c r="H732" s="55"/>
      <c r="I732" s="55"/>
      <c r="J732" s="51">
        <v>2400000</v>
      </c>
      <c r="K732" s="51"/>
      <c r="L732" s="52">
        <v>45897</v>
      </c>
      <c r="M732" s="53">
        <v>45836</v>
      </c>
      <c r="N732" s="50" t="s">
        <v>182</v>
      </c>
      <c r="O732" s="50" t="s">
        <v>2431</v>
      </c>
      <c r="P732" s="50" t="s">
        <v>847</v>
      </c>
      <c r="Q732" s="55" t="s">
        <v>2429</v>
      </c>
      <c r="R732" s="55" t="s">
        <v>2432</v>
      </c>
      <c r="S732" s="53">
        <v>46931</v>
      </c>
      <c r="T732" s="50"/>
      <c r="U732" s="50"/>
      <c r="V732" s="56"/>
      <c r="W732" s="56"/>
      <c r="X732" s="56"/>
      <c r="Y732" s="56"/>
      <c r="Z732" s="56"/>
      <c r="AA732" s="56"/>
      <c r="AB732" s="56"/>
    </row>
    <row x14ac:dyDescent="0.25" r="733" customHeight="1" ht="18.75">
      <c r="A733" s="48" t="s">
        <v>2433</v>
      </c>
      <c r="B733" s="48"/>
      <c r="C733" s="50" t="s">
        <v>113</v>
      </c>
      <c r="D733" s="50"/>
      <c r="E733" s="50"/>
      <c r="F733" s="50" t="s">
        <v>18</v>
      </c>
      <c r="G733" s="55">
        <v>30000000</v>
      </c>
      <c r="H733" s="55"/>
      <c r="I733" s="55"/>
      <c r="J733" s="51">
        <v>2400000</v>
      </c>
      <c r="K733" s="51"/>
      <c r="L733" s="52">
        <v>45636</v>
      </c>
      <c r="M733" s="53">
        <v>45575</v>
      </c>
      <c r="N733" s="50" t="s">
        <v>239</v>
      </c>
      <c r="O733" s="50" t="s">
        <v>2434</v>
      </c>
      <c r="P733" s="50" t="s">
        <v>18</v>
      </c>
      <c r="Q733" s="55" t="s">
        <v>2435</v>
      </c>
      <c r="R733" s="55" t="s">
        <v>2170</v>
      </c>
      <c r="S733" s="53">
        <v>46669</v>
      </c>
      <c r="T733" s="50"/>
      <c r="U733" s="50"/>
      <c r="V733" s="56"/>
      <c r="W733" s="56"/>
      <c r="X733" s="56"/>
      <c r="Y733" s="56"/>
      <c r="Z733" s="56"/>
      <c r="AA733" s="56"/>
      <c r="AB733" s="56"/>
    </row>
    <row x14ac:dyDescent="0.25" r="734" customHeight="1" ht="18.75">
      <c r="A734" s="48" t="s">
        <v>2436</v>
      </c>
      <c r="B734" s="48"/>
      <c r="C734" s="50" t="s">
        <v>113</v>
      </c>
      <c r="D734" s="50"/>
      <c r="E734" s="50"/>
      <c r="F734" s="50" t="s">
        <v>18</v>
      </c>
      <c r="G734" s="55">
        <v>30000000</v>
      </c>
      <c r="H734" s="55"/>
      <c r="I734" s="55"/>
      <c r="J734" s="51">
        <v>2400000</v>
      </c>
      <c r="K734" s="51"/>
      <c r="L734" s="52">
        <v>45657</v>
      </c>
      <c r="M734" s="53">
        <v>45596</v>
      </c>
      <c r="N734" s="50" t="s">
        <v>217</v>
      </c>
      <c r="O734" s="50" t="s">
        <v>2168</v>
      </c>
      <c r="P734" s="50" t="s">
        <v>18</v>
      </c>
      <c r="Q734" s="55" t="s">
        <v>2435</v>
      </c>
      <c r="R734" s="55" t="s">
        <v>2170</v>
      </c>
      <c r="S734" s="53">
        <v>46690</v>
      </c>
      <c r="T734" s="50"/>
      <c r="U734" s="50"/>
      <c r="V734" s="56"/>
      <c r="W734" s="56"/>
      <c r="X734" s="56"/>
      <c r="Y734" s="56"/>
      <c r="Z734" s="56"/>
      <c r="AA734" s="56"/>
      <c r="AB734" s="56"/>
    </row>
    <row x14ac:dyDescent="0.25" r="735" customHeight="1" ht="18.75">
      <c r="A735" s="48" t="s">
        <v>1133</v>
      </c>
      <c r="B735" s="48"/>
      <c r="C735" s="50" t="s">
        <v>16</v>
      </c>
      <c r="D735" s="50"/>
      <c r="E735" s="50"/>
      <c r="F735" s="50" t="s">
        <v>18</v>
      </c>
      <c r="G735" s="55">
        <v>60000000</v>
      </c>
      <c r="H735" s="55"/>
      <c r="I735" s="55"/>
      <c r="J735" s="51">
        <v>4800000</v>
      </c>
      <c r="K735" s="51"/>
      <c r="L735" s="52">
        <v>45901</v>
      </c>
      <c r="M735" s="53">
        <v>45839</v>
      </c>
      <c r="N735" s="50" t="s">
        <v>217</v>
      </c>
      <c r="O735" s="50" t="s">
        <v>2437</v>
      </c>
      <c r="P735" s="50" t="s">
        <v>18</v>
      </c>
      <c r="Q735" s="55" t="s">
        <v>2438</v>
      </c>
      <c r="R735" s="55" t="s">
        <v>2439</v>
      </c>
      <c r="S735" s="53">
        <v>46934</v>
      </c>
      <c r="T735" s="50"/>
      <c r="U735" s="50"/>
      <c r="V735" s="56"/>
      <c r="W735" s="56"/>
      <c r="X735" s="56"/>
      <c r="Y735" s="56"/>
      <c r="Z735" s="56"/>
      <c r="AA735" s="56"/>
      <c r="AB735" s="56"/>
    </row>
    <row x14ac:dyDescent="0.25" r="736" customHeight="1" ht="18.75">
      <c r="A736" s="56"/>
      <c r="B736" s="56"/>
      <c r="C736" s="50" t="s">
        <v>16</v>
      </c>
      <c r="D736" s="50"/>
      <c r="E736" s="50"/>
      <c r="F736" s="50" t="s">
        <v>2441</v>
      </c>
      <c r="G736" s="55">
        <v>10000000</v>
      </c>
      <c r="H736" s="55"/>
      <c r="I736" s="55"/>
      <c r="J736" s="51">
        <v>800000</v>
      </c>
      <c r="K736" s="51"/>
      <c r="L736" s="52">
        <v>46081</v>
      </c>
      <c r="M736" s="53">
        <v>46022</v>
      </c>
      <c r="N736" s="50" t="s">
        <v>2442</v>
      </c>
      <c r="O736" s="50" t="s">
        <v>2443</v>
      </c>
      <c r="P736" s="50" t="s">
        <v>2441</v>
      </c>
      <c r="Q736" s="55" t="s">
        <v>2444</v>
      </c>
      <c r="R736" s="55" t="s">
        <v>2445</v>
      </c>
      <c r="S736" s="53">
        <v>47117</v>
      </c>
      <c r="T736" s="50"/>
      <c r="U736" s="50"/>
      <c r="V736" s="56"/>
      <c r="W736" s="56"/>
      <c r="X736" s="56"/>
      <c r="Y736" s="56"/>
      <c r="Z736" s="56"/>
      <c r="AA736" s="56"/>
      <c r="AB736" s="56"/>
    </row>
    <row x14ac:dyDescent="0.25" r="737" customHeight="1" ht="18.75">
      <c r="A737" s="56"/>
      <c r="B737" s="56"/>
      <c r="C737" s="50" t="s">
        <v>16</v>
      </c>
      <c r="D737" s="50" t="s">
        <v>1648</v>
      </c>
      <c r="E737" s="50" t="s">
        <v>1649</v>
      </c>
      <c r="F737" s="50" t="s">
        <v>1650</v>
      </c>
      <c r="G737" s="55">
        <v>10000000</v>
      </c>
      <c r="H737" s="55"/>
      <c r="I737" s="55"/>
      <c r="J737" s="51">
        <v>1200000</v>
      </c>
      <c r="K737" s="51"/>
      <c r="L737" s="52">
        <v>46212</v>
      </c>
      <c r="M737" s="53">
        <v>46151</v>
      </c>
      <c r="N737" s="50" t="s">
        <v>302</v>
      </c>
      <c r="O737" s="50" t="s">
        <v>1651</v>
      </c>
      <c r="P737" s="50" t="s">
        <v>1650</v>
      </c>
      <c r="Q737" s="55" t="s">
        <v>1652</v>
      </c>
      <c r="R737" s="55" t="s">
        <v>1653</v>
      </c>
      <c r="S737" s="53">
        <v>47246</v>
      </c>
      <c r="T737" s="50"/>
      <c r="U737" s="50"/>
      <c r="V737" s="56"/>
      <c r="W737" s="56"/>
      <c r="X737" s="56"/>
      <c r="Y737" s="56"/>
      <c r="Z737" s="56"/>
      <c r="AA737" s="56"/>
      <c r="AB737" s="56"/>
    </row>
    <row x14ac:dyDescent="0.25" r="738" customHeight="1" ht="18.75">
      <c r="A738" s="71"/>
      <c r="B738" s="71"/>
      <c r="C738" s="72" t="s">
        <v>16</v>
      </c>
      <c r="D738" s="72"/>
      <c r="E738" s="72"/>
      <c r="F738" s="72" t="s">
        <v>2451</v>
      </c>
      <c r="G738" s="73">
        <v>10000000</v>
      </c>
      <c r="H738" s="73"/>
      <c r="I738" s="73"/>
      <c r="J738" s="74"/>
      <c r="K738" s="74"/>
      <c r="L738" s="75">
        <v>46152</v>
      </c>
      <c r="M738" s="76">
        <v>46091</v>
      </c>
      <c r="N738" s="72" t="s">
        <v>217</v>
      </c>
      <c r="O738" s="72" t="s">
        <v>2452</v>
      </c>
      <c r="P738" s="72" t="s">
        <v>2451</v>
      </c>
      <c r="Q738" s="73" t="s">
        <v>2453</v>
      </c>
      <c r="R738" s="73" t="s">
        <v>2454</v>
      </c>
      <c r="S738" s="76">
        <v>47186</v>
      </c>
      <c r="T738" s="72" t="s">
        <v>2455</v>
      </c>
      <c r="U738" s="72" t="s">
        <v>166</v>
      </c>
      <c r="V738" s="71"/>
      <c r="W738" s="56"/>
      <c r="X738" s="56"/>
      <c r="Y738" s="56"/>
      <c r="Z738" s="56"/>
      <c r="AA738" s="56"/>
      <c r="AB738" s="56"/>
    </row>
    <row x14ac:dyDescent="0.25" r="739" customHeight="1" ht="18.75">
      <c r="A739" s="48" t="s">
        <v>152</v>
      </c>
      <c r="B739" s="48"/>
      <c r="C739" s="50" t="s">
        <v>16</v>
      </c>
      <c r="D739" s="50" t="s">
        <v>410</v>
      </c>
      <c r="E739" s="50" t="s">
        <v>534</v>
      </c>
      <c r="F739" s="50" t="s">
        <v>2456</v>
      </c>
      <c r="G739" s="55">
        <v>10000000</v>
      </c>
      <c r="H739" s="55"/>
      <c r="I739" s="55"/>
      <c r="J739" s="51">
        <v>800000</v>
      </c>
      <c r="K739" s="51"/>
      <c r="L739" s="52">
        <v>46081</v>
      </c>
      <c r="M739" s="53">
        <v>46022</v>
      </c>
      <c r="N739" s="50" t="s">
        <v>168</v>
      </c>
      <c r="O739" s="50" t="s">
        <v>2457</v>
      </c>
      <c r="P739" s="50" t="s">
        <v>2456</v>
      </c>
      <c r="Q739" s="55" t="s">
        <v>2458</v>
      </c>
      <c r="R739" s="55" t="s">
        <v>2459</v>
      </c>
      <c r="S739" s="53">
        <v>47117</v>
      </c>
      <c r="T739" s="50"/>
      <c r="U739" s="50"/>
      <c r="V739" s="48" t="s">
        <v>2460</v>
      </c>
      <c r="W739" s="56"/>
      <c r="X739" s="56"/>
      <c r="Y739" s="56"/>
      <c r="Z739" s="56"/>
      <c r="AA739" s="56"/>
      <c r="AB739" s="56"/>
    </row>
    <row x14ac:dyDescent="0.25" r="740" customHeight="1" ht="18.75">
      <c r="A740" s="48" t="s">
        <v>2433</v>
      </c>
      <c r="B740" s="48"/>
      <c r="C740" s="50" t="s">
        <v>113</v>
      </c>
      <c r="D740" s="50"/>
      <c r="E740" s="50"/>
      <c r="F740" s="50" t="s">
        <v>3334</v>
      </c>
      <c r="G740" s="55">
        <v>30000000</v>
      </c>
      <c r="H740" s="55"/>
      <c r="I740" s="55"/>
      <c r="J740" s="51">
        <v>2400000</v>
      </c>
      <c r="K740" s="51"/>
      <c r="L740" s="52">
        <v>45636</v>
      </c>
      <c r="M740" s="53">
        <v>45575</v>
      </c>
      <c r="N740" s="50" t="s">
        <v>217</v>
      </c>
      <c r="O740" s="50" t="s">
        <v>2168</v>
      </c>
      <c r="P740" s="50" t="s">
        <v>99</v>
      </c>
      <c r="Q740" s="55" t="s">
        <v>2169</v>
      </c>
      <c r="R740" s="55" t="s">
        <v>2170</v>
      </c>
      <c r="S740" s="53">
        <v>46669</v>
      </c>
      <c r="T740" s="50"/>
      <c r="U740" s="50"/>
      <c r="V740" s="56"/>
      <c r="W740" s="56"/>
      <c r="X740" s="56"/>
      <c r="Y740" s="56"/>
      <c r="Z740" s="56"/>
      <c r="AA740" s="56"/>
      <c r="AB740" s="56"/>
    </row>
    <row x14ac:dyDescent="0.25" r="741" customHeight="1" ht="18.75">
      <c r="A741" s="56"/>
      <c r="B741" s="56"/>
      <c r="C741" s="50" t="s">
        <v>16</v>
      </c>
      <c r="D741" s="50"/>
      <c r="E741" s="50"/>
      <c r="F741" s="50" t="s">
        <v>2461</v>
      </c>
      <c r="G741" s="55">
        <v>10000000</v>
      </c>
      <c r="H741" s="55"/>
      <c r="I741" s="55"/>
      <c r="J741" s="51">
        <v>500000</v>
      </c>
      <c r="K741" s="51"/>
      <c r="L741" s="52">
        <v>46122</v>
      </c>
      <c r="M741" s="53">
        <v>46063</v>
      </c>
      <c r="N741" s="50" t="s">
        <v>570</v>
      </c>
      <c r="O741" s="50" t="s">
        <v>2462</v>
      </c>
      <c r="P741" s="50" t="s">
        <v>2461</v>
      </c>
      <c r="Q741" s="55" t="s">
        <v>2463</v>
      </c>
      <c r="R741" s="55" t="s">
        <v>2464</v>
      </c>
      <c r="S741" s="53">
        <v>47158</v>
      </c>
      <c r="T741" s="50"/>
      <c r="U741" s="50" t="s">
        <v>166</v>
      </c>
      <c r="V741" s="56"/>
      <c r="W741" s="56"/>
      <c r="X741" s="56"/>
      <c r="Y741" s="56"/>
      <c r="Z741" s="56"/>
      <c r="AA741" s="56"/>
      <c r="AB741" s="56"/>
    </row>
    <row x14ac:dyDescent="0.25" r="742" customHeight="1" ht="18.75">
      <c r="A742" s="56"/>
      <c r="B742" s="56"/>
      <c r="C742" s="50" t="s">
        <v>16</v>
      </c>
      <c r="D742" s="50" t="s">
        <v>143</v>
      </c>
      <c r="E742" s="50" t="s">
        <v>1936</v>
      </c>
      <c r="F742" s="50" t="s">
        <v>1937</v>
      </c>
      <c r="G742" s="55">
        <v>10000000</v>
      </c>
      <c r="H742" s="55"/>
      <c r="I742" s="55"/>
      <c r="J742" s="51">
        <v>1200000</v>
      </c>
      <c r="K742" s="51"/>
      <c r="L742" s="52">
        <v>46212</v>
      </c>
      <c r="M742" s="53">
        <v>46151</v>
      </c>
      <c r="N742" s="50" t="s">
        <v>217</v>
      </c>
      <c r="O742" s="50" t="s">
        <v>1938</v>
      </c>
      <c r="P742" s="50" t="s">
        <v>1937</v>
      </c>
      <c r="Q742" s="55" t="s">
        <v>1939</v>
      </c>
      <c r="R742" s="55" t="s">
        <v>1940</v>
      </c>
      <c r="S742" s="53">
        <v>47246</v>
      </c>
      <c r="T742" s="50" t="s">
        <v>1941</v>
      </c>
      <c r="U742" s="50"/>
      <c r="V742" s="56"/>
      <c r="W742" s="56"/>
      <c r="X742" s="56"/>
      <c r="Y742" s="56"/>
      <c r="Z742" s="56"/>
      <c r="AA742" s="56"/>
      <c r="AB742" s="56"/>
    </row>
    <row x14ac:dyDescent="0.25" r="743" customHeight="1" ht="18.75">
      <c r="A743" s="56"/>
      <c r="B743" s="56"/>
      <c r="C743" s="50" t="s">
        <v>16</v>
      </c>
      <c r="D743" s="50" t="s">
        <v>55</v>
      </c>
      <c r="E743" s="50" t="s">
        <v>56</v>
      </c>
      <c r="F743" s="50" t="s">
        <v>2021</v>
      </c>
      <c r="G743" s="51">
        <v>10000000</v>
      </c>
      <c r="H743" s="51"/>
      <c r="I743" s="51"/>
      <c r="J743" s="87">
        <f>IF(G743&gt;0,_xludf.IFS(G743=10000000,1200000,G743=20000000,1800000,G743=30000000,2400000,G743=60000000,4000000),"")</f>
      </c>
      <c r="K743" s="51"/>
      <c r="L743" s="52">
        <v>46213</v>
      </c>
      <c r="M743" s="53">
        <v>46151</v>
      </c>
      <c r="N743" s="50" t="s">
        <v>212</v>
      </c>
      <c r="O743" s="50" t="s">
        <v>2022</v>
      </c>
      <c r="P743" s="54">
        <f>IF(F743&gt;0,F743,"")</f>
      </c>
      <c r="Q743" s="55">
        <v>9501161056538</v>
      </c>
      <c r="R743" s="55">
        <v>57802200</v>
      </c>
      <c r="S743" s="53">
        <f>IF(ISNUMBER(M743), EDATE(M743,36)-1, "")</f>
        <v>25569.375</v>
      </c>
      <c r="T743" s="50"/>
      <c r="U743" s="50"/>
      <c r="V743" s="50"/>
      <c r="W743" s="56"/>
      <c r="X743" s="56"/>
      <c r="Y743" s="56"/>
      <c r="Z743" s="56"/>
      <c r="AA743" s="56"/>
      <c r="AB743" s="56"/>
    </row>
    <row x14ac:dyDescent="0.25" r="744" customHeight="1" ht="18.75">
      <c r="A744" s="56"/>
      <c r="B744" s="56"/>
      <c r="C744" s="50" t="s">
        <v>16</v>
      </c>
      <c r="D744" s="50"/>
      <c r="E744" s="50"/>
      <c r="F744" s="50" t="s">
        <v>2467</v>
      </c>
      <c r="G744" s="55">
        <v>10000000</v>
      </c>
      <c r="H744" s="55"/>
      <c r="I744" s="55"/>
      <c r="J744" s="51">
        <v>800000</v>
      </c>
      <c r="K744" s="51"/>
      <c r="L744" s="52">
        <v>46159</v>
      </c>
      <c r="M744" s="53">
        <v>46098</v>
      </c>
      <c r="N744" s="50" t="s">
        <v>205</v>
      </c>
      <c r="O744" s="50" t="s">
        <v>2468</v>
      </c>
      <c r="P744" s="50" t="s">
        <v>2467</v>
      </c>
      <c r="Q744" s="55" t="s">
        <v>2469</v>
      </c>
      <c r="R744" s="55" t="s">
        <v>2470</v>
      </c>
      <c r="S744" s="53">
        <v>47193</v>
      </c>
      <c r="T744" s="50" t="s">
        <v>2471</v>
      </c>
      <c r="U744" s="50"/>
      <c r="V744" s="56"/>
      <c r="W744" s="56"/>
      <c r="X744" s="56"/>
      <c r="Y744" s="56"/>
      <c r="Z744" s="56"/>
      <c r="AA744" s="56"/>
      <c r="AB744" s="56"/>
    </row>
    <row x14ac:dyDescent="0.25" r="745" customHeight="1" ht="18.75">
      <c r="A745" s="56"/>
      <c r="B745" s="56"/>
      <c r="C745" s="50" t="s">
        <v>16</v>
      </c>
      <c r="D745" s="50"/>
      <c r="E745" s="50"/>
      <c r="F745" s="50" t="s">
        <v>1958</v>
      </c>
      <c r="G745" s="55">
        <v>10000000</v>
      </c>
      <c r="H745" s="55"/>
      <c r="I745" s="55"/>
      <c r="J745" s="51">
        <v>800000</v>
      </c>
      <c r="K745" s="51"/>
      <c r="L745" s="52">
        <v>46081</v>
      </c>
      <c r="M745" s="53">
        <v>46022</v>
      </c>
      <c r="N745" s="50" t="s">
        <v>155</v>
      </c>
      <c r="O745" s="50" t="s">
        <v>2472</v>
      </c>
      <c r="P745" s="50" t="s">
        <v>1958</v>
      </c>
      <c r="Q745" s="55" t="s">
        <v>2473</v>
      </c>
      <c r="R745" s="55" t="s">
        <v>2474</v>
      </c>
      <c r="S745" s="53">
        <v>47117</v>
      </c>
      <c r="T745" s="50"/>
      <c r="U745" s="50"/>
      <c r="V745" s="56"/>
      <c r="W745" s="56"/>
      <c r="X745" s="56"/>
      <c r="Y745" s="56"/>
      <c r="Z745" s="56"/>
      <c r="AA745" s="56"/>
      <c r="AB745" s="56"/>
    </row>
    <row x14ac:dyDescent="0.25" r="746" customHeight="1" ht="18.75">
      <c r="A746" s="56"/>
      <c r="B746" s="56"/>
      <c r="C746" s="50" t="s">
        <v>16</v>
      </c>
      <c r="D746" s="50"/>
      <c r="E746" s="50"/>
      <c r="F746" s="50" t="s">
        <v>2475</v>
      </c>
      <c r="G746" s="55">
        <v>120000000</v>
      </c>
      <c r="H746" s="55"/>
      <c r="I746" s="55"/>
      <c r="J746" s="51">
        <v>9600000</v>
      </c>
      <c r="K746" s="51"/>
      <c r="L746" s="52">
        <v>45979</v>
      </c>
      <c r="M746" s="53">
        <v>45918</v>
      </c>
      <c r="N746" s="50" t="s">
        <v>217</v>
      </c>
      <c r="O746" s="50" t="s">
        <v>2476</v>
      </c>
      <c r="P746" s="50" t="s">
        <v>2475</v>
      </c>
      <c r="Q746" s="55" t="s">
        <v>2477</v>
      </c>
      <c r="R746" s="55" t="s">
        <v>2478</v>
      </c>
      <c r="S746" s="53">
        <v>47013</v>
      </c>
      <c r="T746" s="50"/>
      <c r="U746" s="50"/>
      <c r="V746" s="56"/>
      <c r="W746" s="56"/>
      <c r="X746" s="56"/>
      <c r="Y746" s="56"/>
      <c r="Z746" s="56"/>
      <c r="AA746" s="56"/>
      <c r="AB746" s="56"/>
    </row>
    <row x14ac:dyDescent="0.25" r="747" customHeight="1" ht="18.75">
      <c r="A747" s="56"/>
      <c r="B747" s="56"/>
      <c r="C747" s="49" t="s">
        <v>16</v>
      </c>
      <c r="D747" s="50" t="s">
        <v>55</v>
      </c>
      <c r="E747" s="50" t="s">
        <v>56</v>
      </c>
      <c r="F747" s="50" t="s">
        <v>726</v>
      </c>
      <c r="G747" s="51">
        <v>10000000</v>
      </c>
      <c r="H747" s="51"/>
      <c r="I747" s="51"/>
      <c r="J747" s="51">
        <v>1200000</v>
      </c>
      <c r="K747" s="51"/>
      <c r="L747" s="52">
        <v>46213</v>
      </c>
      <c r="M747" s="53">
        <v>46151</v>
      </c>
      <c r="N747" s="50" t="s">
        <v>239</v>
      </c>
      <c r="O747" s="50" t="s">
        <v>3046</v>
      </c>
      <c r="P747" s="54">
        <f>IF(F747&gt;0,F747,"")</f>
      </c>
      <c r="Q747" s="55" t="s">
        <v>3047</v>
      </c>
      <c r="R747" s="55">
        <v>63752406</v>
      </c>
      <c r="S747" s="53">
        <f>IF(ISNUMBER(M747), EDATE(M747,36)-1, "")</f>
        <v>25569.375</v>
      </c>
      <c r="T747" s="50"/>
      <c r="U747" s="50"/>
      <c r="V747" s="56"/>
      <c r="W747" s="56"/>
      <c r="X747" s="56"/>
      <c r="Y747" s="56"/>
      <c r="Z747" s="56"/>
      <c r="AA747" s="56"/>
      <c r="AB747" s="56"/>
    </row>
    <row x14ac:dyDescent="0.25" r="748" customHeight="1" ht="18.75">
      <c r="A748" s="56"/>
      <c r="B748" s="56"/>
      <c r="C748" s="50" t="s">
        <v>16</v>
      </c>
      <c r="D748" s="50"/>
      <c r="E748" s="50"/>
      <c r="F748" s="50" t="s">
        <v>2484</v>
      </c>
      <c r="G748" s="51">
        <v>20000000</v>
      </c>
      <c r="H748" s="51"/>
      <c r="I748" s="51"/>
      <c r="J748" s="51">
        <v>1528000</v>
      </c>
      <c r="K748" s="51"/>
      <c r="L748" s="52">
        <v>46049</v>
      </c>
      <c r="M748" s="53">
        <f>IF(L748&gt;0,EDATE(L748,-2),"")</f>
        <v>25569.375</v>
      </c>
      <c r="N748" s="50" t="s">
        <v>168</v>
      </c>
      <c r="O748" s="50" t="s">
        <v>2485</v>
      </c>
      <c r="P748" s="54">
        <f>IF(F748&gt;0,F748,"")</f>
      </c>
      <c r="Q748" s="55">
        <v>6910012255914</v>
      </c>
      <c r="R748" s="55">
        <v>24369849</v>
      </c>
      <c r="S748" s="53">
        <f>IF(ISNUMBER(M748), EDATE(M748,36)-1, "")</f>
        <v>25569.375</v>
      </c>
      <c r="T748" s="50"/>
      <c r="U748" s="50"/>
      <c r="V748" s="56"/>
      <c r="W748" s="56"/>
      <c r="X748" s="56"/>
      <c r="Y748" s="56"/>
      <c r="Z748" s="56"/>
      <c r="AA748" s="56"/>
      <c r="AB748" s="56"/>
    </row>
    <row x14ac:dyDescent="0.25" r="749" customHeight="1" ht="18.75">
      <c r="A749" s="56"/>
      <c r="B749" s="56"/>
      <c r="C749" s="50" t="s">
        <v>16</v>
      </c>
      <c r="D749" s="50" t="s">
        <v>88</v>
      </c>
      <c r="E749" s="50" t="s">
        <v>14</v>
      </c>
      <c r="F749" s="50" t="s">
        <v>2486</v>
      </c>
      <c r="G749" s="55">
        <v>50000000</v>
      </c>
      <c r="H749" s="55"/>
      <c r="I749" s="55"/>
      <c r="J749" s="51">
        <v>3028000</v>
      </c>
      <c r="K749" s="51"/>
      <c r="L749" s="52">
        <v>46185</v>
      </c>
      <c r="M749" s="53">
        <v>46086</v>
      </c>
      <c r="N749" s="50" t="s">
        <v>155</v>
      </c>
      <c r="O749" s="50" t="s">
        <v>2487</v>
      </c>
      <c r="P749" s="50" t="s">
        <v>2486</v>
      </c>
      <c r="Q749" s="55" t="s">
        <v>2488</v>
      </c>
      <c r="R749" s="55" t="s">
        <v>2489</v>
      </c>
      <c r="S749" s="53">
        <v>47181</v>
      </c>
      <c r="T749" s="50"/>
      <c r="U749" s="50"/>
      <c r="V749" s="56"/>
      <c r="W749" s="56"/>
      <c r="X749" s="56"/>
      <c r="Y749" s="56"/>
      <c r="Z749" s="56"/>
      <c r="AA749" s="56"/>
      <c r="AB749" s="56"/>
    </row>
    <row x14ac:dyDescent="0.25" r="750" customHeight="1" ht="18.75">
      <c r="A750" s="56"/>
      <c r="B750" s="56"/>
      <c r="C750" s="50" t="s">
        <v>16</v>
      </c>
      <c r="D750" s="50"/>
      <c r="E750" s="50" t="s">
        <v>14</v>
      </c>
      <c r="F750" s="50" t="s">
        <v>2486</v>
      </c>
      <c r="G750" s="55">
        <v>30000000</v>
      </c>
      <c r="H750" s="55"/>
      <c r="I750" s="55"/>
      <c r="J750" s="51">
        <v>2028000</v>
      </c>
      <c r="K750" s="51"/>
      <c r="L750" s="52">
        <v>46147</v>
      </c>
      <c r="M750" s="53">
        <v>46086</v>
      </c>
      <c r="N750" s="50" t="s">
        <v>161</v>
      </c>
      <c r="O750" s="50" t="s">
        <v>2490</v>
      </c>
      <c r="P750" s="50" t="s">
        <v>2486</v>
      </c>
      <c r="Q750" s="55" t="s">
        <v>2488</v>
      </c>
      <c r="R750" s="55" t="s">
        <v>2489</v>
      </c>
      <c r="S750" s="53">
        <v>47181</v>
      </c>
      <c r="T750" s="50"/>
      <c r="U750" s="50" t="s">
        <v>166</v>
      </c>
      <c r="V750" s="56"/>
      <c r="W750" s="56"/>
      <c r="X750" s="56"/>
      <c r="Y750" s="56"/>
      <c r="Z750" s="56"/>
      <c r="AA750" s="56"/>
      <c r="AB750" s="56"/>
    </row>
    <row x14ac:dyDescent="0.25" r="751" customHeight="1" ht="18.75">
      <c r="A751" s="56"/>
      <c r="B751" s="56"/>
      <c r="C751" s="50" t="s">
        <v>16</v>
      </c>
      <c r="D751" s="50"/>
      <c r="E751" s="50" t="s">
        <v>114</v>
      </c>
      <c r="F751" s="50" t="s">
        <v>115</v>
      </c>
      <c r="G751" s="55">
        <v>1000000</v>
      </c>
      <c r="H751" s="55"/>
      <c r="I751" s="55"/>
      <c r="J751" s="51">
        <v>800000</v>
      </c>
      <c r="K751" s="51"/>
      <c r="L751" s="52">
        <v>46064</v>
      </c>
      <c r="M751" s="53">
        <v>46002</v>
      </c>
      <c r="N751" s="50" t="s">
        <v>155</v>
      </c>
      <c r="O751" s="50" t="s">
        <v>1815</v>
      </c>
      <c r="P751" s="50" t="s">
        <v>115</v>
      </c>
      <c r="Q751" s="55" t="s">
        <v>2492</v>
      </c>
      <c r="R751" s="55" t="s">
        <v>2493</v>
      </c>
      <c r="S751" s="53">
        <v>47097</v>
      </c>
      <c r="T751" s="50"/>
      <c r="U751" s="50" t="s">
        <v>166</v>
      </c>
      <c r="V751" s="56"/>
      <c r="W751" s="56"/>
      <c r="X751" s="56"/>
      <c r="Y751" s="56"/>
      <c r="Z751" s="56"/>
      <c r="AA751" s="56"/>
      <c r="AB751" s="56"/>
    </row>
    <row x14ac:dyDescent="0.25" r="752" customHeight="1" ht="18.75">
      <c r="A752" s="56"/>
      <c r="B752" s="56"/>
      <c r="C752" s="50" t="s">
        <v>16</v>
      </c>
      <c r="D752" s="50"/>
      <c r="E752" s="50" t="s">
        <v>117</v>
      </c>
      <c r="F752" s="50" t="s">
        <v>118</v>
      </c>
      <c r="G752" s="55">
        <v>10000000</v>
      </c>
      <c r="H752" s="55"/>
      <c r="I752" s="55"/>
      <c r="J752" s="51">
        <v>800000</v>
      </c>
      <c r="K752" s="51"/>
      <c r="L752" s="52">
        <v>46114</v>
      </c>
      <c r="M752" s="53">
        <v>46055</v>
      </c>
      <c r="N752" s="50" t="s">
        <v>306</v>
      </c>
      <c r="O752" s="50" t="s">
        <v>2498</v>
      </c>
      <c r="P752" s="50" t="s">
        <v>118</v>
      </c>
      <c r="Q752" s="55" t="s">
        <v>2499</v>
      </c>
      <c r="R752" s="55" t="s">
        <v>2500</v>
      </c>
      <c r="S752" s="53">
        <v>47150</v>
      </c>
      <c r="T752" s="50"/>
      <c r="U752" s="50" t="s">
        <v>166</v>
      </c>
      <c r="V752" s="56"/>
      <c r="W752" s="56"/>
      <c r="X752" s="56"/>
      <c r="Y752" s="56"/>
      <c r="Z752" s="56"/>
      <c r="AA752" s="56"/>
      <c r="AB752" s="56"/>
    </row>
    <row x14ac:dyDescent="0.25" r="753" customHeight="1" ht="18.75">
      <c r="A753" s="56"/>
      <c r="B753" s="56"/>
      <c r="C753" s="50" t="s">
        <v>16</v>
      </c>
      <c r="D753" s="50" t="s">
        <v>55</v>
      </c>
      <c r="E753" s="50" t="s">
        <v>56</v>
      </c>
      <c r="F753" s="50" t="s">
        <v>3085</v>
      </c>
      <c r="G753" s="51">
        <v>10000000</v>
      </c>
      <c r="H753" s="51"/>
      <c r="I753" s="51"/>
      <c r="J753" s="87">
        <f>IF(G753&gt;0,_xludf.IFS(G753=10000000,1200000,G753=20000000,1800000,G753=30000000,2400000,G753=60000000,4000000),"")</f>
      </c>
      <c r="K753" s="51"/>
      <c r="L753" s="52">
        <v>46212</v>
      </c>
      <c r="M753" s="53">
        <f>IF(L753&gt;0,EDATE(L753,-2),"")</f>
        <v>25569.375</v>
      </c>
      <c r="N753" s="50" t="s">
        <v>155</v>
      </c>
      <c r="O753" s="50" t="s">
        <v>3086</v>
      </c>
      <c r="P753" s="54">
        <f>IF(F753&gt;0,F753,"")</f>
      </c>
      <c r="Q753" s="55">
        <v>7906292063142</v>
      </c>
      <c r="R753" s="55">
        <v>20022801</v>
      </c>
      <c r="S753" s="53">
        <f>IF(ISNUMBER(M753), EDATE(M753,36)-1, "")</f>
        <v>25569.375</v>
      </c>
      <c r="T753" s="50"/>
      <c r="U753" s="50"/>
      <c r="V753" s="50"/>
      <c r="W753" s="56"/>
      <c r="X753" s="56"/>
      <c r="Y753" s="56"/>
      <c r="Z753" s="56"/>
      <c r="AA753" s="56"/>
      <c r="AB753" s="56"/>
    </row>
    <row x14ac:dyDescent="0.25" r="754" customHeight="1" ht="18.75">
      <c r="A754" s="63" t="s">
        <v>152</v>
      </c>
      <c r="B754" s="63"/>
      <c r="C754" s="49" t="s">
        <v>16</v>
      </c>
      <c r="D754" s="49" t="s">
        <v>116</v>
      </c>
      <c r="E754" s="49" t="s">
        <v>117</v>
      </c>
      <c r="F754" s="49" t="s">
        <v>118</v>
      </c>
      <c r="G754" s="64">
        <v>10000000</v>
      </c>
      <c r="H754" s="64"/>
      <c r="I754" s="64"/>
      <c r="J754" s="65">
        <f>IF(G754&gt;0,_xludf.IFS(G754=10000000,800000,G754=20000000,1528000,G754=30000000,2028000,G754=60000000,4056000),"")</f>
      </c>
      <c r="K754" s="64"/>
      <c r="L754" s="66">
        <v>46154</v>
      </c>
      <c r="M754" s="67">
        <f>IF(L754&gt;0,EDATE(L754,-2),"")</f>
        <v>25569.375</v>
      </c>
      <c r="N754" s="49" t="s">
        <v>217</v>
      </c>
      <c r="O754" s="49" t="s">
        <v>2498</v>
      </c>
      <c r="P754" s="68">
        <f>IF(F754&gt;0,F754,"")</f>
      </c>
      <c r="Q754" s="69" t="s">
        <v>2499</v>
      </c>
      <c r="R754" s="69">
        <v>52298439</v>
      </c>
      <c r="S754" s="67">
        <f>IF(ISNUMBER(M754), EDATE(M754,36)-1, "")</f>
        <v>25569.375</v>
      </c>
      <c r="T754" s="49"/>
      <c r="U754" s="49"/>
      <c r="V754" s="63"/>
      <c r="W754" s="56"/>
      <c r="X754" s="56"/>
      <c r="Y754" s="56"/>
      <c r="Z754" s="56"/>
      <c r="AA754" s="56"/>
      <c r="AB754" s="56"/>
    </row>
    <row x14ac:dyDescent="0.25" r="755" customHeight="1" ht="18.75">
      <c r="A755" s="56"/>
      <c r="B755" s="56"/>
      <c r="C755" s="50" t="s">
        <v>16</v>
      </c>
      <c r="D755" s="50" t="s">
        <v>846</v>
      </c>
      <c r="E755" s="50" t="s">
        <v>847</v>
      </c>
      <c r="F755" s="50" t="s">
        <v>848</v>
      </c>
      <c r="G755" s="51">
        <v>20000000</v>
      </c>
      <c r="H755" s="51"/>
      <c r="I755" s="51"/>
      <c r="J755" s="87">
        <f>IF(G755&gt;0,_xludf.IFS(G755=10000000,1200000,G755=20000000,1800000,G755=30000000,2400000,G755=60000000,4000000),"")</f>
      </c>
      <c r="K755" s="51"/>
      <c r="L755" s="52">
        <v>46213</v>
      </c>
      <c r="M755" s="53">
        <f>IF(L755&gt;0,EDATE(L755,-2),"")</f>
        <v>25569.375</v>
      </c>
      <c r="N755" s="50" t="s">
        <v>168</v>
      </c>
      <c r="O755" s="50" t="s">
        <v>849</v>
      </c>
      <c r="P755" s="54">
        <f>IF(F755&gt;0,F755,"")</f>
      </c>
      <c r="Q755" s="55">
        <v>8206252821714</v>
      </c>
      <c r="R755" s="55">
        <v>38553830</v>
      </c>
      <c r="S755" s="53">
        <f>IF(ISNUMBER(M755), EDATE(M755,36)-1, "")</f>
        <v>25569.375</v>
      </c>
      <c r="T755" s="50"/>
      <c r="U755" s="50"/>
      <c r="V755" s="50"/>
      <c r="W755" s="56"/>
      <c r="X755" s="56"/>
      <c r="Y755" s="56"/>
      <c r="Z755" s="56"/>
      <c r="AA755" s="56"/>
      <c r="AB755" s="56"/>
    </row>
    <row x14ac:dyDescent="0.25" r="756" customHeight="1" ht="18.75">
      <c r="A756" s="56"/>
      <c r="B756" s="56"/>
      <c r="C756" s="50" t="s">
        <v>16</v>
      </c>
      <c r="D756" s="50"/>
      <c r="E756" s="50"/>
      <c r="F756" s="50" t="s">
        <v>119</v>
      </c>
      <c r="G756" s="55">
        <v>10000000</v>
      </c>
      <c r="H756" s="55"/>
      <c r="I756" s="55"/>
      <c r="J756" s="51">
        <v>500000</v>
      </c>
      <c r="K756" s="51"/>
      <c r="L756" s="52">
        <v>45463</v>
      </c>
      <c r="M756" s="53">
        <v>45402</v>
      </c>
      <c r="N756" s="50" t="s">
        <v>161</v>
      </c>
      <c r="O756" s="50" t="s">
        <v>2503</v>
      </c>
      <c r="P756" s="50" t="s">
        <v>119</v>
      </c>
      <c r="Q756" s="55" t="s">
        <v>2504</v>
      </c>
      <c r="R756" s="55" t="s">
        <v>2505</v>
      </c>
      <c r="S756" s="53">
        <v>46496</v>
      </c>
      <c r="T756" s="50" t="s">
        <v>120</v>
      </c>
      <c r="U756" s="50" t="s">
        <v>166</v>
      </c>
      <c r="V756" s="56"/>
      <c r="W756" s="56"/>
      <c r="X756" s="56"/>
      <c r="Y756" s="56"/>
      <c r="Z756" s="56"/>
      <c r="AA756" s="56"/>
      <c r="AB756" s="56"/>
    </row>
    <row x14ac:dyDescent="0.25" r="757" customHeight="1" ht="18.75">
      <c r="A757" s="56"/>
      <c r="B757" s="56"/>
      <c r="C757" s="50" t="s">
        <v>16</v>
      </c>
      <c r="D757" s="50"/>
      <c r="E757" s="50"/>
      <c r="F757" s="50" t="s">
        <v>2506</v>
      </c>
      <c r="G757" s="55">
        <v>30000000</v>
      </c>
      <c r="H757" s="55"/>
      <c r="I757" s="55"/>
      <c r="J757" s="51">
        <v>2028000</v>
      </c>
      <c r="K757" s="51"/>
      <c r="L757" s="52">
        <v>46028</v>
      </c>
      <c r="M757" s="53">
        <v>45952</v>
      </c>
      <c r="N757" s="50" t="s">
        <v>302</v>
      </c>
      <c r="O757" s="50" t="s">
        <v>2507</v>
      </c>
      <c r="P757" s="50" t="s">
        <v>2506</v>
      </c>
      <c r="Q757" s="55" t="s">
        <v>2508</v>
      </c>
      <c r="R757" s="55" t="s">
        <v>2509</v>
      </c>
      <c r="S757" s="53">
        <v>47062</v>
      </c>
      <c r="T757" s="50"/>
      <c r="U757" s="50"/>
      <c r="V757" s="56"/>
      <c r="W757" s="56"/>
      <c r="X757" s="56"/>
      <c r="Y757" s="56"/>
      <c r="Z757" s="56"/>
      <c r="AA757" s="56"/>
      <c r="AB757" s="56"/>
    </row>
    <row x14ac:dyDescent="0.25" r="758" customHeight="1" ht="18.75">
      <c r="A758" s="56"/>
      <c r="B758" s="56"/>
      <c r="C758" s="50" t="s">
        <v>16</v>
      </c>
      <c r="D758" s="50"/>
      <c r="E758" s="50"/>
      <c r="F758" s="50" t="s">
        <v>2510</v>
      </c>
      <c r="G758" s="55">
        <v>10000000</v>
      </c>
      <c r="H758" s="55"/>
      <c r="I758" s="55"/>
      <c r="J758" s="51">
        <v>800000</v>
      </c>
      <c r="K758" s="51"/>
      <c r="L758" s="52">
        <v>46170</v>
      </c>
      <c r="M758" s="53">
        <v>46109</v>
      </c>
      <c r="N758" s="50" t="s">
        <v>212</v>
      </c>
      <c r="O758" s="50" t="s">
        <v>2511</v>
      </c>
      <c r="P758" s="50" t="s">
        <v>2510</v>
      </c>
      <c r="Q758" s="55" t="s">
        <v>2512</v>
      </c>
      <c r="R758" s="55" t="s">
        <v>2513</v>
      </c>
      <c r="S758" s="53">
        <v>47204</v>
      </c>
      <c r="T758" s="50" t="s">
        <v>2514</v>
      </c>
      <c r="U758" s="50" t="s">
        <v>166</v>
      </c>
      <c r="V758" s="56"/>
      <c r="W758" s="56"/>
      <c r="X758" s="56"/>
      <c r="Y758" s="56"/>
      <c r="Z758" s="56"/>
      <c r="AA758" s="56"/>
      <c r="AB758" s="56"/>
    </row>
    <row x14ac:dyDescent="0.25" r="759" customHeight="1" ht="18.75">
      <c r="A759" s="56"/>
      <c r="B759" s="56"/>
      <c r="C759" s="49" t="s">
        <v>16</v>
      </c>
      <c r="D759" s="50"/>
      <c r="E759" s="50" t="s">
        <v>318</v>
      </c>
      <c r="F759" s="50" t="s">
        <v>2515</v>
      </c>
      <c r="G759" s="51">
        <v>10000000</v>
      </c>
      <c r="H759" s="51"/>
      <c r="I759" s="51"/>
      <c r="J759" s="87">
        <f>IF(G759&gt;0,_xludf.IFS(G759=10000000,800000,G759=20000000,1528000,G759=30000000,2028000,G759=60000000,4056000),"")</f>
      </c>
      <c r="K759" s="51"/>
      <c r="L759" s="52">
        <v>46167</v>
      </c>
      <c r="M759" s="53">
        <f>IF(L759&gt;0,EDATE(L759,-2),"")</f>
        <v>25569.375</v>
      </c>
      <c r="N759" s="50" t="s">
        <v>239</v>
      </c>
      <c r="O759" s="50" t="s">
        <v>2516</v>
      </c>
      <c r="P759" s="54">
        <f>IF(F759&gt;0,F759,"")</f>
      </c>
      <c r="Q759" s="55" t="s">
        <v>2517</v>
      </c>
      <c r="R759" s="55">
        <v>37685870</v>
      </c>
      <c r="S759" s="53">
        <f>IF(ISNUMBER(M759), EDATE(M759,36)-1, "")</f>
        <v>25569.375</v>
      </c>
      <c r="T759" s="50"/>
      <c r="U759" s="50"/>
      <c r="V759" s="56"/>
      <c r="W759" s="56"/>
      <c r="X759" s="56"/>
      <c r="Y759" s="56"/>
      <c r="Z759" s="56"/>
      <c r="AA759" s="56"/>
      <c r="AB759" s="56"/>
    </row>
    <row x14ac:dyDescent="0.25" r="760" customHeight="1" ht="18.75">
      <c r="A760" s="56"/>
      <c r="B760" s="56"/>
      <c r="C760" s="49" t="s">
        <v>16</v>
      </c>
      <c r="D760" s="50" t="s">
        <v>153</v>
      </c>
      <c r="E760" s="50" t="s">
        <v>318</v>
      </c>
      <c r="F760" s="50" t="s">
        <v>1942</v>
      </c>
      <c r="G760" s="51">
        <v>30000000</v>
      </c>
      <c r="H760" s="51"/>
      <c r="I760" s="51"/>
      <c r="J760" s="87">
        <f>IF(G760&gt;0,_xludf.IFS(G760=10000000,1200000,G760=20000000,1800000,G760=30000000,2400000,G760=60000000,4000000),"")</f>
      </c>
      <c r="K760" s="51"/>
      <c r="L760" s="52">
        <v>46213</v>
      </c>
      <c r="M760" s="53">
        <f>IF(L760&gt;0,EDATE(L760,-2),"")</f>
        <v>25569.375</v>
      </c>
      <c r="N760" s="50" t="s">
        <v>155</v>
      </c>
      <c r="O760" s="50" t="s">
        <v>1943</v>
      </c>
      <c r="P760" s="54">
        <f>IF(F760&gt;0,F760,"")</f>
      </c>
      <c r="Q760" s="55">
        <v>6203302543617</v>
      </c>
      <c r="R760" s="55">
        <v>77493665</v>
      </c>
      <c r="S760" s="53">
        <f>IF(ISNUMBER(M760), EDATE(M760,36)-1, "")</f>
        <v>25569.375</v>
      </c>
      <c r="T760" s="50"/>
      <c r="U760" s="50"/>
      <c r="V760" s="48" t="s">
        <v>1907</v>
      </c>
      <c r="W760" s="56"/>
      <c r="X760" s="56"/>
      <c r="Y760" s="56"/>
      <c r="Z760" s="56"/>
      <c r="AA760" s="56"/>
      <c r="AB760" s="56"/>
    </row>
    <row x14ac:dyDescent="0.25" r="761" customHeight="1" ht="18.75">
      <c r="A761" s="56"/>
      <c r="B761" s="56"/>
      <c r="C761" s="50" t="s">
        <v>13</v>
      </c>
      <c r="D761" s="50"/>
      <c r="E761" s="50"/>
      <c r="F761" s="50" t="s">
        <v>121</v>
      </c>
      <c r="G761" s="55">
        <v>10000000</v>
      </c>
      <c r="H761" s="55"/>
      <c r="I761" s="55"/>
      <c r="J761" s="51">
        <v>900000</v>
      </c>
      <c r="K761" s="51"/>
      <c r="L761" s="52">
        <v>45782</v>
      </c>
      <c r="M761" s="53">
        <v>45721</v>
      </c>
      <c r="N761" s="50" t="s">
        <v>155</v>
      </c>
      <c r="O761" s="50" t="s">
        <v>2520</v>
      </c>
      <c r="P761" s="50" t="s">
        <v>121</v>
      </c>
      <c r="Q761" s="55" t="s">
        <v>2521</v>
      </c>
      <c r="R761" s="55" t="s">
        <v>2522</v>
      </c>
      <c r="S761" s="53">
        <v>46816</v>
      </c>
      <c r="T761" s="50"/>
      <c r="U761" s="50" t="s">
        <v>2523</v>
      </c>
      <c r="V761" s="56"/>
      <c r="W761" s="56"/>
      <c r="X761" s="56"/>
      <c r="Y761" s="56"/>
      <c r="Z761" s="56"/>
      <c r="AA761" s="56"/>
      <c r="AB761" s="56"/>
    </row>
    <row x14ac:dyDescent="0.25" r="762" customHeight="1" ht="18.75">
      <c r="A762" s="56"/>
      <c r="B762" s="56"/>
      <c r="C762" s="50" t="s">
        <v>16</v>
      </c>
      <c r="D762" s="50"/>
      <c r="E762" s="50"/>
      <c r="F762" s="50" t="s">
        <v>121</v>
      </c>
      <c r="G762" s="55">
        <v>60000000</v>
      </c>
      <c r="H762" s="55"/>
      <c r="I762" s="55"/>
      <c r="J762" s="51">
        <v>4800000</v>
      </c>
      <c r="K762" s="51"/>
      <c r="L762" s="52">
        <v>45903</v>
      </c>
      <c r="M762" s="53">
        <v>45841</v>
      </c>
      <c r="N762" s="50" t="s">
        <v>155</v>
      </c>
      <c r="O762" s="50" t="s">
        <v>2520</v>
      </c>
      <c r="P762" s="50" t="s">
        <v>121</v>
      </c>
      <c r="Q762" s="55" t="s">
        <v>2521</v>
      </c>
      <c r="R762" s="55" t="s">
        <v>2522</v>
      </c>
      <c r="S762" s="53">
        <v>46936</v>
      </c>
      <c r="T762" s="50"/>
      <c r="U762" s="50"/>
      <c r="V762" s="56"/>
      <c r="W762" s="56"/>
      <c r="X762" s="56"/>
      <c r="Y762" s="56"/>
      <c r="Z762" s="56"/>
      <c r="AA762" s="56"/>
      <c r="AB762" s="56"/>
    </row>
    <row x14ac:dyDescent="0.25" r="763" customHeight="1" ht="18.75">
      <c r="A763" s="48" t="s">
        <v>275</v>
      </c>
      <c r="B763" s="48"/>
      <c r="C763" s="50" t="s">
        <v>16</v>
      </c>
      <c r="D763" s="50" t="s">
        <v>3335</v>
      </c>
      <c r="E763" s="50"/>
      <c r="F763" s="50" t="s">
        <v>2524</v>
      </c>
      <c r="G763" s="55">
        <v>20000000</v>
      </c>
      <c r="H763" s="55"/>
      <c r="I763" s="55"/>
      <c r="J763" s="51">
        <v>1600000</v>
      </c>
      <c r="K763" s="51"/>
      <c r="L763" s="52">
        <v>45876</v>
      </c>
      <c r="M763" s="53">
        <v>45796</v>
      </c>
      <c r="N763" s="50" t="s">
        <v>155</v>
      </c>
      <c r="O763" s="50" t="s">
        <v>1786</v>
      </c>
      <c r="P763" s="50" t="s">
        <v>1785</v>
      </c>
      <c r="Q763" s="55" t="s">
        <v>1787</v>
      </c>
      <c r="R763" s="55" t="s">
        <v>1788</v>
      </c>
      <c r="S763" s="53">
        <v>46971</v>
      </c>
      <c r="T763" s="50"/>
      <c r="U763" s="50"/>
      <c r="V763" s="56"/>
      <c r="W763" s="56"/>
      <c r="X763" s="56"/>
      <c r="Y763" s="56"/>
      <c r="Z763" s="56"/>
      <c r="AA763" s="56"/>
      <c r="AB763" s="56"/>
    </row>
    <row x14ac:dyDescent="0.25" r="764" customHeight="1" ht="18.75">
      <c r="A764" s="56"/>
      <c r="B764" s="56"/>
      <c r="C764" s="50" t="s">
        <v>16</v>
      </c>
      <c r="D764" s="50"/>
      <c r="E764" s="50"/>
      <c r="F764" s="50" t="s">
        <v>2524</v>
      </c>
      <c r="G764" s="55">
        <v>60000000</v>
      </c>
      <c r="H764" s="55"/>
      <c r="I764" s="55"/>
      <c r="J764" s="51">
        <v>4800000</v>
      </c>
      <c r="K764" s="51"/>
      <c r="L764" s="52">
        <v>45943</v>
      </c>
      <c r="M764" s="53">
        <v>45848</v>
      </c>
      <c r="N764" s="50" t="s">
        <v>239</v>
      </c>
      <c r="O764" s="50" t="s">
        <v>2526</v>
      </c>
      <c r="P764" s="50" t="s">
        <v>2524</v>
      </c>
      <c r="Q764" s="55" t="s">
        <v>2527</v>
      </c>
      <c r="R764" s="55" t="s">
        <v>2528</v>
      </c>
      <c r="S764" s="53">
        <v>46977</v>
      </c>
      <c r="T764" s="50"/>
      <c r="U764" s="50"/>
      <c r="V764" s="56"/>
      <c r="W764" s="56"/>
      <c r="X764" s="56"/>
      <c r="Y764" s="56"/>
      <c r="Z764" s="56"/>
      <c r="AA764" s="56"/>
      <c r="AB764" s="56"/>
    </row>
    <row x14ac:dyDescent="0.25" r="765" customHeight="1" ht="18.75">
      <c r="A765" s="63"/>
      <c r="B765" s="63"/>
      <c r="C765" s="49" t="s">
        <v>16</v>
      </c>
      <c r="D765" s="49" t="s">
        <v>454</v>
      </c>
      <c r="E765" s="49" t="s">
        <v>455</v>
      </c>
      <c r="F765" s="49" t="s">
        <v>2529</v>
      </c>
      <c r="G765" s="64">
        <v>10000000</v>
      </c>
      <c r="H765" s="64"/>
      <c r="I765" s="64"/>
      <c r="J765" s="65">
        <f>IF(G765&gt;0,_xludf.IFS(G765=10000000,800000,G765=20000000,1528000,G765=30000000,2028000,G765=60000000,4056000),"")</f>
      </c>
      <c r="K765" s="64"/>
      <c r="L765" s="66">
        <v>46154</v>
      </c>
      <c r="M765" s="67">
        <f>IF(L765&gt;0,EDATE(L765,-2),"")</f>
        <v>25569.375</v>
      </c>
      <c r="N765" s="49" t="s">
        <v>988</v>
      </c>
      <c r="O765" s="49" t="s">
        <v>2530</v>
      </c>
      <c r="P765" s="68">
        <f>IF(F765&gt;0,F765,"")</f>
      </c>
      <c r="Q765" s="69" t="s">
        <v>2531</v>
      </c>
      <c r="R765" s="69">
        <v>51109116</v>
      </c>
      <c r="S765" s="67">
        <f>IF(ISNUMBER(M765), EDATE(M765,36)-1, "")</f>
        <v>25569.375</v>
      </c>
      <c r="T765" s="49"/>
      <c r="U765" s="49"/>
      <c r="V765" s="63"/>
      <c r="W765" s="56"/>
      <c r="X765" s="56"/>
      <c r="Y765" s="56"/>
      <c r="Z765" s="56"/>
      <c r="AA765" s="56"/>
      <c r="AB765" s="56"/>
    </row>
    <row x14ac:dyDescent="0.25" r="766" customHeight="1" ht="18.75">
      <c r="A766" s="56"/>
      <c r="B766" s="56"/>
      <c r="C766" s="50" t="s">
        <v>16</v>
      </c>
      <c r="D766" s="50" t="s">
        <v>454</v>
      </c>
      <c r="E766" s="50" t="s">
        <v>585</v>
      </c>
      <c r="F766" s="50" t="s">
        <v>3336</v>
      </c>
      <c r="G766" s="51">
        <v>10000000</v>
      </c>
      <c r="H766" s="51"/>
      <c r="I766" s="51"/>
      <c r="J766" s="87">
        <f>IF(G766&gt;0,_xludf.IFS(G766=10000000,1200000,G766=20000000,1800000,G766=30000000,2400000,G766=60000000,4000000),"")</f>
      </c>
      <c r="K766" s="51"/>
      <c r="L766" s="52">
        <v>46214</v>
      </c>
      <c r="M766" s="53">
        <f>IF(L766&gt;0,EDATE(L766,-2),"")</f>
        <v>25569.375</v>
      </c>
      <c r="N766" s="50" t="s">
        <v>212</v>
      </c>
      <c r="O766" s="50" t="s">
        <v>3337</v>
      </c>
      <c r="P766" s="54">
        <f>IF(F766&gt;0,F766,"")</f>
      </c>
      <c r="Q766" s="55">
        <v>7105062455319</v>
      </c>
      <c r="R766" s="55">
        <v>37504637</v>
      </c>
      <c r="S766" s="53">
        <f>IF(ISNUMBER(M766), EDATE(M766,36)-1, "")</f>
        <v>25569.375</v>
      </c>
      <c r="T766" s="50"/>
      <c r="U766" s="50"/>
      <c r="V766" s="56"/>
      <c r="W766" s="56"/>
      <c r="X766" s="56"/>
      <c r="Y766" s="56"/>
      <c r="Z766" s="56"/>
      <c r="AA766" s="56"/>
      <c r="AB766" s="56"/>
    </row>
    <row x14ac:dyDescent="0.25" r="767" customHeight="1" ht="18.75">
      <c r="A767" s="56"/>
      <c r="B767" s="56"/>
      <c r="C767" s="50" t="s">
        <v>16</v>
      </c>
      <c r="D767" s="50"/>
      <c r="E767" s="50" t="s">
        <v>1958</v>
      </c>
      <c r="F767" s="50" t="s">
        <v>2536</v>
      </c>
      <c r="G767" s="55">
        <v>10000000</v>
      </c>
      <c r="H767" s="55"/>
      <c r="I767" s="55"/>
      <c r="J767" s="51">
        <v>800000</v>
      </c>
      <c r="K767" s="51"/>
      <c r="L767" s="52">
        <v>46089</v>
      </c>
      <c r="M767" s="53">
        <v>46030</v>
      </c>
      <c r="N767" s="50" t="s">
        <v>155</v>
      </c>
      <c r="O767" s="50" t="s">
        <v>2260</v>
      </c>
      <c r="P767" s="50" t="s">
        <v>2536</v>
      </c>
      <c r="Q767" s="55" t="s">
        <v>2537</v>
      </c>
      <c r="R767" s="55" t="s">
        <v>2538</v>
      </c>
      <c r="S767" s="53">
        <v>47125</v>
      </c>
      <c r="T767" s="50" t="s">
        <v>2539</v>
      </c>
      <c r="U767" s="50" t="s">
        <v>166</v>
      </c>
      <c r="V767" s="56"/>
      <c r="W767" s="56"/>
      <c r="X767" s="56"/>
      <c r="Y767" s="56"/>
      <c r="Z767" s="56"/>
      <c r="AA767" s="56"/>
      <c r="AB767" s="56"/>
    </row>
    <row x14ac:dyDescent="0.25" r="768" customHeight="1" ht="18.75">
      <c r="A768" s="56"/>
      <c r="B768" s="56"/>
      <c r="C768" s="50" t="s">
        <v>16</v>
      </c>
      <c r="D768" s="50" t="s">
        <v>143</v>
      </c>
      <c r="E768" s="50" t="s">
        <v>14</v>
      </c>
      <c r="F768" s="50" t="s">
        <v>1092</v>
      </c>
      <c r="G768" s="55">
        <v>10000000</v>
      </c>
      <c r="H768" s="55"/>
      <c r="I768" s="55"/>
      <c r="J768" s="51">
        <v>1200000</v>
      </c>
      <c r="K768" s="51"/>
      <c r="L768" s="52">
        <v>46214</v>
      </c>
      <c r="M768" s="53">
        <v>46153</v>
      </c>
      <c r="N768" s="50" t="s">
        <v>155</v>
      </c>
      <c r="O768" s="50" t="s">
        <v>1100</v>
      </c>
      <c r="P768" s="50" t="s">
        <v>1092</v>
      </c>
      <c r="Q768" s="55" t="s">
        <v>1101</v>
      </c>
      <c r="R768" s="55" t="s">
        <v>1102</v>
      </c>
      <c r="S768" s="53">
        <v>47248</v>
      </c>
      <c r="T768" s="50"/>
      <c r="U768" s="50"/>
      <c r="V768" s="56"/>
      <c r="W768" s="56"/>
      <c r="X768" s="56"/>
      <c r="Y768" s="56"/>
      <c r="Z768" s="56"/>
      <c r="AA768" s="56"/>
      <c r="AB768" s="56"/>
    </row>
    <row x14ac:dyDescent="0.25" r="769" customHeight="1" ht="18.75">
      <c r="A769" s="56"/>
      <c r="B769" s="56"/>
      <c r="C769" s="50" t="s">
        <v>16</v>
      </c>
      <c r="D769" s="50" t="s">
        <v>143</v>
      </c>
      <c r="E769" s="50" t="s">
        <v>14</v>
      </c>
      <c r="F769" s="50" t="s">
        <v>1836</v>
      </c>
      <c r="G769" s="55">
        <v>10000000</v>
      </c>
      <c r="H769" s="55"/>
      <c r="I769" s="55"/>
      <c r="J769" s="51">
        <v>1200000</v>
      </c>
      <c r="K769" s="51"/>
      <c r="L769" s="52">
        <v>46214</v>
      </c>
      <c r="M769" s="53">
        <v>46153</v>
      </c>
      <c r="N769" s="50" t="s">
        <v>168</v>
      </c>
      <c r="O769" s="50" t="s">
        <v>1837</v>
      </c>
      <c r="P769" s="50" t="s">
        <v>1836</v>
      </c>
      <c r="Q769" s="55" t="s">
        <v>1838</v>
      </c>
      <c r="R769" s="55" t="s">
        <v>1839</v>
      </c>
      <c r="S769" s="53">
        <v>47248</v>
      </c>
      <c r="T769" s="50"/>
      <c r="U769" s="50"/>
      <c r="V769" s="56"/>
      <c r="W769" s="56"/>
      <c r="X769" s="56"/>
      <c r="Y769" s="56"/>
      <c r="Z769" s="56"/>
      <c r="AA769" s="56"/>
      <c r="AB769" s="56"/>
    </row>
    <row x14ac:dyDescent="0.25" r="770" customHeight="1" ht="18.75">
      <c r="A770" s="56"/>
      <c r="B770" s="56"/>
      <c r="C770" s="50" t="s">
        <v>16</v>
      </c>
      <c r="D770" s="50" t="s">
        <v>143</v>
      </c>
      <c r="E770" s="50" t="s">
        <v>14</v>
      </c>
      <c r="F770" s="50" t="s">
        <v>1985</v>
      </c>
      <c r="G770" s="55">
        <v>30000000</v>
      </c>
      <c r="H770" s="55"/>
      <c r="I770" s="55"/>
      <c r="J770" s="51"/>
      <c r="K770" s="51"/>
      <c r="L770" s="52">
        <v>46214</v>
      </c>
      <c r="M770" s="53">
        <v>46153</v>
      </c>
      <c r="N770" s="50" t="s">
        <v>168</v>
      </c>
      <c r="O770" s="50" t="s">
        <v>1986</v>
      </c>
      <c r="P770" s="50" t="s">
        <v>1985</v>
      </c>
      <c r="Q770" s="55" t="s">
        <v>1987</v>
      </c>
      <c r="R770" s="55" t="s">
        <v>1988</v>
      </c>
      <c r="S770" s="53">
        <v>47248</v>
      </c>
      <c r="T770" s="50"/>
      <c r="U770" s="50"/>
      <c r="V770" s="56" t="s">
        <v>3338</v>
      </c>
      <c r="W770" s="56"/>
      <c r="X770" s="56"/>
      <c r="Y770" s="56"/>
      <c r="Z770" s="56"/>
      <c r="AA770" s="56"/>
      <c r="AB770" s="56"/>
    </row>
    <row x14ac:dyDescent="0.25" r="771" customHeight="1" ht="18.75">
      <c r="A771" s="56"/>
      <c r="B771" s="56"/>
      <c r="C771" s="50" t="s">
        <v>16</v>
      </c>
      <c r="D771" s="50" t="s">
        <v>454</v>
      </c>
      <c r="E771" s="50" t="s">
        <v>647</v>
      </c>
      <c r="F771" s="50" t="s">
        <v>538</v>
      </c>
      <c r="G771" s="51">
        <v>10000000</v>
      </c>
      <c r="H771" s="51"/>
      <c r="I771" s="51"/>
      <c r="J771" s="87">
        <f>IF(G771&gt;0,_xludf.IFS(G771=10000000,1200000,G771=20000000,1800000,G771=30000000,2400000,G771=60000000,4000000),"")</f>
      </c>
      <c r="K771" s="51"/>
      <c r="L771" s="52">
        <v>46214</v>
      </c>
      <c r="M771" s="53">
        <f>IF(L771&gt;0,EDATE(L771,-2),"")</f>
        <v>25569.375</v>
      </c>
      <c r="N771" s="50" t="s">
        <v>168</v>
      </c>
      <c r="O771" s="50" t="s">
        <v>1989</v>
      </c>
      <c r="P771" s="54">
        <f>IF(F771&gt;0,F771,"")</f>
      </c>
      <c r="Q771" s="55">
        <v>6510052890527</v>
      </c>
      <c r="R771" s="55">
        <v>41483624</v>
      </c>
      <c r="S771" s="53">
        <f>IF(ISNUMBER(M771), EDATE(M771,36)-1, "")</f>
        <v>25569.375</v>
      </c>
      <c r="T771" s="50"/>
      <c r="U771" s="50"/>
      <c r="V771" s="50"/>
      <c r="W771" s="56"/>
      <c r="X771" s="56"/>
      <c r="Y771" s="56"/>
      <c r="Z771" s="56"/>
      <c r="AA771" s="56"/>
      <c r="AB771" s="56"/>
    </row>
    <row x14ac:dyDescent="0.25" r="772" customHeight="1" ht="18.75">
      <c r="A772" s="48" t="s">
        <v>3339</v>
      </c>
      <c r="B772" s="48"/>
      <c r="C772" s="50" t="s">
        <v>16</v>
      </c>
      <c r="D772" s="50"/>
      <c r="E772" s="50"/>
      <c r="F772" s="50" t="s">
        <v>2554</v>
      </c>
      <c r="G772" s="55">
        <v>30000000</v>
      </c>
      <c r="H772" s="55"/>
      <c r="I772" s="55"/>
      <c r="J772" s="51">
        <v>2028000</v>
      </c>
      <c r="K772" s="51"/>
      <c r="L772" s="52">
        <v>46018</v>
      </c>
      <c r="M772" s="53">
        <v>45957</v>
      </c>
      <c r="N772" s="50" t="s">
        <v>212</v>
      </c>
      <c r="O772" s="50" t="s">
        <v>2555</v>
      </c>
      <c r="P772" s="50" t="s">
        <v>2554</v>
      </c>
      <c r="Q772" s="55" t="s">
        <v>2556</v>
      </c>
      <c r="R772" s="55" t="s">
        <v>2557</v>
      </c>
      <c r="S772" s="53">
        <v>47052</v>
      </c>
      <c r="T772" s="50"/>
      <c r="U772" s="50"/>
      <c r="V772" s="56"/>
      <c r="W772" s="56"/>
      <c r="X772" s="56"/>
      <c r="Y772" s="56"/>
      <c r="Z772" s="56"/>
      <c r="AA772" s="56"/>
      <c r="AB772" s="56"/>
    </row>
    <row x14ac:dyDescent="0.25" r="773" customHeight="1" ht="18.75">
      <c r="A773" s="63" t="s">
        <v>152</v>
      </c>
      <c r="B773" s="63"/>
      <c r="C773" s="49" t="s">
        <v>16</v>
      </c>
      <c r="D773" s="49" t="s">
        <v>153</v>
      </c>
      <c r="E773" s="49" t="s">
        <v>276</v>
      </c>
      <c r="F773" s="49" t="s">
        <v>2559</v>
      </c>
      <c r="G773" s="64">
        <v>20000000</v>
      </c>
      <c r="H773" s="64"/>
      <c r="I773" s="64"/>
      <c r="J773" s="65">
        <f>IF(G773&gt;0,_xludf.IFS(G773=10000000,800000,G773=20000000,1528000,G773=30000000,2028000,G773=60000000,4056000),"")</f>
      </c>
      <c r="K773" s="64"/>
      <c r="L773" s="66">
        <v>46170</v>
      </c>
      <c r="M773" s="67">
        <f>IF(L773&gt;0,EDATE(L773,-2),"")</f>
        <v>25569.375</v>
      </c>
      <c r="N773" s="49" t="s">
        <v>239</v>
      </c>
      <c r="O773" s="49" t="s">
        <v>278</v>
      </c>
      <c r="P773" s="68">
        <f>IF(F773&gt;0,F773,"")</f>
      </c>
      <c r="Q773" s="69" t="s">
        <v>2560</v>
      </c>
      <c r="R773" s="69">
        <v>95803367</v>
      </c>
      <c r="S773" s="67">
        <f>IF(ISNUMBER(M773), EDATE(M773,36)-1, "")</f>
        <v>25569.375</v>
      </c>
      <c r="T773" s="49"/>
      <c r="U773" s="49"/>
      <c r="V773" s="63" t="s">
        <v>3340</v>
      </c>
      <c r="W773" s="56"/>
      <c r="X773" s="56"/>
      <c r="Y773" s="56"/>
      <c r="Z773" s="56"/>
      <c r="AA773" s="56"/>
      <c r="AB773" s="56"/>
    </row>
    <row x14ac:dyDescent="0.25" r="774" customHeight="1" ht="18.75">
      <c r="A774" s="56"/>
      <c r="B774" s="56"/>
      <c r="C774" s="50" t="s">
        <v>16</v>
      </c>
      <c r="D774" s="50"/>
      <c r="E774" s="50"/>
      <c r="F774" s="50" t="s">
        <v>1743</v>
      </c>
      <c r="G774" s="55">
        <v>10000000</v>
      </c>
      <c r="H774" s="55"/>
      <c r="I774" s="55"/>
      <c r="J774" s="51">
        <v>800000</v>
      </c>
      <c r="K774" s="51"/>
      <c r="L774" s="52">
        <v>46039</v>
      </c>
      <c r="M774" s="53">
        <v>45978</v>
      </c>
      <c r="N774" s="50" t="s">
        <v>302</v>
      </c>
      <c r="O774" s="50" t="s">
        <v>2562</v>
      </c>
      <c r="P774" s="50" t="s">
        <v>1743</v>
      </c>
      <c r="Q774" s="55" t="s">
        <v>2563</v>
      </c>
      <c r="R774" s="55" t="s">
        <v>2564</v>
      </c>
      <c r="S774" s="53">
        <v>47073</v>
      </c>
      <c r="T774" s="50"/>
      <c r="U774" s="50"/>
      <c r="V774" s="56"/>
      <c r="W774" s="56"/>
      <c r="X774" s="56"/>
      <c r="Y774" s="56"/>
      <c r="Z774" s="56"/>
      <c r="AA774" s="56"/>
      <c r="AB774" s="56"/>
    </row>
    <row x14ac:dyDescent="0.25" r="775" customHeight="1" ht="18.75">
      <c r="A775" s="56"/>
      <c r="B775" s="56"/>
      <c r="C775" s="50" t="s">
        <v>16</v>
      </c>
      <c r="D775" s="50" t="s">
        <v>143</v>
      </c>
      <c r="E775" s="50" t="s">
        <v>14</v>
      </c>
      <c r="F775" s="50" t="s">
        <v>2861</v>
      </c>
      <c r="G775" s="55">
        <v>10000000</v>
      </c>
      <c r="H775" s="55"/>
      <c r="I775" s="55"/>
      <c r="J775" s="51">
        <v>1200000</v>
      </c>
      <c r="K775" s="51"/>
      <c r="L775" s="52">
        <v>46214</v>
      </c>
      <c r="M775" s="53">
        <v>46153</v>
      </c>
      <c r="N775" s="50" t="s">
        <v>234</v>
      </c>
      <c r="O775" s="50" t="s">
        <v>2862</v>
      </c>
      <c r="P775" s="50" t="s">
        <v>2861</v>
      </c>
      <c r="Q775" s="55" t="s">
        <v>2863</v>
      </c>
      <c r="R775" s="55" t="s">
        <v>2864</v>
      </c>
      <c r="S775" s="53">
        <v>47248</v>
      </c>
      <c r="T775" s="50"/>
      <c r="U775" s="50"/>
      <c r="V775" s="56"/>
      <c r="W775" s="56"/>
      <c r="X775" s="56"/>
      <c r="Y775" s="56"/>
      <c r="Z775" s="56"/>
      <c r="AA775" s="56"/>
      <c r="AB775" s="56"/>
    </row>
    <row x14ac:dyDescent="0.25" r="776" customHeight="1" ht="18.75">
      <c r="A776" s="56"/>
      <c r="B776" s="56"/>
      <c r="C776" s="50" t="s">
        <v>16</v>
      </c>
      <c r="D776" s="50" t="s">
        <v>143</v>
      </c>
      <c r="E776" s="50" t="s">
        <v>963</v>
      </c>
      <c r="F776" s="50" t="s">
        <v>2882</v>
      </c>
      <c r="G776" s="55">
        <v>30000000</v>
      </c>
      <c r="H776" s="55"/>
      <c r="I776" s="55"/>
      <c r="J776" s="51">
        <v>2400000</v>
      </c>
      <c r="K776" s="51"/>
      <c r="L776" s="52">
        <v>46214</v>
      </c>
      <c r="M776" s="53">
        <v>46153</v>
      </c>
      <c r="N776" s="50" t="s">
        <v>168</v>
      </c>
      <c r="O776" s="50" t="s">
        <v>2883</v>
      </c>
      <c r="P776" s="50" t="s">
        <v>2882</v>
      </c>
      <c r="Q776" s="55" t="s">
        <v>2884</v>
      </c>
      <c r="R776" s="55" t="s">
        <v>2885</v>
      </c>
      <c r="S776" s="53">
        <v>47248</v>
      </c>
      <c r="T776" s="50"/>
      <c r="U776" s="50"/>
      <c r="V776" s="56"/>
      <c r="W776" s="56"/>
      <c r="X776" s="56"/>
      <c r="Y776" s="56"/>
      <c r="Z776" s="56"/>
      <c r="AA776" s="56"/>
      <c r="AB776" s="56"/>
    </row>
    <row x14ac:dyDescent="0.25" r="777" customHeight="1" ht="18.75">
      <c r="A777" s="56"/>
      <c r="B777" s="56"/>
      <c r="C777" s="50" t="s">
        <v>16</v>
      </c>
      <c r="D777" s="50" t="s">
        <v>116</v>
      </c>
      <c r="E777" s="50" t="s">
        <v>117</v>
      </c>
      <c r="F777" s="50" t="s">
        <v>334</v>
      </c>
      <c r="G777" s="51">
        <v>10000000</v>
      </c>
      <c r="H777" s="51"/>
      <c r="I777" s="51"/>
      <c r="J777" s="87">
        <f>IF(G777&gt;0,_xludf.IFS(G777=10000000,1200000,G777=20000000,1800000,G777=30000000,2400000,G777=60000000,4000000),"")</f>
      </c>
      <c r="K777" s="51"/>
      <c r="L777" s="52">
        <v>46215</v>
      </c>
      <c r="M777" s="53">
        <f>IF(L777&gt;0,EDATE(L777,-2),"")</f>
        <v>25569.375</v>
      </c>
      <c r="N777" s="50" t="s">
        <v>168</v>
      </c>
      <c r="O777" s="50" t="s">
        <v>335</v>
      </c>
      <c r="P777" s="54">
        <f>IF(F777&gt;0,F777,"")</f>
      </c>
      <c r="Q777" s="55">
        <v>6806152380015</v>
      </c>
      <c r="R777" s="55">
        <v>27108234</v>
      </c>
      <c r="S777" s="53">
        <f>IF(ISNUMBER(M777), EDATE(M777,36)-1, "")</f>
        <v>25569.375</v>
      </c>
      <c r="T777" s="50"/>
      <c r="U777" s="50"/>
      <c r="V777" s="56"/>
      <c r="W777" s="56"/>
      <c r="X777" s="56"/>
      <c r="Y777" s="56"/>
      <c r="Z777" s="56"/>
      <c r="AA777" s="56"/>
      <c r="AB777" s="56"/>
    </row>
    <row x14ac:dyDescent="0.25" r="778" customHeight="1" ht="18.75">
      <c r="A778" s="56"/>
      <c r="B778" s="56"/>
      <c r="C778" s="49" t="s">
        <v>16</v>
      </c>
      <c r="D778" s="50" t="s">
        <v>627</v>
      </c>
      <c r="E778" s="50" t="s">
        <v>373</v>
      </c>
      <c r="F778" s="50" t="s">
        <v>1403</v>
      </c>
      <c r="G778" s="51">
        <v>20000000</v>
      </c>
      <c r="H778" s="51"/>
      <c r="I778" s="51"/>
      <c r="J778" s="51">
        <v>1800000</v>
      </c>
      <c r="K778" s="51"/>
      <c r="L778" s="52">
        <v>46216</v>
      </c>
      <c r="M778" s="53">
        <f>IF(L778&gt;0,EDATE(L778,-2),"")</f>
        <v>25569.375</v>
      </c>
      <c r="N778" s="50" t="s">
        <v>205</v>
      </c>
      <c r="O778" s="50" t="s">
        <v>1411</v>
      </c>
      <c r="P778" s="54">
        <f>IF(F778&gt;0,F778,"")</f>
      </c>
      <c r="Q778" s="55" t="s">
        <v>1408</v>
      </c>
      <c r="R778" s="55">
        <v>77492434</v>
      </c>
      <c r="S778" s="53">
        <f>IF(ISNUMBER(M778), EDATE(M778,36)-1, "")</f>
        <v>25569.375</v>
      </c>
      <c r="T778" s="50"/>
      <c r="U778" s="50"/>
      <c r="V778" s="56"/>
      <c r="W778" s="56"/>
      <c r="X778" s="56"/>
      <c r="Y778" s="56"/>
      <c r="Z778" s="56"/>
      <c r="AA778" s="56"/>
      <c r="AB778" s="56"/>
    </row>
    <row x14ac:dyDescent="0.25" r="779" customHeight="1" ht="18.75">
      <c r="A779" s="63" t="s">
        <v>63</v>
      </c>
      <c r="B779" s="63"/>
      <c r="C779" s="49" t="s">
        <v>16</v>
      </c>
      <c r="D779" s="49" t="s">
        <v>80</v>
      </c>
      <c r="E779" s="49" t="s">
        <v>97</v>
      </c>
      <c r="F779" s="49" t="s">
        <v>3136</v>
      </c>
      <c r="G779" s="64">
        <v>20000000</v>
      </c>
      <c r="H779" s="64"/>
      <c r="I779" s="64"/>
      <c r="J779" s="64">
        <v>1800000</v>
      </c>
      <c r="K779" s="64"/>
      <c r="L779" s="66">
        <v>46213</v>
      </c>
      <c r="M779" s="67">
        <v>46155</v>
      </c>
      <c r="N779" s="49" t="s">
        <v>168</v>
      </c>
      <c r="O779" s="49" t="s">
        <v>3143</v>
      </c>
      <c r="P779" s="68">
        <f>IF(F779&gt;0,F779,"")</f>
      </c>
      <c r="Q779" s="69" t="s">
        <v>3139</v>
      </c>
      <c r="R779" s="69">
        <v>37418446</v>
      </c>
      <c r="S779" s="53">
        <f>IF(M779&gt;0,EDATE(M779,36)-1,"")</f>
        <v>25569.375</v>
      </c>
      <c r="T779" s="49"/>
      <c r="U779" s="49"/>
      <c r="V779" s="63" t="s">
        <v>3144</v>
      </c>
      <c r="W779" s="56"/>
      <c r="X779" s="56"/>
      <c r="Y779" s="56"/>
      <c r="Z779" s="56"/>
      <c r="AA779" s="56"/>
      <c r="AB779" s="56"/>
    </row>
    <row x14ac:dyDescent="0.25" r="780" customHeight="1" ht="18.75">
      <c r="A780" s="56"/>
      <c r="B780" s="56"/>
      <c r="C780" s="50" t="s">
        <v>16</v>
      </c>
      <c r="D780" s="50"/>
      <c r="E780" s="50"/>
      <c r="F780" s="50" t="s">
        <v>2579</v>
      </c>
      <c r="G780" s="55">
        <v>10000000</v>
      </c>
      <c r="H780" s="55"/>
      <c r="I780" s="55"/>
      <c r="J780" s="51">
        <v>800000</v>
      </c>
      <c r="K780" s="51"/>
      <c r="L780" s="52">
        <v>45910</v>
      </c>
      <c r="M780" s="53">
        <v>45848</v>
      </c>
      <c r="N780" s="50" t="s">
        <v>155</v>
      </c>
      <c r="O780" s="50" t="s">
        <v>2580</v>
      </c>
      <c r="P780" s="50" t="s">
        <v>2579</v>
      </c>
      <c r="Q780" s="55" t="s">
        <v>2581</v>
      </c>
      <c r="R780" s="55" t="s">
        <v>2582</v>
      </c>
      <c r="S780" s="53">
        <v>46943</v>
      </c>
      <c r="T780" s="50"/>
      <c r="U780" s="50"/>
      <c r="V780" s="56"/>
      <c r="W780" s="56"/>
      <c r="X780" s="56"/>
      <c r="Y780" s="56"/>
      <c r="Z780" s="56"/>
      <c r="AA780" s="56"/>
      <c r="AB780" s="56"/>
    </row>
    <row x14ac:dyDescent="0.25" r="781" customHeight="1" ht="18.75">
      <c r="A781" s="48" t="s">
        <v>2583</v>
      </c>
      <c r="B781" s="48"/>
      <c r="C781" s="50" t="s">
        <v>16</v>
      </c>
      <c r="D781" s="50"/>
      <c r="E781" s="50"/>
      <c r="F781" s="50" t="s">
        <v>2584</v>
      </c>
      <c r="G781" s="55">
        <v>30000000</v>
      </c>
      <c r="H781" s="55"/>
      <c r="I781" s="55"/>
      <c r="J781" s="51">
        <v>2400000</v>
      </c>
      <c r="K781" s="51"/>
      <c r="L781" s="52">
        <v>45899</v>
      </c>
      <c r="M781" s="53">
        <v>45838</v>
      </c>
      <c r="N781" s="50" t="s">
        <v>182</v>
      </c>
      <c r="O781" s="50" t="s">
        <v>2585</v>
      </c>
      <c r="P781" s="50" t="s">
        <v>2584</v>
      </c>
      <c r="Q781" s="55" t="s">
        <v>2586</v>
      </c>
      <c r="R781" s="55" t="s">
        <v>2587</v>
      </c>
      <c r="S781" s="53">
        <v>46933</v>
      </c>
      <c r="T781" s="50"/>
      <c r="U781" s="50"/>
      <c r="V781" s="56"/>
      <c r="W781" s="56"/>
      <c r="X781" s="56"/>
      <c r="Y781" s="56"/>
      <c r="Z781" s="56"/>
      <c r="AA781" s="56"/>
      <c r="AB781" s="56"/>
    </row>
    <row x14ac:dyDescent="0.25" r="782" customHeight="1" ht="18.75">
      <c r="A782" s="48" t="s">
        <v>152</v>
      </c>
      <c r="B782" s="48"/>
      <c r="C782" s="50" t="s">
        <v>16</v>
      </c>
      <c r="D782" s="50" t="s">
        <v>143</v>
      </c>
      <c r="E782" s="50" t="s">
        <v>14</v>
      </c>
      <c r="F782" s="50" t="s">
        <v>2588</v>
      </c>
      <c r="G782" s="55">
        <v>20000000</v>
      </c>
      <c r="H782" s="55"/>
      <c r="I782" s="55"/>
      <c r="J782" s="51">
        <v>1800000</v>
      </c>
      <c r="K782" s="51"/>
      <c r="L782" s="52">
        <v>46165</v>
      </c>
      <c r="M782" s="53">
        <v>46104</v>
      </c>
      <c r="N782" s="50" t="s">
        <v>155</v>
      </c>
      <c r="O782" s="50" t="s">
        <v>2589</v>
      </c>
      <c r="P782" s="50" t="s">
        <v>2588</v>
      </c>
      <c r="Q782" s="55" t="s">
        <v>2590</v>
      </c>
      <c r="R782" s="55" t="s">
        <v>2591</v>
      </c>
      <c r="S782" s="53">
        <v>47199</v>
      </c>
      <c r="T782" s="50"/>
      <c r="U782" s="50"/>
      <c r="V782" s="56"/>
      <c r="W782" s="56"/>
      <c r="X782" s="56"/>
      <c r="Y782" s="56"/>
      <c r="Z782" s="56"/>
      <c r="AA782" s="56"/>
      <c r="AB782" s="56"/>
    </row>
    <row x14ac:dyDescent="0.25" r="783" customHeight="1" ht="18.75">
      <c r="A783" s="56"/>
      <c r="B783" s="56"/>
      <c r="C783" s="49" t="s">
        <v>16</v>
      </c>
      <c r="D783" s="50"/>
      <c r="E783" s="50"/>
      <c r="F783" s="50" t="s">
        <v>1030</v>
      </c>
      <c r="G783" s="51">
        <v>10000000</v>
      </c>
      <c r="H783" s="51"/>
      <c r="I783" s="51"/>
      <c r="J783" s="87">
        <f>IF(G783&gt;0,_xludf.IFS(G783=10000000,1200000,G783=20000000,1800000,G783=30000000,2400000,G783=60000000,4000000),"")</f>
      </c>
      <c r="K783" s="51"/>
      <c r="L783" s="52">
        <v>46221</v>
      </c>
      <c r="M783" s="53">
        <v>46156</v>
      </c>
      <c r="N783" s="50" t="s">
        <v>205</v>
      </c>
      <c r="O783" s="50" t="s">
        <v>1031</v>
      </c>
      <c r="P783" s="54">
        <f>IF(F783&gt;0,F783,"")</f>
      </c>
      <c r="Q783" s="55">
        <v>6602282182710</v>
      </c>
      <c r="R783" s="55">
        <v>22464909</v>
      </c>
      <c r="S783" s="53">
        <f>IF(ISNUMBER(M783), EDATE(M783,36)-1, "")</f>
        <v>25569.375</v>
      </c>
      <c r="T783" s="50"/>
      <c r="U783" s="50"/>
      <c r="V783" s="56"/>
      <c r="W783" s="56"/>
      <c r="X783" s="56"/>
      <c r="Y783" s="56"/>
      <c r="Z783" s="56"/>
      <c r="AA783" s="56"/>
      <c r="AB783" s="56"/>
    </row>
    <row x14ac:dyDescent="0.25" r="784" customHeight="1" ht="18.75">
      <c r="A784" s="56"/>
      <c r="B784" s="56"/>
      <c r="C784" s="50" t="s">
        <v>16</v>
      </c>
      <c r="D784" s="50"/>
      <c r="E784" s="50"/>
      <c r="F784" s="50" t="s">
        <v>2594</v>
      </c>
      <c r="G784" s="55">
        <v>10000000</v>
      </c>
      <c r="H784" s="55"/>
      <c r="I784" s="55"/>
      <c r="J784" s="51">
        <v>800000</v>
      </c>
      <c r="K784" s="51"/>
      <c r="L784" s="52">
        <v>46154</v>
      </c>
      <c r="M784" s="53">
        <v>46093</v>
      </c>
      <c r="N784" s="50" t="s">
        <v>217</v>
      </c>
      <c r="O784" s="50" t="s">
        <v>2595</v>
      </c>
      <c r="P784" s="50" t="s">
        <v>2594</v>
      </c>
      <c r="Q784" s="55" t="s">
        <v>2596</v>
      </c>
      <c r="R784" s="55" t="s">
        <v>2597</v>
      </c>
      <c r="S784" s="53">
        <v>47188</v>
      </c>
      <c r="T784" s="50" t="s">
        <v>2598</v>
      </c>
      <c r="U784" s="50" t="s">
        <v>166</v>
      </c>
      <c r="V784" s="56"/>
      <c r="W784" s="56"/>
      <c r="X784" s="56"/>
      <c r="Y784" s="56"/>
      <c r="Z784" s="56"/>
      <c r="AA784" s="56"/>
      <c r="AB784" s="56"/>
    </row>
    <row x14ac:dyDescent="0.25" r="785" customHeight="1" ht="18.75">
      <c r="A785" s="63"/>
      <c r="B785" s="63"/>
      <c r="C785" s="49" t="s">
        <v>16</v>
      </c>
      <c r="D785" s="49" t="s">
        <v>816</v>
      </c>
      <c r="E785" s="49" t="s">
        <v>114</v>
      </c>
      <c r="F785" s="49" t="s">
        <v>1291</v>
      </c>
      <c r="G785" s="64">
        <v>30000000</v>
      </c>
      <c r="H785" s="64"/>
      <c r="I785" s="64"/>
      <c r="J785" s="64">
        <v>2400000</v>
      </c>
      <c r="K785" s="64"/>
      <c r="L785" s="66">
        <v>46217</v>
      </c>
      <c r="M785" s="67">
        <f>IF(L785&gt;0,EDATE(L785,-2),"")</f>
        <v>25569.375</v>
      </c>
      <c r="N785" s="49" t="s">
        <v>239</v>
      </c>
      <c r="O785" s="49" t="s">
        <v>1292</v>
      </c>
      <c r="P785" s="68">
        <f>IF(F785&gt;0,F785,"")</f>
      </c>
      <c r="Q785" s="69" t="s">
        <v>1293</v>
      </c>
      <c r="R785" s="69">
        <v>64956019</v>
      </c>
      <c r="S785" s="67">
        <f>IF(ISNUMBER(M785), EDATE(M785,36)-1, "")</f>
        <v>25569.375</v>
      </c>
      <c r="T785" s="49"/>
      <c r="U785" s="49"/>
      <c r="V785" s="63"/>
      <c r="W785" s="56"/>
      <c r="X785" s="56"/>
      <c r="Y785" s="56"/>
      <c r="Z785" s="56"/>
      <c r="AA785" s="56"/>
      <c r="AB785" s="56"/>
    </row>
    <row x14ac:dyDescent="0.25" r="786" customHeight="1" ht="18.75">
      <c r="A786" s="56"/>
      <c r="B786" s="56"/>
      <c r="C786" s="50" t="s">
        <v>16</v>
      </c>
      <c r="D786" s="50"/>
      <c r="E786" s="50" t="s">
        <v>75</v>
      </c>
      <c r="F786" s="50" t="s">
        <v>124</v>
      </c>
      <c r="G786" s="55">
        <v>60000000</v>
      </c>
      <c r="H786" s="55"/>
      <c r="I786" s="55"/>
      <c r="J786" s="51">
        <v>3000000</v>
      </c>
      <c r="K786" s="51"/>
      <c r="L786" s="52">
        <v>46140</v>
      </c>
      <c r="M786" s="53">
        <v>46081</v>
      </c>
      <c r="N786" s="50" t="s">
        <v>570</v>
      </c>
      <c r="O786" s="50" t="s">
        <v>2604</v>
      </c>
      <c r="P786" s="50" t="s">
        <v>124</v>
      </c>
      <c r="Q786" s="55" t="s">
        <v>2605</v>
      </c>
      <c r="R786" s="55" t="s">
        <v>2606</v>
      </c>
      <c r="S786" s="53">
        <v>47176</v>
      </c>
      <c r="T786" s="50" t="s">
        <v>125</v>
      </c>
      <c r="U786" s="50" t="s">
        <v>2607</v>
      </c>
      <c r="V786" s="56"/>
      <c r="W786" s="56"/>
      <c r="X786" s="56"/>
      <c r="Y786" s="56"/>
      <c r="Z786" s="56"/>
      <c r="AA786" s="56"/>
      <c r="AB786" s="56"/>
    </row>
    <row x14ac:dyDescent="0.25" r="787" customHeight="1" ht="18.75">
      <c r="A787" s="48" t="s">
        <v>152</v>
      </c>
      <c r="B787" s="48"/>
      <c r="C787" s="49" t="s">
        <v>16</v>
      </c>
      <c r="D787" s="50" t="s">
        <v>48</v>
      </c>
      <c r="E787" s="50" t="s">
        <v>521</v>
      </c>
      <c r="F787" s="50" t="s">
        <v>2225</v>
      </c>
      <c r="G787" s="51">
        <v>10000000</v>
      </c>
      <c r="H787" s="51"/>
      <c r="I787" s="51"/>
      <c r="J787" s="51">
        <v>1200000</v>
      </c>
      <c r="K787" s="51"/>
      <c r="L787" s="52">
        <v>46217</v>
      </c>
      <c r="M787" s="53">
        <f>IF(L787&gt;0,EDATE(L787,-2),"")</f>
        <v>25569.375</v>
      </c>
      <c r="N787" s="50" t="s">
        <v>239</v>
      </c>
      <c r="O787" s="50" t="s">
        <v>2226</v>
      </c>
      <c r="P787" s="54">
        <f>IF(F787&gt;0,F787,"")</f>
      </c>
      <c r="Q787" s="55" t="s">
        <v>2227</v>
      </c>
      <c r="R787" s="55">
        <v>30600788</v>
      </c>
      <c r="S787" s="53">
        <f>IF(ISNUMBER(M787), EDATE(M787,36)-1, "")</f>
        <v>25569.375</v>
      </c>
      <c r="T787" s="50"/>
      <c r="U787" s="50"/>
      <c r="V787" s="48" t="s">
        <v>2228</v>
      </c>
      <c r="W787" s="56"/>
      <c r="X787" s="56"/>
      <c r="Y787" s="56"/>
      <c r="Z787" s="56"/>
      <c r="AA787" s="56"/>
      <c r="AB787" s="56"/>
    </row>
    <row x14ac:dyDescent="0.25" r="788" customHeight="1" ht="18.75">
      <c r="A788" s="56"/>
      <c r="B788" s="56"/>
      <c r="C788" s="50" t="s">
        <v>16</v>
      </c>
      <c r="D788" s="50"/>
      <c r="E788" s="50"/>
      <c r="F788" s="50" t="s">
        <v>420</v>
      </c>
      <c r="G788" s="55">
        <v>10000000</v>
      </c>
      <c r="H788" s="55"/>
      <c r="I788" s="55"/>
      <c r="J788" s="51">
        <v>800000</v>
      </c>
      <c r="K788" s="51"/>
      <c r="L788" s="52">
        <v>46091</v>
      </c>
      <c r="M788" s="53">
        <v>46022</v>
      </c>
      <c r="N788" s="50" t="s">
        <v>217</v>
      </c>
      <c r="O788" s="50" t="s">
        <v>2613</v>
      </c>
      <c r="P788" s="50" t="s">
        <v>420</v>
      </c>
      <c r="Q788" s="55" t="s">
        <v>2614</v>
      </c>
      <c r="R788" s="55" t="s">
        <v>424</v>
      </c>
      <c r="S788" s="53">
        <v>47127</v>
      </c>
      <c r="T788" s="50"/>
      <c r="U788" s="50"/>
      <c r="V788" s="56"/>
      <c r="W788" s="56"/>
      <c r="X788" s="56"/>
      <c r="Y788" s="56"/>
      <c r="Z788" s="56"/>
      <c r="AA788" s="56"/>
      <c r="AB788" s="56"/>
    </row>
    <row x14ac:dyDescent="0.25" r="789" customHeight="1" ht="18.75">
      <c r="A789" s="56"/>
      <c r="B789" s="56"/>
      <c r="C789" s="50" t="s">
        <v>16</v>
      </c>
      <c r="D789" s="50"/>
      <c r="E789" s="50"/>
      <c r="F789" s="50" t="s">
        <v>2615</v>
      </c>
      <c r="G789" s="55">
        <v>20000000</v>
      </c>
      <c r="H789" s="55"/>
      <c r="I789" s="55"/>
      <c r="J789" s="51">
        <v>1528000</v>
      </c>
      <c r="K789" s="51"/>
      <c r="L789" s="52">
        <v>45976</v>
      </c>
      <c r="M789" s="53">
        <v>45915</v>
      </c>
      <c r="N789" s="50" t="s">
        <v>2616</v>
      </c>
      <c r="O789" s="50" t="s">
        <v>2617</v>
      </c>
      <c r="P789" s="50" t="s">
        <v>2615</v>
      </c>
      <c r="Q789" s="55" t="s">
        <v>2618</v>
      </c>
      <c r="R789" s="55" t="s">
        <v>2619</v>
      </c>
      <c r="S789" s="53">
        <v>47010</v>
      </c>
      <c r="T789" s="50"/>
      <c r="U789" s="50"/>
      <c r="V789" s="56"/>
      <c r="W789" s="56"/>
      <c r="X789" s="56"/>
      <c r="Y789" s="56"/>
      <c r="Z789" s="56"/>
      <c r="AA789" s="56"/>
      <c r="AB789" s="56"/>
    </row>
    <row x14ac:dyDescent="0.25" r="790" customHeight="1" ht="18.75">
      <c r="A790" s="56"/>
      <c r="B790" s="56"/>
      <c r="C790" s="50" t="s">
        <v>16</v>
      </c>
      <c r="D790" s="50" t="s">
        <v>419</v>
      </c>
      <c r="E790" s="50" t="s">
        <v>420</v>
      </c>
      <c r="F790" s="50" t="s">
        <v>2280</v>
      </c>
      <c r="G790" s="51">
        <v>30000000</v>
      </c>
      <c r="H790" s="51"/>
      <c r="I790" s="51"/>
      <c r="J790" s="87">
        <f>IF(G790&gt;0,_xludf.IFS(G790=10000000,1200000,G790=20000000,1800000,G790=30000000,2400000,G790=60000000,4000000),"")</f>
      </c>
      <c r="K790" s="51"/>
      <c r="L790" s="52">
        <v>46217</v>
      </c>
      <c r="M790" s="53">
        <f>IF(L790&gt;0,EDATE(L790,-2),"")</f>
        <v>25569.375</v>
      </c>
      <c r="N790" s="50" t="s">
        <v>168</v>
      </c>
      <c r="O790" s="50" t="s">
        <v>2284</v>
      </c>
      <c r="P790" s="54">
        <f>IF(F790&gt;0,F790,"")</f>
      </c>
      <c r="Q790" s="55">
        <v>9412042143321</v>
      </c>
      <c r="R790" s="55">
        <v>75685643</v>
      </c>
      <c r="S790" s="53">
        <f>IF(ISNUMBER(M790), EDATE(M790,36)-1, "")</f>
        <v>25569.375</v>
      </c>
      <c r="T790" s="50"/>
      <c r="U790" s="50"/>
      <c r="V790" s="56"/>
      <c r="W790" s="56"/>
      <c r="X790" s="56"/>
      <c r="Y790" s="56"/>
      <c r="Z790" s="56"/>
      <c r="AA790" s="56"/>
      <c r="AB790" s="56"/>
    </row>
    <row x14ac:dyDescent="0.25" r="791" customHeight="1" ht="18.75">
      <c r="A791" s="56"/>
      <c r="B791" s="56"/>
      <c r="C791" s="50" t="s">
        <v>16</v>
      </c>
      <c r="D791" s="50"/>
      <c r="E791" s="50"/>
      <c r="F791" s="50" t="s">
        <v>2623</v>
      </c>
      <c r="G791" s="55">
        <v>20000000</v>
      </c>
      <c r="H791" s="55"/>
      <c r="I791" s="55"/>
      <c r="J791" s="51">
        <v>1528000</v>
      </c>
      <c r="K791" s="51"/>
      <c r="L791" s="52">
        <v>46064</v>
      </c>
      <c r="M791" s="53">
        <v>46002</v>
      </c>
      <c r="N791" s="50" t="s">
        <v>217</v>
      </c>
      <c r="O791" s="50" t="s">
        <v>2624</v>
      </c>
      <c r="P791" s="50" t="s">
        <v>2623</v>
      </c>
      <c r="Q791" s="55" t="s">
        <v>2625</v>
      </c>
      <c r="R791" s="55" t="s">
        <v>2626</v>
      </c>
      <c r="S791" s="53">
        <v>47097</v>
      </c>
      <c r="T791" s="50"/>
      <c r="U791" s="50"/>
      <c r="V791" s="56"/>
      <c r="W791" s="56"/>
      <c r="X791" s="56"/>
      <c r="Y791" s="56"/>
      <c r="Z791" s="56"/>
      <c r="AA791" s="56"/>
      <c r="AB791" s="56"/>
    </row>
    <row x14ac:dyDescent="0.25" r="792" customHeight="1" ht="18.75">
      <c r="A792" s="56"/>
      <c r="B792" s="56"/>
      <c r="C792" s="50" t="s">
        <v>16</v>
      </c>
      <c r="D792" s="50"/>
      <c r="E792" s="50"/>
      <c r="F792" s="50" t="s">
        <v>2627</v>
      </c>
      <c r="G792" s="55">
        <v>120000000</v>
      </c>
      <c r="H792" s="55"/>
      <c r="I792" s="55"/>
      <c r="J792" s="51">
        <v>7056000</v>
      </c>
      <c r="K792" s="51"/>
      <c r="L792" s="52">
        <v>46091</v>
      </c>
      <c r="M792" s="53">
        <v>46032</v>
      </c>
      <c r="N792" s="50" t="s">
        <v>174</v>
      </c>
      <c r="O792" s="50" t="s">
        <v>2628</v>
      </c>
      <c r="P792" s="50" t="s">
        <v>2627</v>
      </c>
      <c r="Q792" s="55" t="s">
        <v>2629</v>
      </c>
      <c r="R792" s="55" t="s">
        <v>2630</v>
      </c>
      <c r="S792" s="53">
        <v>47127</v>
      </c>
      <c r="T792" s="50" t="s">
        <v>2631</v>
      </c>
      <c r="U792" s="50"/>
      <c r="V792" s="56"/>
      <c r="W792" s="56"/>
      <c r="X792" s="56"/>
      <c r="Y792" s="56"/>
      <c r="Z792" s="56"/>
      <c r="AA792" s="56"/>
      <c r="AB792" s="56"/>
    </row>
    <row x14ac:dyDescent="0.25" r="793" customHeight="1" ht="18.75">
      <c r="A793" s="56"/>
      <c r="B793" s="56"/>
      <c r="C793" s="50" t="s">
        <v>2033</v>
      </c>
      <c r="D793" s="50"/>
      <c r="E793" s="50"/>
      <c r="F793" s="50" t="s">
        <v>2632</v>
      </c>
      <c r="G793" s="55">
        <v>10000000</v>
      </c>
      <c r="H793" s="55"/>
      <c r="I793" s="55"/>
      <c r="J793" s="51">
        <v>900000</v>
      </c>
      <c r="K793" s="51"/>
      <c r="L793" s="52">
        <v>45820</v>
      </c>
      <c r="M793" s="53">
        <v>45759</v>
      </c>
      <c r="N793" s="50" t="s">
        <v>168</v>
      </c>
      <c r="O793" s="50" t="s">
        <v>2633</v>
      </c>
      <c r="P793" s="50" t="s">
        <v>2632</v>
      </c>
      <c r="Q793" s="55" t="s">
        <v>2634</v>
      </c>
      <c r="R793" s="55" t="s">
        <v>2635</v>
      </c>
      <c r="S793" s="53">
        <v>46854</v>
      </c>
      <c r="T793" s="50"/>
      <c r="U793" s="50"/>
      <c r="V793" s="56"/>
      <c r="W793" s="56"/>
      <c r="X793" s="56"/>
      <c r="Y793" s="56"/>
      <c r="Z793" s="56"/>
      <c r="AA793" s="56"/>
      <c r="AB793" s="56"/>
    </row>
    <row x14ac:dyDescent="0.25" r="794" customHeight="1" ht="18.75">
      <c r="A794" s="71"/>
      <c r="B794" s="71"/>
      <c r="C794" s="72" t="s">
        <v>16</v>
      </c>
      <c r="D794" s="72"/>
      <c r="E794" s="72"/>
      <c r="F794" s="72" t="s">
        <v>2632</v>
      </c>
      <c r="G794" s="73">
        <v>170000000</v>
      </c>
      <c r="H794" s="73"/>
      <c r="I794" s="73"/>
      <c r="J794" s="74"/>
      <c r="K794" s="74"/>
      <c r="L794" s="75">
        <v>45912</v>
      </c>
      <c r="M794" s="76">
        <v>45850</v>
      </c>
      <c r="N794" s="72" t="s">
        <v>282</v>
      </c>
      <c r="O794" s="72" t="s">
        <v>2637</v>
      </c>
      <c r="P794" s="72" t="s">
        <v>2632</v>
      </c>
      <c r="Q794" s="73" t="s">
        <v>2638</v>
      </c>
      <c r="R794" s="73" t="s">
        <v>2635</v>
      </c>
      <c r="S794" s="76">
        <v>46945</v>
      </c>
      <c r="T794" s="72"/>
      <c r="U794" s="72"/>
      <c r="V794" s="71"/>
      <c r="W794" s="56"/>
      <c r="X794" s="56"/>
      <c r="Y794" s="56"/>
      <c r="Z794" s="56"/>
      <c r="AA794" s="56"/>
      <c r="AB794" s="56"/>
    </row>
    <row x14ac:dyDescent="0.25" r="795" customHeight="1" ht="18.75">
      <c r="A795" s="56"/>
      <c r="B795" s="56"/>
      <c r="C795" s="50" t="s">
        <v>16</v>
      </c>
      <c r="D795" s="50" t="s">
        <v>55</v>
      </c>
      <c r="E795" s="50" t="s">
        <v>56</v>
      </c>
      <c r="F795" s="50" t="s">
        <v>1212</v>
      </c>
      <c r="G795" s="51">
        <v>30000000</v>
      </c>
      <c r="H795" s="51"/>
      <c r="I795" s="51"/>
      <c r="J795" s="87">
        <f>IF(G795&gt;0,_xludf.IFS(G795=10000000,1200000,G795=20000000,1800000,G795=30000000,2400000,G795=60000000,4000000),"")</f>
      </c>
      <c r="K795" s="51"/>
      <c r="L795" s="52">
        <v>46218</v>
      </c>
      <c r="M795" s="53">
        <f>IF(L795&gt;0,EDATE(L795,-2),"")</f>
        <v>25569.375</v>
      </c>
      <c r="N795" s="50" t="s">
        <v>239</v>
      </c>
      <c r="O795" s="50" t="s">
        <v>1213</v>
      </c>
      <c r="P795" s="54">
        <f>IF(F795&gt;0,F795,"")</f>
      </c>
      <c r="Q795" s="55">
        <v>7107022058011</v>
      </c>
      <c r="R795" s="55">
        <v>50926282</v>
      </c>
      <c r="S795" s="53">
        <f>IF(ISNUMBER(M795), EDATE(M795,36)-1, "")</f>
        <v>25569.375</v>
      </c>
      <c r="T795" s="50"/>
      <c r="U795" s="50"/>
      <c r="V795" s="56"/>
      <c r="W795" s="56"/>
      <c r="X795" s="56"/>
      <c r="Y795" s="56"/>
      <c r="Z795" s="56"/>
      <c r="AA795" s="56"/>
      <c r="AB795" s="56"/>
    </row>
    <row x14ac:dyDescent="0.25" r="796" customHeight="1" ht="18.75">
      <c r="A796" s="63"/>
      <c r="B796" s="63"/>
      <c r="C796" s="49" t="s">
        <v>16</v>
      </c>
      <c r="D796" s="49" t="s">
        <v>454</v>
      </c>
      <c r="E796" s="49" t="s">
        <v>647</v>
      </c>
      <c r="F796" s="49" t="s">
        <v>2641</v>
      </c>
      <c r="G796" s="64">
        <v>10000000</v>
      </c>
      <c r="H796" s="64"/>
      <c r="I796" s="64"/>
      <c r="J796" s="65">
        <f>IF(G796&gt;0,_xludf.IFS(G796=10000000,800000,G796=20000000,1528000,G796=30000000,2028000,G796=60000000,4056000),"")</f>
      </c>
      <c r="K796" s="64"/>
      <c r="L796" s="66">
        <v>46148</v>
      </c>
      <c r="M796" s="67">
        <f>IF(L796&gt;0,EDATE(L796,-2),"")</f>
        <v>25569.375</v>
      </c>
      <c r="N796" s="49" t="s">
        <v>155</v>
      </c>
      <c r="O796" s="49" t="s">
        <v>2642</v>
      </c>
      <c r="P796" s="68">
        <f>IF(F796&gt;0,F796,"")</f>
      </c>
      <c r="Q796" s="69" t="s">
        <v>2643</v>
      </c>
      <c r="R796" s="69">
        <v>87417489</v>
      </c>
      <c r="S796" s="67">
        <f>IF(ISNUMBER(M796), EDATE(M796,36)-1, "")</f>
        <v>25569.375</v>
      </c>
      <c r="T796" s="49"/>
      <c r="U796" s="49"/>
      <c r="V796" s="63"/>
      <c r="W796" s="56"/>
      <c r="X796" s="56"/>
      <c r="Y796" s="56"/>
      <c r="Z796" s="56"/>
      <c r="AA796" s="56"/>
      <c r="AB796" s="56"/>
    </row>
    <row x14ac:dyDescent="0.25" r="797" customHeight="1" ht="18.75">
      <c r="A797" s="56"/>
      <c r="B797" s="56"/>
      <c r="C797" s="50" t="s">
        <v>16</v>
      </c>
      <c r="D797" s="50"/>
      <c r="E797" s="50"/>
      <c r="F797" s="50" t="s">
        <v>2644</v>
      </c>
      <c r="G797" s="55">
        <v>60000000</v>
      </c>
      <c r="H797" s="55"/>
      <c r="I797" s="55"/>
      <c r="J797" s="51">
        <v>4056000</v>
      </c>
      <c r="K797" s="51"/>
      <c r="L797" s="52">
        <v>45994</v>
      </c>
      <c r="M797" s="53">
        <v>45933</v>
      </c>
      <c r="N797" s="50" t="s">
        <v>302</v>
      </c>
      <c r="O797" s="50" t="s">
        <v>2645</v>
      </c>
      <c r="P797" s="50" t="s">
        <v>2644</v>
      </c>
      <c r="Q797" s="55" t="s">
        <v>2646</v>
      </c>
      <c r="R797" s="55" t="s">
        <v>2647</v>
      </c>
      <c r="S797" s="53">
        <v>47064</v>
      </c>
      <c r="T797" s="50"/>
      <c r="U797" s="50"/>
      <c r="V797" s="56"/>
      <c r="W797" s="56"/>
      <c r="X797" s="56"/>
      <c r="Y797" s="56"/>
      <c r="Z797" s="56"/>
      <c r="AA797" s="56"/>
      <c r="AB797" s="56"/>
    </row>
    <row x14ac:dyDescent="0.25" r="798" customHeight="1" ht="18.75">
      <c r="A798" s="48" t="s">
        <v>2433</v>
      </c>
      <c r="B798" s="48"/>
      <c r="C798" s="50" t="s">
        <v>113</v>
      </c>
      <c r="D798" s="50"/>
      <c r="E798" s="50"/>
      <c r="F798" s="50" t="s">
        <v>126</v>
      </c>
      <c r="G798" s="55">
        <v>30000000</v>
      </c>
      <c r="H798" s="55"/>
      <c r="I798" s="55"/>
      <c r="J798" s="51">
        <v>2400000</v>
      </c>
      <c r="K798" s="51"/>
      <c r="L798" s="52">
        <v>45593</v>
      </c>
      <c r="M798" s="53">
        <v>45532</v>
      </c>
      <c r="N798" s="50" t="s">
        <v>205</v>
      </c>
      <c r="O798" s="50" t="s">
        <v>2648</v>
      </c>
      <c r="P798" s="50" t="s">
        <v>126</v>
      </c>
      <c r="Q798" s="55" t="s">
        <v>2649</v>
      </c>
      <c r="R798" s="55" t="s">
        <v>2650</v>
      </c>
      <c r="S798" s="53">
        <v>46626</v>
      </c>
      <c r="T798" s="50"/>
      <c r="U798" s="50"/>
      <c r="V798" s="56"/>
      <c r="W798" s="56"/>
      <c r="X798" s="56"/>
      <c r="Y798" s="56"/>
      <c r="Z798" s="56"/>
      <c r="AA798" s="56"/>
      <c r="AB798" s="56"/>
    </row>
    <row x14ac:dyDescent="0.25" r="799" customHeight="1" ht="18.75">
      <c r="A799" s="48" t="s">
        <v>1133</v>
      </c>
      <c r="B799" s="48"/>
      <c r="C799" s="50" t="s">
        <v>16</v>
      </c>
      <c r="D799" s="50"/>
      <c r="E799" s="50"/>
      <c r="F799" s="50" t="s">
        <v>126</v>
      </c>
      <c r="G799" s="55">
        <v>60000000</v>
      </c>
      <c r="H799" s="55"/>
      <c r="I799" s="55"/>
      <c r="J799" s="51">
        <v>4800000</v>
      </c>
      <c r="K799" s="51"/>
      <c r="L799" s="52">
        <v>45894</v>
      </c>
      <c r="M799" s="53">
        <v>45831</v>
      </c>
      <c r="N799" s="50" t="s">
        <v>205</v>
      </c>
      <c r="O799" s="50" t="s">
        <v>2651</v>
      </c>
      <c r="P799" s="50" t="s">
        <v>126</v>
      </c>
      <c r="Q799" s="55" t="s">
        <v>2649</v>
      </c>
      <c r="R799" s="55" t="s">
        <v>2650</v>
      </c>
      <c r="S799" s="53">
        <v>46926</v>
      </c>
      <c r="T799" s="50"/>
      <c r="U799" s="50"/>
      <c r="V799" s="56"/>
      <c r="W799" s="56"/>
      <c r="X799" s="56"/>
      <c r="Y799" s="56"/>
      <c r="Z799" s="56"/>
      <c r="AA799" s="56"/>
      <c r="AB799" s="56"/>
    </row>
    <row x14ac:dyDescent="0.25" r="800" customHeight="1" ht="18.75">
      <c r="A800" s="56"/>
      <c r="B800" s="56"/>
      <c r="C800" s="50" t="s">
        <v>16</v>
      </c>
      <c r="D800" s="50"/>
      <c r="E800" s="50"/>
      <c r="F800" s="50" t="s">
        <v>126</v>
      </c>
      <c r="G800" s="55">
        <v>60000000</v>
      </c>
      <c r="H800" s="55"/>
      <c r="I800" s="55"/>
      <c r="J800" s="51">
        <v>4800000</v>
      </c>
      <c r="K800" s="51"/>
      <c r="L800" s="52">
        <v>45966</v>
      </c>
      <c r="M800" s="53">
        <v>45848</v>
      </c>
      <c r="N800" s="50" t="s">
        <v>205</v>
      </c>
      <c r="O800" s="50" t="s">
        <v>2651</v>
      </c>
      <c r="P800" s="50" t="s">
        <v>126</v>
      </c>
      <c r="Q800" s="55" t="s">
        <v>2649</v>
      </c>
      <c r="R800" s="55" t="s">
        <v>2650</v>
      </c>
      <c r="S800" s="53">
        <v>47000</v>
      </c>
      <c r="T800" s="50"/>
      <c r="U800" s="50"/>
      <c r="V800" s="56"/>
      <c r="W800" s="56"/>
      <c r="X800" s="56"/>
      <c r="Y800" s="56"/>
      <c r="Z800" s="56"/>
      <c r="AA800" s="56"/>
      <c r="AB800" s="56"/>
    </row>
    <row x14ac:dyDescent="0.25" r="801" customHeight="1" ht="18.75">
      <c r="A801" s="56"/>
      <c r="B801" s="56"/>
      <c r="C801" s="49" t="s">
        <v>16</v>
      </c>
      <c r="D801" s="50" t="s">
        <v>627</v>
      </c>
      <c r="E801" s="50" t="s">
        <v>1978</v>
      </c>
      <c r="F801" s="50" t="s">
        <v>1979</v>
      </c>
      <c r="G801" s="51">
        <v>10000000</v>
      </c>
      <c r="H801" s="51"/>
      <c r="I801" s="51"/>
      <c r="J801" s="51">
        <v>1200000</v>
      </c>
      <c r="K801" s="51"/>
      <c r="L801" s="52">
        <v>46214</v>
      </c>
      <c r="M801" s="53">
        <v>46157</v>
      </c>
      <c r="N801" s="50" t="s">
        <v>168</v>
      </c>
      <c r="O801" s="50" t="s">
        <v>1980</v>
      </c>
      <c r="P801" s="54">
        <f>IF(F801&gt;0,F801,"")</f>
      </c>
      <c r="Q801" s="55" t="s">
        <v>1981</v>
      </c>
      <c r="R801" s="55">
        <v>36853458</v>
      </c>
      <c r="S801" s="53">
        <v>47252</v>
      </c>
      <c r="T801" s="50"/>
      <c r="U801" s="50"/>
      <c r="V801" s="56"/>
      <c r="W801" s="56"/>
      <c r="X801" s="56"/>
      <c r="Y801" s="56"/>
      <c r="Z801" s="56"/>
      <c r="AA801" s="56"/>
      <c r="AB801" s="56"/>
    </row>
    <row x14ac:dyDescent="0.25" r="802" customHeight="1" ht="18.75">
      <c r="A802" s="56"/>
      <c r="B802" s="56"/>
      <c r="C802" s="50" t="s">
        <v>16</v>
      </c>
      <c r="D802" s="50"/>
      <c r="E802" s="50" t="s">
        <v>596</v>
      </c>
      <c r="F802" s="50" t="s">
        <v>172</v>
      </c>
      <c r="G802" s="55">
        <v>10000000</v>
      </c>
      <c r="H802" s="55"/>
      <c r="I802" s="55"/>
      <c r="J802" s="51">
        <v>800000</v>
      </c>
      <c r="K802" s="51"/>
      <c r="L802" s="52">
        <v>46131</v>
      </c>
      <c r="M802" s="53">
        <v>46072</v>
      </c>
      <c r="N802" s="50" t="s">
        <v>155</v>
      </c>
      <c r="O802" s="50" t="s">
        <v>2658</v>
      </c>
      <c r="P802" s="50" t="s">
        <v>172</v>
      </c>
      <c r="Q802" s="55" t="s">
        <v>2659</v>
      </c>
      <c r="R802" s="55" t="s">
        <v>2660</v>
      </c>
      <c r="S802" s="53">
        <v>47167</v>
      </c>
      <c r="T802" s="50" t="s">
        <v>2661</v>
      </c>
      <c r="U802" s="50" t="s">
        <v>166</v>
      </c>
      <c r="V802" s="56"/>
      <c r="W802" s="56"/>
      <c r="X802" s="56"/>
      <c r="Y802" s="56"/>
      <c r="Z802" s="56"/>
      <c r="AA802" s="56"/>
      <c r="AB802" s="56"/>
    </row>
    <row x14ac:dyDescent="0.25" r="803" customHeight="1" ht="18.75">
      <c r="A803" s="56"/>
      <c r="B803" s="56"/>
      <c r="C803" s="50" t="s">
        <v>16</v>
      </c>
      <c r="D803" s="50"/>
      <c r="E803" s="50"/>
      <c r="F803" s="50" t="s">
        <v>2662</v>
      </c>
      <c r="G803" s="55">
        <v>30000000</v>
      </c>
      <c r="H803" s="55"/>
      <c r="I803" s="55"/>
      <c r="J803" s="51">
        <v>2400000</v>
      </c>
      <c r="K803" s="51"/>
      <c r="L803" s="52">
        <v>45914</v>
      </c>
      <c r="M803" s="53">
        <v>45852</v>
      </c>
      <c r="N803" s="50" t="s">
        <v>282</v>
      </c>
      <c r="O803" s="50" t="s">
        <v>2663</v>
      </c>
      <c r="P803" s="50" t="s">
        <v>2662</v>
      </c>
      <c r="Q803" s="55" t="s">
        <v>2664</v>
      </c>
      <c r="R803" s="55" t="s">
        <v>2665</v>
      </c>
      <c r="S803" s="53">
        <v>46947</v>
      </c>
      <c r="T803" s="50"/>
      <c r="U803" s="50"/>
      <c r="V803" s="56"/>
      <c r="W803" s="56"/>
      <c r="X803" s="56"/>
      <c r="Y803" s="56"/>
      <c r="Z803" s="56"/>
      <c r="AA803" s="56"/>
      <c r="AB803" s="56"/>
    </row>
    <row x14ac:dyDescent="0.25" r="804" customHeight="1" ht="18.75">
      <c r="A804" s="56"/>
      <c r="B804" s="56"/>
      <c r="C804" s="50" t="s">
        <v>16</v>
      </c>
      <c r="D804" s="50"/>
      <c r="E804" s="50"/>
      <c r="F804" s="50" t="s">
        <v>2666</v>
      </c>
      <c r="G804" s="55">
        <v>20000000</v>
      </c>
      <c r="H804" s="55"/>
      <c r="I804" s="55"/>
      <c r="J804" s="51">
        <v>1528000</v>
      </c>
      <c r="K804" s="51"/>
      <c r="L804" s="52">
        <v>45980</v>
      </c>
      <c r="M804" s="53">
        <v>45919</v>
      </c>
      <c r="N804" s="50" t="s">
        <v>155</v>
      </c>
      <c r="O804" s="50" t="s">
        <v>2667</v>
      </c>
      <c r="P804" s="50" t="s">
        <v>2666</v>
      </c>
      <c r="Q804" s="55" t="s">
        <v>2668</v>
      </c>
      <c r="R804" s="55" t="s">
        <v>2669</v>
      </c>
      <c r="S804" s="53">
        <v>47014</v>
      </c>
      <c r="T804" s="50"/>
      <c r="U804" s="50"/>
      <c r="V804" s="56"/>
      <c r="W804" s="56"/>
      <c r="X804" s="56"/>
      <c r="Y804" s="56"/>
      <c r="Z804" s="56"/>
      <c r="AA804" s="56"/>
      <c r="AB804" s="56"/>
    </row>
    <row x14ac:dyDescent="0.25" r="805" customHeight="1" ht="18.75">
      <c r="A805" s="48" t="s">
        <v>63</v>
      </c>
      <c r="B805" s="48"/>
      <c r="C805" s="49" t="s">
        <v>16</v>
      </c>
      <c r="D805" s="50" t="s">
        <v>88</v>
      </c>
      <c r="E805" s="50" t="s">
        <v>14</v>
      </c>
      <c r="F805" s="50" t="s">
        <v>2348</v>
      </c>
      <c r="G805" s="51">
        <v>20000000</v>
      </c>
      <c r="H805" s="51"/>
      <c r="I805" s="51"/>
      <c r="J805" s="87">
        <f>IF(G805&gt;0,_xludf.IFS(G805=10000000,1200000,G805=20000000,1800000,G805=30000000,2400000,G805=60000000,4000000),"")</f>
      </c>
      <c r="K805" s="51"/>
      <c r="L805" s="52">
        <v>46219</v>
      </c>
      <c r="M805" s="53">
        <f>IF(L805&gt;0,EDATE(L805,-2),"")</f>
        <v>25569.375</v>
      </c>
      <c r="N805" s="50" t="s">
        <v>168</v>
      </c>
      <c r="O805" s="50" t="s">
        <v>2349</v>
      </c>
      <c r="P805" s="54">
        <f>IF(F805&gt;0,F805,"")</f>
      </c>
      <c r="Q805" s="55">
        <v>6304192538312</v>
      </c>
      <c r="R805" s="55">
        <v>37329807</v>
      </c>
      <c r="S805" s="53">
        <f>IF(ISNUMBER(M805), EDATE(M805,36)-1, "")</f>
        <v>25569.375</v>
      </c>
      <c r="T805" s="50"/>
      <c r="U805" s="50"/>
      <c r="V805" s="56"/>
      <c r="W805" s="56"/>
      <c r="X805" s="56"/>
      <c r="Y805" s="56"/>
      <c r="Z805" s="56"/>
      <c r="AA805" s="56"/>
      <c r="AB805" s="56"/>
    </row>
    <row x14ac:dyDescent="0.25" r="806" customHeight="1" ht="18.75">
      <c r="A806" s="56"/>
      <c r="B806" s="56"/>
      <c r="C806" s="49" t="s">
        <v>16</v>
      </c>
      <c r="D806" s="50" t="s">
        <v>627</v>
      </c>
      <c r="E806" s="50" t="s">
        <v>373</v>
      </c>
      <c r="F806" s="50" t="s">
        <v>628</v>
      </c>
      <c r="G806" s="51">
        <v>10000000</v>
      </c>
      <c r="H806" s="51"/>
      <c r="I806" s="51"/>
      <c r="J806" s="51">
        <v>400000</v>
      </c>
      <c r="K806" s="51"/>
      <c r="L806" s="52">
        <v>46221</v>
      </c>
      <c r="M806" s="53">
        <f>IF(L806&gt;0,EDATE(L806,-2),"")</f>
        <v>25569.375</v>
      </c>
      <c r="N806" s="50" t="s">
        <v>205</v>
      </c>
      <c r="O806" s="50" t="s">
        <v>629</v>
      </c>
      <c r="P806" s="54">
        <f>IF(F806&gt;0,F806,"")</f>
      </c>
      <c r="Q806" s="55">
        <v>6612272566510</v>
      </c>
      <c r="R806" s="55">
        <v>82946699</v>
      </c>
      <c r="S806" s="53">
        <f>IF(ISNUMBER(M806), EDATE(M806,36)-1, "")</f>
        <v>25569.375</v>
      </c>
      <c r="T806" s="50"/>
      <c r="U806" s="50"/>
      <c r="V806" s="56"/>
      <c r="W806" s="56"/>
      <c r="X806" s="56"/>
      <c r="Y806" s="56"/>
      <c r="Z806" s="56"/>
      <c r="AA806" s="56"/>
      <c r="AB806" s="56"/>
    </row>
    <row x14ac:dyDescent="0.25" r="807" customHeight="1" ht="18.75">
      <c r="A807" s="63" t="s">
        <v>252</v>
      </c>
      <c r="B807" s="63"/>
      <c r="C807" s="49" t="s">
        <v>16</v>
      </c>
      <c r="D807" s="49" t="s">
        <v>80</v>
      </c>
      <c r="E807" s="49" t="s">
        <v>596</v>
      </c>
      <c r="F807" s="49" t="s">
        <v>117</v>
      </c>
      <c r="G807" s="64">
        <v>10000000</v>
      </c>
      <c r="H807" s="64"/>
      <c r="I807" s="64"/>
      <c r="J807" s="65">
        <f>IF(G807&gt;0,_xludf.IFS(G807=10000000,800000,G807=20000000,1528000,G807=30000000,2028000,G807=60000000,4056000),"")</f>
      </c>
      <c r="K807" s="64"/>
      <c r="L807" s="66">
        <v>46221</v>
      </c>
      <c r="M807" s="67">
        <f>IF(L807&gt;0,EDATE(L807,-2),"")</f>
        <v>25569.375</v>
      </c>
      <c r="N807" s="49" t="s">
        <v>217</v>
      </c>
      <c r="O807" s="49" t="s">
        <v>704</v>
      </c>
      <c r="P807" s="68">
        <f>IF(F807&gt;0,F807,"")</f>
      </c>
      <c r="Q807" s="69" t="s">
        <v>705</v>
      </c>
      <c r="R807" s="69">
        <v>94914154</v>
      </c>
      <c r="S807" s="67">
        <f>IF(ISNUMBER(M807), EDATE(M807,36)-1, "")</f>
        <v>25569.375</v>
      </c>
      <c r="T807" s="49"/>
      <c r="U807" s="49"/>
      <c r="V807" s="63"/>
      <c r="W807" s="56"/>
      <c r="X807" s="56"/>
      <c r="Y807" s="56"/>
      <c r="Z807" s="56"/>
      <c r="AA807" s="56"/>
      <c r="AB807" s="56"/>
    </row>
    <row x14ac:dyDescent="0.25" r="808" customHeight="1" ht="18.75">
      <c r="A808" s="63" t="s">
        <v>275</v>
      </c>
      <c r="B808" s="63"/>
      <c r="C808" s="49" t="s">
        <v>16</v>
      </c>
      <c r="D808" s="49"/>
      <c r="E808" s="49"/>
      <c r="F808" s="49" t="s">
        <v>2682</v>
      </c>
      <c r="G808" s="64">
        <v>10000000</v>
      </c>
      <c r="H808" s="64"/>
      <c r="I808" s="64"/>
      <c r="J808" s="65">
        <f>IF(G808&gt;0,_xludf.IFS(G808=10000000,800000,G808=20000000,1528000,G808=30000000,2028000,G808=60000000,4056000),"")</f>
      </c>
      <c r="K808" s="64"/>
      <c r="L808" s="66">
        <v>46031</v>
      </c>
      <c r="M808" s="67">
        <f>IF(L808&gt;0,EDATE(L808,-2),"")</f>
        <v>25569.375</v>
      </c>
      <c r="N808" s="49" t="s">
        <v>168</v>
      </c>
      <c r="O808" s="49" t="s">
        <v>2683</v>
      </c>
      <c r="P808" s="68">
        <f>IF(F808&gt;0,F808,"")</f>
      </c>
      <c r="Q808" s="69" t="s">
        <v>2684</v>
      </c>
      <c r="R808" s="69">
        <v>32404004</v>
      </c>
      <c r="S808" s="67">
        <f>IF(ISNUMBER(M808), EDATE(M808,36)-1, "")</f>
        <v>25569.375</v>
      </c>
      <c r="T808" s="49"/>
      <c r="U808" s="49"/>
      <c r="V808" s="63" t="s">
        <v>3341</v>
      </c>
      <c r="W808" s="56"/>
      <c r="X808" s="56"/>
      <c r="Y808" s="56"/>
      <c r="Z808" s="56"/>
      <c r="AA808" s="56"/>
      <c r="AB808" s="56"/>
    </row>
    <row x14ac:dyDescent="0.25" r="809" customHeight="1" ht="18.75">
      <c r="A809" s="56"/>
      <c r="B809" s="56"/>
      <c r="C809" s="49" t="s">
        <v>16</v>
      </c>
      <c r="D809" s="50" t="s">
        <v>627</v>
      </c>
      <c r="E809" s="50" t="s">
        <v>373</v>
      </c>
      <c r="F809" s="50" t="s">
        <v>952</v>
      </c>
      <c r="G809" s="51">
        <v>20000000</v>
      </c>
      <c r="H809" s="51"/>
      <c r="I809" s="51"/>
      <c r="J809" s="51">
        <v>800000</v>
      </c>
      <c r="K809" s="51"/>
      <c r="L809" s="52">
        <v>46221</v>
      </c>
      <c r="M809" s="53">
        <v>46162</v>
      </c>
      <c r="N809" s="50" t="s">
        <v>205</v>
      </c>
      <c r="O809" s="50" t="s">
        <v>956</v>
      </c>
      <c r="P809" s="54">
        <f>IF(F809&gt;0,F809,"")</f>
      </c>
      <c r="Q809" s="55" t="s">
        <v>957</v>
      </c>
      <c r="R809" s="55">
        <v>77119650</v>
      </c>
      <c r="S809" s="53">
        <v>47255</v>
      </c>
      <c r="T809" s="50"/>
      <c r="U809" s="50"/>
      <c r="V809" s="56"/>
      <c r="W809" s="56"/>
      <c r="X809" s="56"/>
      <c r="Y809" s="56"/>
      <c r="Z809" s="56"/>
      <c r="AA809" s="56"/>
      <c r="AB809" s="56"/>
    </row>
    <row x14ac:dyDescent="0.25" r="810" customHeight="1" ht="18.75">
      <c r="A810" s="56"/>
      <c r="B810" s="56"/>
      <c r="C810" s="50" t="s">
        <v>16</v>
      </c>
      <c r="D810" s="50" t="s">
        <v>55</v>
      </c>
      <c r="E810" s="50" t="s">
        <v>56</v>
      </c>
      <c r="F810" s="50" t="s">
        <v>2592</v>
      </c>
      <c r="G810" s="51">
        <v>10000000</v>
      </c>
      <c r="H810" s="51"/>
      <c r="I810" s="51"/>
      <c r="J810" s="87">
        <f>IF(G810&gt;0,_xludf.IFS(G810=10000000,1200000,G810=20000000,1800000,G810=30000000,2400000,G810=60000000,4000000),"")</f>
      </c>
      <c r="K810" s="51"/>
      <c r="L810" s="52">
        <v>46223</v>
      </c>
      <c r="M810" s="53">
        <f>IF(L810&gt;0,EDATE(L810,-2),"")</f>
        <v>25569.375</v>
      </c>
      <c r="N810" s="50" t="s">
        <v>239</v>
      </c>
      <c r="O810" s="50" t="s">
        <v>2593</v>
      </c>
      <c r="P810" s="54">
        <f>IF(F810&gt;0,F810,"")</f>
      </c>
      <c r="Q810" s="55">
        <v>8211202124212</v>
      </c>
      <c r="R810" s="55">
        <v>25169201</v>
      </c>
      <c r="S810" s="53">
        <f>IF(ISNUMBER(M810), EDATE(M810,36)-1, "")</f>
        <v>25569.375</v>
      </c>
      <c r="T810" s="50"/>
      <c r="U810" s="50"/>
      <c r="V810" s="56"/>
      <c r="W810" s="56"/>
      <c r="X810" s="56"/>
      <c r="Y810" s="56"/>
      <c r="Z810" s="56"/>
      <c r="AA810" s="56"/>
      <c r="AB810" s="56"/>
    </row>
    <row x14ac:dyDescent="0.25" r="811" customHeight="1" ht="18.75">
      <c r="A811" s="56"/>
      <c r="B811" s="56"/>
      <c r="C811" s="50" t="s">
        <v>16</v>
      </c>
      <c r="D811" s="50" t="s">
        <v>2693</v>
      </c>
      <c r="E811" s="50" t="s">
        <v>111</v>
      </c>
      <c r="F811" s="50" t="s">
        <v>2694</v>
      </c>
      <c r="G811" s="55">
        <v>10000000</v>
      </c>
      <c r="H811" s="55"/>
      <c r="I811" s="55"/>
      <c r="J811" s="51">
        <v>800000</v>
      </c>
      <c r="K811" s="51"/>
      <c r="L811" s="52">
        <v>46111</v>
      </c>
      <c r="M811" s="53">
        <v>46052</v>
      </c>
      <c r="N811" s="50" t="s">
        <v>570</v>
      </c>
      <c r="O811" s="50" t="s">
        <v>2695</v>
      </c>
      <c r="P811" s="50" t="s">
        <v>2694</v>
      </c>
      <c r="Q811" s="55" t="s">
        <v>2696</v>
      </c>
      <c r="R811" s="55" t="s">
        <v>2697</v>
      </c>
      <c r="S811" s="53">
        <v>47147</v>
      </c>
      <c r="T811" s="50" t="s">
        <v>2698</v>
      </c>
      <c r="U811" s="50" t="s">
        <v>166</v>
      </c>
      <c r="V811" s="56"/>
      <c r="W811" s="56"/>
      <c r="X811" s="56"/>
      <c r="Y811" s="56"/>
      <c r="Z811" s="56"/>
      <c r="AA811" s="56"/>
      <c r="AB811" s="56"/>
    </row>
    <row x14ac:dyDescent="0.25" r="812" customHeight="1" ht="18.75">
      <c r="A812" s="48" t="s">
        <v>152</v>
      </c>
      <c r="B812" s="48"/>
      <c r="C812" s="50" t="s">
        <v>16</v>
      </c>
      <c r="D812" s="50"/>
      <c r="E812" s="50"/>
      <c r="F812" s="50" t="s">
        <v>2699</v>
      </c>
      <c r="G812" s="55">
        <v>20000000</v>
      </c>
      <c r="H812" s="55"/>
      <c r="I812" s="55"/>
      <c r="J812" s="51">
        <v>1528000</v>
      </c>
      <c r="K812" s="51"/>
      <c r="L812" s="52">
        <v>45981</v>
      </c>
      <c r="M812" s="53">
        <v>45930</v>
      </c>
      <c r="N812" s="50" t="s">
        <v>306</v>
      </c>
      <c r="O812" s="50" t="s">
        <v>1568</v>
      </c>
      <c r="P812" s="50" t="s">
        <v>2699</v>
      </c>
      <c r="Q812" s="55" t="s">
        <v>2700</v>
      </c>
      <c r="R812" s="55" t="s">
        <v>2701</v>
      </c>
      <c r="S812" s="53">
        <v>47015</v>
      </c>
      <c r="T812" s="50"/>
      <c r="U812" s="50"/>
      <c r="V812" s="56"/>
      <c r="W812" s="56"/>
      <c r="X812" s="56"/>
      <c r="Y812" s="56"/>
      <c r="Z812" s="56"/>
      <c r="AA812" s="56"/>
      <c r="AB812" s="56"/>
    </row>
    <row x14ac:dyDescent="0.25" r="813" customHeight="1" ht="18.75">
      <c r="A813" s="56"/>
      <c r="B813" s="56"/>
      <c r="C813" s="50" t="s">
        <v>16</v>
      </c>
      <c r="D813" s="50" t="s">
        <v>153</v>
      </c>
      <c r="E813" s="50" t="s">
        <v>862</v>
      </c>
      <c r="F813" s="50" t="s">
        <v>2898</v>
      </c>
      <c r="G813" s="51">
        <v>10000000</v>
      </c>
      <c r="H813" s="51"/>
      <c r="I813" s="51"/>
      <c r="J813" s="87">
        <f>IF(G813&gt;0,_xludf.IFS(G813=10000000,1200000,G813=20000000,1800000,G813=30000000,2400000,G813=60000000,4000000),"")</f>
      </c>
      <c r="K813" s="51"/>
      <c r="L813" s="52">
        <v>46223</v>
      </c>
      <c r="M813" s="53">
        <f>IF(L813&gt;0,EDATE(L813,-2),"")</f>
        <v>25569.375</v>
      </c>
      <c r="N813" s="50" t="s">
        <v>155</v>
      </c>
      <c r="O813" s="50" t="s">
        <v>2899</v>
      </c>
      <c r="P813" s="54">
        <f>IF(F813&gt;0,F813,"")</f>
      </c>
      <c r="Q813" s="55">
        <v>6904112340612</v>
      </c>
      <c r="R813" s="55">
        <v>23972319</v>
      </c>
      <c r="S813" s="53">
        <f>IF(ISNUMBER(M813), EDATE(M813,36)-1, "")</f>
        <v>25569.375</v>
      </c>
      <c r="T813" s="50"/>
      <c r="U813" s="50"/>
      <c r="V813" s="50"/>
      <c r="W813" s="56"/>
      <c r="X813" s="56"/>
      <c r="Y813" s="56"/>
      <c r="Z813" s="56"/>
      <c r="AA813" s="56"/>
      <c r="AB813" s="56"/>
    </row>
    <row x14ac:dyDescent="0.25" r="814" customHeight="1" ht="18.75">
      <c r="A814" s="56"/>
      <c r="B814" s="56"/>
      <c r="C814" s="50" t="s">
        <v>16</v>
      </c>
      <c r="D814" s="50" t="s">
        <v>454</v>
      </c>
      <c r="E814" s="50"/>
      <c r="F814" s="50" t="s">
        <v>2707</v>
      </c>
      <c r="G814" s="55">
        <v>10000000</v>
      </c>
      <c r="H814" s="55"/>
      <c r="I814" s="55"/>
      <c r="J814" s="51">
        <v>800000</v>
      </c>
      <c r="K814" s="51"/>
      <c r="L814" s="52">
        <v>46154</v>
      </c>
      <c r="M814" s="53">
        <v>46093</v>
      </c>
      <c r="N814" s="50" t="s">
        <v>282</v>
      </c>
      <c r="O814" s="50" t="s">
        <v>2708</v>
      </c>
      <c r="P814" s="50" t="s">
        <v>2707</v>
      </c>
      <c r="Q814" s="55" t="s">
        <v>2709</v>
      </c>
      <c r="R814" s="55" t="s">
        <v>2710</v>
      </c>
      <c r="S814" s="53">
        <v>47188</v>
      </c>
      <c r="T814" s="50"/>
      <c r="U814" s="50"/>
      <c r="V814" s="56"/>
      <c r="W814" s="56"/>
      <c r="X814" s="56"/>
      <c r="Y814" s="56"/>
      <c r="Z814" s="56"/>
      <c r="AA814" s="56"/>
      <c r="AB814" s="56"/>
    </row>
    <row x14ac:dyDescent="0.25" r="815" customHeight="1" ht="18.75">
      <c r="A815" s="56"/>
      <c r="B815" s="56"/>
      <c r="C815" s="49" t="s">
        <v>16</v>
      </c>
      <c r="D815" s="50" t="s">
        <v>627</v>
      </c>
      <c r="E815" s="50" t="s">
        <v>373</v>
      </c>
      <c r="F815" s="50" t="s">
        <v>742</v>
      </c>
      <c r="G815" s="51">
        <v>30000000</v>
      </c>
      <c r="H815" s="51"/>
      <c r="I815" s="51"/>
      <c r="J815" s="51">
        <v>1200000</v>
      </c>
      <c r="K815" s="51"/>
      <c r="L815" s="52">
        <v>46224</v>
      </c>
      <c r="M815" s="53">
        <f>IF(L815&gt;0,EDATE(L815,-2),"")</f>
        <v>25569.375</v>
      </c>
      <c r="N815" s="50" t="s">
        <v>217</v>
      </c>
      <c r="O815" s="50" t="s">
        <v>743</v>
      </c>
      <c r="P815" s="54">
        <f>IF(F815&gt;0,F815,"")</f>
      </c>
      <c r="Q815" s="55">
        <v>6607192566513</v>
      </c>
      <c r="R815" s="55">
        <v>23399650</v>
      </c>
      <c r="S815" s="53">
        <f>IF(ISNUMBER(M815), EDATE(M815,36)-1, "")</f>
        <v>25569.375</v>
      </c>
      <c r="T815" s="50"/>
      <c r="U815" s="50"/>
      <c r="V815" s="56"/>
      <c r="W815" s="56"/>
      <c r="X815" s="56"/>
      <c r="Y815" s="56"/>
      <c r="Z815" s="56"/>
      <c r="AA815" s="56"/>
      <c r="AB815" s="56"/>
    </row>
    <row x14ac:dyDescent="0.25" r="816" customHeight="1" ht="18.75">
      <c r="A816" s="56"/>
      <c r="B816" s="56"/>
      <c r="C816" s="50" t="s">
        <v>16</v>
      </c>
      <c r="D816" s="50" t="s">
        <v>55</v>
      </c>
      <c r="E816" s="50" t="s">
        <v>726</v>
      </c>
      <c r="F816" s="50" t="s">
        <v>2716</v>
      </c>
      <c r="G816" s="55">
        <v>20000000</v>
      </c>
      <c r="H816" s="55"/>
      <c r="I816" s="55"/>
      <c r="J816" s="51">
        <v>1528000</v>
      </c>
      <c r="K816" s="51"/>
      <c r="L816" s="52">
        <v>46173</v>
      </c>
      <c r="M816" s="53">
        <v>46112</v>
      </c>
      <c r="N816" s="50" t="s">
        <v>217</v>
      </c>
      <c r="O816" s="50" t="s">
        <v>802</v>
      </c>
      <c r="P816" s="50" t="s">
        <v>2716</v>
      </c>
      <c r="Q816" s="55" t="s">
        <v>2717</v>
      </c>
      <c r="R816" s="55" t="s">
        <v>804</v>
      </c>
      <c r="S816" s="53">
        <v>47207</v>
      </c>
      <c r="T816" s="50" t="s">
        <v>2718</v>
      </c>
      <c r="U816" s="50" t="s">
        <v>166</v>
      </c>
      <c r="V816" s="56"/>
      <c r="W816" s="56"/>
      <c r="X816" s="56"/>
      <c r="Y816" s="56"/>
      <c r="Z816" s="56"/>
      <c r="AA816" s="56"/>
      <c r="AB816" s="56"/>
    </row>
    <row x14ac:dyDescent="0.25" r="817" customHeight="1" ht="18.75">
      <c r="A817" s="48" t="s">
        <v>152</v>
      </c>
      <c r="B817" s="48"/>
      <c r="C817" s="49" t="s">
        <v>16</v>
      </c>
      <c r="D817" s="50" t="s">
        <v>816</v>
      </c>
      <c r="E817" s="50" t="s">
        <v>2203</v>
      </c>
      <c r="F817" s="50" t="s">
        <v>2720</v>
      </c>
      <c r="G817" s="51">
        <v>60000000</v>
      </c>
      <c r="H817" s="51"/>
      <c r="I817" s="51"/>
      <c r="J817" s="87">
        <f>IF(G817&gt;0,_xludf.IFS(G817=10000000,800000,G817=20000000,1528000,G817=30000000,2028000,G817=60000000,4056000),"")</f>
      </c>
      <c r="K817" s="51"/>
      <c r="L817" s="52">
        <v>46161</v>
      </c>
      <c r="M817" s="53">
        <f>IF(L817&gt;0,EDATE(L817,-2),"")</f>
        <v>25569.375</v>
      </c>
      <c r="N817" s="50" t="s">
        <v>212</v>
      </c>
      <c r="O817" s="50" t="s">
        <v>2721</v>
      </c>
      <c r="P817" s="54">
        <f>IF(F817&gt;0,F817,"")</f>
      </c>
      <c r="Q817" s="55" t="s">
        <v>2722</v>
      </c>
      <c r="R817" s="55">
        <v>50637844</v>
      </c>
      <c r="S817" s="53">
        <f>IF(ISNUMBER(M817), EDATE(M817,36)-1, "")</f>
        <v>25569.375</v>
      </c>
      <c r="T817" s="50"/>
      <c r="U817" s="50"/>
      <c r="V817" s="48" t="s">
        <v>3342</v>
      </c>
      <c r="W817" s="56"/>
      <c r="X817" s="56"/>
      <c r="Y817" s="56"/>
      <c r="Z817" s="56"/>
      <c r="AA817" s="56"/>
      <c r="AB817" s="56"/>
    </row>
    <row x14ac:dyDescent="0.25" r="818" customHeight="1" ht="18.75">
      <c r="A818" s="56"/>
      <c r="B818" s="56"/>
      <c r="C818" s="50" t="s">
        <v>16</v>
      </c>
      <c r="D818" s="50" t="s">
        <v>143</v>
      </c>
      <c r="E818" s="50" t="s">
        <v>14</v>
      </c>
      <c r="F818" s="50" t="s">
        <v>1214</v>
      </c>
      <c r="G818" s="51">
        <v>10000000</v>
      </c>
      <c r="H818" s="51"/>
      <c r="I818" s="51"/>
      <c r="J818" s="87">
        <f>IF(G818&gt;0,_xludf.IFS(G818=10000000,1200000,G818=20000000,1800000,G818=30000000,2400000,G818=60000000,4000000),"")</f>
      </c>
      <c r="K818" s="51"/>
      <c r="L818" s="52">
        <v>46224</v>
      </c>
      <c r="M818" s="53">
        <f>IF(L818&gt;0,EDATE(L818,-2),"")</f>
        <v>25569.375</v>
      </c>
      <c r="N818" s="50" t="s">
        <v>155</v>
      </c>
      <c r="O818" s="50" t="s">
        <v>1215</v>
      </c>
      <c r="P818" s="54">
        <f>IF(F818&gt;0,F818,"")</f>
      </c>
      <c r="Q818" s="55">
        <v>7108241815212</v>
      </c>
      <c r="R818" s="55">
        <v>39949774</v>
      </c>
      <c r="S818" s="53">
        <f>IF(ISNUMBER(M818), EDATE(M818,36)-1, "")</f>
        <v>25569.375</v>
      </c>
      <c r="T818" s="50"/>
      <c r="U818" s="50"/>
      <c r="V818" s="56" t="s">
        <v>3343</v>
      </c>
      <c r="W818" s="56"/>
      <c r="X818" s="56"/>
      <c r="Y818" s="56"/>
      <c r="Z818" s="56"/>
      <c r="AA818" s="56"/>
      <c r="AB818" s="56"/>
    </row>
    <row x14ac:dyDescent="0.25" r="819" customHeight="1" ht="18.75">
      <c r="A819" s="56"/>
      <c r="B819" s="56"/>
      <c r="C819" s="50" t="s">
        <v>16</v>
      </c>
      <c r="D819" s="50"/>
      <c r="E819" s="50"/>
      <c r="F819" s="50" t="s">
        <v>2729</v>
      </c>
      <c r="G819" s="51">
        <v>10000000</v>
      </c>
      <c r="H819" s="51"/>
      <c r="I819" s="51"/>
      <c r="J819" s="51">
        <v>800000</v>
      </c>
      <c r="K819" s="51"/>
      <c r="L819" s="52">
        <v>46081</v>
      </c>
      <c r="M819" s="53">
        <v>46022</v>
      </c>
      <c r="N819" s="50" t="s">
        <v>1487</v>
      </c>
      <c r="O819" s="50" t="s">
        <v>2730</v>
      </c>
      <c r="P819" s="54">
        <f>IF(F819&gt;0,F819,"")</f>
      </c>
      <c r="Q819" s="55">
        <v>7502272247824</v>
      </c>
      <c r="R819" s="55">
        <v>33495943</v>
      </c>
      <c r="S819" s="53">
        <f>IF(ISNUMBER(M819), EDATE(M819,36)-1, "")</f>
        <v>25569.375</v>
      </c>
      <c r="T819" s="50"/>
      <c r="U819" s="50"/>
      <c r="V819" s="56"/>
      <c r="W819" s="56"/>
      <c r="X819" s="56"/>
      <c r="Y819" s="56"/>
      <c r="Z819" s="56"/>
      <c r="AA819" s="56"/>
      <c r="AB819" s="56"/>
    </row>
    <row x14ac:dyDescent="0.25" r="820" customHeight="1" ht="18.75">
      <c r="A820" s="56"/>
      <c r="B820" s="56"/>
      <c r="C820" s="50" t="s">
        <v>16</v>
      </c>
      <c r="D820" s="50"/>
      <c r="E820" s="50"/>
      <c r="F820" s="50" t="s">
        <v>2731</v>
      </c>
      <c r="G820" s="55">
        <v>10000000</v>
      </c>
      <c r="H820" s="55"/>
      <c r="I820" s="55"/>
      <c r="J820" s="51">
        <v>800000</v>
      </c>
      <c r="K820" s="51"/>
      <c r="L820" s="52">
        <v>46094</v>
      </c>
      <c r="M820" s="53">
        <v>46035</v>
      </c>
      <c r="N820" s="50" t="s">
        <v>940</v>
      </c>
      <c r="O820" s="50" t="s">
        <v>2732</v>
      </c>
      <c r="P820" s="50" t="s">
        <v>2731</v>
      </c>
      <c r="Q820" s="55" t="s">
        <v>2733</v>
      </c>
      <c r="R820" s="55" t="s">
        <v>2734</v>
      </c>
      <c r="S820" s="53">
        <v>47130</v>
      </c>
      <c r="T820" s="50"/>
      <c r="U820" s="50" t="s">
        <v>166</v>
      </c>
      <c r="V820" s="56"/>
      <c r="W820" s="56"/>
      <c r="X820" s="56"/>
      <c r="Y820" s="56"/>
      <c r="Z820" s="56"/>
      <c r="AA820" s="56"/>
      <c r="AB820" s="56"/>
    </row>
    <row x14ac:dyDescent="0.25" r="821" customHeight="1" ht="18.75">
      <c r="A821" s="56"/>
      <c r="B821" s="56"/>
      <c r="C821" s="50" t="s">
        <v>16</v>
      </c>
      <c r="D821" s="50"/>
      <c r="E821" s="50"/>
      <c r="F821" s="50" t="s">
        <v>2735</v>
      </c>
      <c r="G821" s="55">
        <v>30000000</v>
      </c>
      <c r="H821" s="55"/>
      <c r="I821" s="55"/>
      <c r="J821" s="51">
        <v>2400000</v>
      </c>
      <c r="K821" s="51"/>
      <c r="L821" s="52">
        <v>45869</v>
      </c>
      <c r="M821" s="53">
        <v>45808</v>
      </c>
      <c r="N821" s="50" t="s">
        <v>212</v>
      </c>
      <c r="O821" s="50" t="s">
        <v>2736</v>
      </c>
      <c r="P821" s="50" t="s">
        <v>2735</v>
      </c>
      <c r="Q821" s="55" t="s">
        <v>2737</v>
      </c>
      <c r="R821" s="55" t="s">
        <v>2738</v>
      </c>
      <c r="S821" s="53">
        <v>46903</v>
      </c>
      <c r="T821" s="50"/>
      <c r="U821" s="50"/>
      <c r="V821" s="56"/>
      <c r="W821" s="56"/>
      <c r="X821" s="56"/>
      <c r="Y821" s="56"/>
      <c r="Z821" s="56"/>
      <c r="AA821" s="56"/>
      <c r="AB821" s="56"/>
    </row>
    <row x14ac:dyDescent="0.25" r="822" customHeight="1" ht="18.75">
      <c r="A822" s="56"/>
      <c r="B822" s="56"/>
      <c r="C822" s="50" t="s">
        <v>16</v>
      </c>
      <c r="D822" s="50"/>
      <c r="E822" s="50"/>
      <c r="F822" s="50" t="s">
        <v>2735</v>
      </c>
      <c r="G822" s="55">
        <v>30000000</v>
      </c>
      <c r="H822" s="55"/>
      <c r="I822" s="55"/>
      <c r="J822" s="51">
        <v>2400000</v>
      </c>
      <c r="K822" s="51"/>
      <c r="L822" s="52">
        <v>45879</v>
      </c>
      <c r="M822" s="53">
        <v>45818</v>
      </c>
      <c r="N822" s="50" t="s">
        <v>212</v>
      </c>
      <c r="O822" s="50" t="s">
        <v>2736</v>
      </c>
      <c r="P822" s="50" t="s">
        <v>2735</v>
      </c>
      <c r="Q822" s="55" t="s">
        <v>2737</v>
      </c>
      <c r="R822" s="55" t="s">
        <v>2738</v>
      </c>
      <c r="S822" s="53">
        <v>46913</v>
      </c>
      <c r="T822" s="50"/>
      <c r="U822" s="50"/>
      <c r="V822" s="56"/>
      <c r="W822" s="56"/>
      <c r="X822" s="56"/>
      <c r="Y822" s="56"/>
      <c r="Z822" s="56"/>
      <c r="AA822" s="56"/>
      <c r="AB822" s="56"/>
    </row>
    <row x14ac:dyDescent="0.25" r="823" customHeight="1" ht="18.75">
      <c r="A823" s="56"/>
      <c r="B823" s="56"/>
      <c r="C823" s="50" t="s">
        <v>16</v>
      </c>
      <c r="D823" s="50"/>
      <c r="E823" s="50"/>
      <c r="F823" s="50" t="s">
        <v>2739</v>
      </c>
      <c r="G823" s="55">
        <v>10000000</v>
      </c>
      <c r="H823" s="55"/>
      <c r="I823" s="55"/>
      <c r="J823" s="51">
        <v>800000</v>
      </c>
      <c r="K823" s="51"/>
      <c r="L823" s="52">
        <v>45887</v>
      </c>
      <c r="M823" s="53">
        <v>45835</v>
      </c>
      <c r="N823" s="50" t="s">
        <v>212</v>
      </c>
      <c r="O823" s="50" t="s">
        <v>2740</v>
      </c>
      <c r="P823" s="50" t="s">
        <v>2739</v>
      </c>
      <c r="Q823" s="55" t="s">
        <v>2741</v>
      </c>
      <c r="R823" s="55" t="s">
        <v>1542</v>
      </c>
      <c r="S823" s="53">
        <v>46921</v>
      </c>
      <c r="T823" s="50"/>
      <c r="U823" s="50"/>
      <c r="V823" s="56"/>
      <c r="W823" s="56"/>
      <c r="X823" s="56"/>
      <c r="Y823" s="56"/>
      <c r="Z823" s="56"/>
      <c r="AA823" s="56"/>
      <c r="AB823" s="56"/>
    </row>
    <row x14ac:dyDescent="0.25" r="824" customHeight="1" ht="18.75">
      <c r="A824" s="56"/>
      <c r="B824" s="56"/>
      <c r="C824" s="50" t="s">
        <v>16</v>
      </c>
      <c r="D824" s="50"/>
      <c r="E824" s="50"/>
      <c r="F824" s="50" t="s">
        <v>2739</v>
      </c>
      <c r="G824" s="55">
        <v>60000000</v>
      </c>
      <c r="H824" s="55"/>
      <c r="I824" s="55"/>
      <c r="J824" s="51">
        <v>3000000</v>
      </c>
      <c r="K824" s="51"/>
      <c r="L824" s="52" t="s">
        <v>2743</v>
      </c>
      <c r="M824" s="53">
        <v>45848</v>
      </c>
      <c r="N824" s="50" t="s">
        <v>306</v>
      </c>
      <c r="O824" s="50" t="s">
        <v>2744</v>
      </c>
      <c r="P824" s="50" t="s">
        <v>2739</v>
      </c>
      <c r="Q824" s="55" t="s">
        <v>2741</v>
      </c>
      <c r="R824" s="55" t="s">
        <v>1542</v>
      </c>
      <c r="S824" s="53">
        <v>46943</v>
      </c>
      <c r="T824" s="50"/>
      <c r="U824" s="50"/>
      <c r="V824" s="56"/>
      <c r="W824" s="56"/>
      <c r="X824" s="56"/>
      <c r="Y824" s="56"/>
      <c r="Z824" s="56"/>
      <c r="AA824" s="56"/>
      <c r="AB824" s="56"/>
    </row>
    <row x14ac:dyDescent="0.25" r="825" customHeight="1" ht="18.75">
      <c r="A825" s="56"/>
      <c r="B825" s="56"/>
      <c r="C825" s="50" t="s">
        <v>16</v>
      </c>
      <c r="D825" s="50"/>
      <c r="E825" s="50"/>
      <c r="F825" s="50" t="s">
        <v>2745</v>
      </c>
      <c r="G825" s="55">
        <v>10000000</v>
      </c>
      <c r="H825" s="55"/>
      <c r="I825" s="55"/>
      <c r="J825" s="51">
        <v>800000</v>
      </c>
      <c r="K825" s="51"/>
      <c r="L825" s="52">
        <v>45993</v>
      </c>
      <c r="M825" s="53">
        <v>45932</v>
      </c>
      <c r="N825" s="50" t="s">
        <v>306</v>
      </c>
      <c r="O825" s="50" t="s">
        <v>2746</v>
      </c>
      <c r="P825" s="50" t="s">
        <v>2745</v>
      </c>
      <c r="Q825" s="55" t="s">
        <v>2747</v>
      </c>
      <c r="R825" s="55" t="s">
        <v>2748</v>
      </c>
      <c r="S825" s="53">
        <v>47027</v>
      </c>
      <c r="T825" s="50"/>
      <c r="U825" s="50"/>
      <c r="V825" s="56"/>
      <c r="W825" s="56"/>
      <c r="X825" s="56"/>
      <c r="Y825" s="56"/>
      <c r="Z825" s="56"/>
      <c r="AA825" s="56"/>
      <c r="AB825" s="56"/>
    </row>
    <row x14ac:dyDescent="0.25" r="826" customHeight="1" ht="18.75">
      <c r="A826" s="71"/>
      <c r="B826" s="71"/>
      <c r="C826" s="72" t="s">
        <v>16</v>
      </c>
      <c r="D826" s="72"/>
      <c r="E826" s="72" t="s">
        <v>97</v>
      </c>
      <c r="F826" s="72" t="s">
        <v>2749</v>
      </c>
      <c r="G826" s="73">
        <v>10000000</v>
      </c>
      <c r="H826" s="73"/>
      <c r="I826" s="73"/>
      <c r="J826" s="88"/>
      <c r="K826" s="88"/>
      <c r="L826" s="75">
        <v>46137</v>
      </c>
      <c r="M826" s="76">
        <v>46078</v>
      </c>
      <c r="N826" s="72" t="s">
        <v>212</v>
      </c>
      <c r="O826" s="72" t="s">
        <v>2750</v>
      </c>
      <c r="P826" s="72" t="s">
        <v>2749</v>
      </c>
      <c r="Q826" s="73" t="s">
        <v>2751</v>
      </c>
      <c r="R826" s="73" t="s">
        <v>2752</v>
      </c>
      <c r="S826" s="76">
        <v>47173</v>
      </c>
      <c r="T826" s="72" t="s">
        <v>2753</v>
      </c>
      <c r="U826" s="72" t="s">
        <v>166</v>
      </c>
      <c r="V826" s="71"/>
      <c r="W826" s="56"/>
      <c r="X826" s="56"/>
      <c r="Y826" s="56"/>
      <c r="Z826" s="56"/>
      <c r="AA826" s="56"/>
      <c r="AB826" s="56"/>
    </row>
    <row x14ac:dyDescent="0.25" r="827" customHeight="1" ht="18.75">
      <c r="A827" s="56"/>
      <c r="B827" s="56"/>
      <c r="C827" s="50" t="s">
        <v>16</v>
      </c>
      <c r="D827" s="50"/>
      <c r="E827" s="50" t="s">
        <v>574</v>
      </c>
      <c r="F827" s="50" t="s">
        <v>2754</v>
      </c>
      <c r="G827" s="55">
        <v>10000000</v>
      </c>
      <c r="H827" s="55"/>
      <c r="I827" s="55"/>
      <c r="J827" s="51">
        <v>500000</v>
      </c>
      <c r="K827" s="51"/>
      <c r="L827" s="52">
        <v>46123</v>
      </c>
      <c r="M827" s="53">
        <v>46064</v>
      </c>
      <c r="N827" s="50" t="s">
        <v>155</v>
      </c>
      <c r="O827" s="50" t="s">
        <v>789</v>
      </c>
      <c r="P827" s="50" t="s">
        <v>2754</v>
      </c>
      <c r="Q827" s="55" t="s">
        <v>2755</v>
      </c>
      <c r="R827" s="55" t="s">
        <v>2756</v>
      </c>
      <c r="S827" s="53">
        <v>47159</v>
      </c>
      <c r="T827" s="50" t="s">
        <v>2757</v>
      </c>
      <c r="U827" s="50" t="s">
        <v>166</v>
      </c>
      <c r="V827" s="56"/>
      <c r="W827" s="56"/>
      <c r="X827" s="56"/>
      <c r="Y827" s="56"/>
      <c r="Z827" s="56"/>
      <c r="AA827" s="56"/>
      <c r="AB827" s="56"/>
    </row>
    <row x14ac:dyDescent="0.25" r="828" customHeight="1" ht="18.75">
      <c r="A828" s="56"/>
      <c r="B828" s="56"/>
      <c r="C828" s="50" t="s">
        <v>16</v>
      </c>
      <c r="D828" s="50"/>
      <c r="E828" s="50" t="s">
        <v>574</v>
      </c>
      <c r="F828" s="50" t="s">
        <v>2758</v>
      </c>
      <c r="G828" s="55">
        <v>10000000</v>
      </c>
      <c r="H828" s="55"/>
      <c r="I828" s="55"/>
      <c r="J828" s="51">
        <v>500000</v>
      </c>
      <c r="K828" s="51"/>
      <c r="L828" s="52">
        <v>46123</v>
      </c>
      <c r="M828" s="53">
        <v>46064</v>
      </c>
      <c r="N828" s="50" t="s">
        <v>155</v>
      </c>
      <c r="O828" s="50" t="s">
        <v>789</v>
      </c>
      <c r="P828" s="50" t="s">
        <v>2758</v>
      </c>
      <c r="Q828" s="55" t="s">
        <v>2759</v>
      </c>
      <c r="R828" s="55" t="s">
        <v>2760</v>
      </c>
      <c r="S828" s="53">
        <v>47159</v>
      </c>
      <c r="T828" s="50" t="s">
        <v>2761</v>
      </c>
      <c r="U828" s="50" t="s">
        <v>166</v>
      </c>
      <c r="V828" s="56"/>
      <c r="W828" s="56"/>
      <c r="X828" s="56"/>
      <c r="Y828" s="56"/>
      <c r="Z828" s="56"/>
      <c r="AA828" s="56"/>
      <c r="AB828" s="56"/>
    </row>
    <row x14ac:dyDescent="0.25" r="829" customHeight="1" ht="18.75">
      <c r="A829" s="56"/>
      <c r="B829" s="56"/>
      <c r="C829" s="50" t="s">
        <v>16</v>
      </c>
      <c r="D829" s="50"/>
      <c r="E829" s="50" t="s">
        <v>1121</v>
      </c>
      <c r="F829" s="50" t="s">
        <v>2762</v>
      </c>
      <c r="G829" s="55">
        <v>10000000</v>
      </c>
      <c r="H829" s="55"/>
      <c r="I829" s="55"/>
      <c r="J829" s="51">
        <v>800000</v>
      </c>
      <c r="K829" s="51"/>
      <c r="L829" s="52">
        <v>46139</v>
      </c>
      <c r="M829" s="53">
        <v>46080</v>
      </c>
      <c r="N829" s="50" t="s">
        <v>182</v>
      </c>
      <c r="O829" s="50" t="s">
        <v>2763</v>
      </c>
      <c r="P829" s="50" t="s">
        <v>2762</v>
      </c>
      <c r="Q829" s="55" t="s">
        <v>2764</v>
      </c>
      <c r="R829" s="55" t="s">
        <v>2765</v>
      </c>
      <c r="S829" s="53">
        <v>47175</v>
      </c>
      <c r="T829" s="50" t="s">
        <v>2766</v>
      </c>
      <c r="U829" s="50" t="s">
        <v>166</v>
      </c>
      <c r="V829" s="56"/>
      <c r="W829" s="56"/>
      <c r="X829" s="56"/>
      <c r="Y829" s="56"/>
      <c r="Z829" s="56"/>
      <c r="AA829" s="56"/>
      <c r="AB829" s="56"/>
    </row>
    <row x14ac:dyDescent="0.25" r="830" customHeight="1" ht="18.75">
      <c r="A830" s="56"/>
      <c r="B830" s="56"/>
      <c r="C830" s="50" t="s">
        <v>16</v>
      </c>
      <c r="D830" s="50" t="s">
        <v>153</v>
      </c>
      <c r="E830" s="50" t="s">
        <v>318</v>
      </c>
      <c r="F830" s="50" t="s">
        <v>1968</v>
      </c>
      <c r="G830" s="51">
        <v>30000000</v>
      </c>
      <c r="H830" s="51"/>
      <c r="I830" s="51"/>
      <c r="J830" s="87">
        <f>IF(G830&gt;0,_xludf.IFS(G830=10000000,1200000,G830=20000000,1800000,G830=30000000,2400000,G830=60000000,4000000),"")</f>
      </c>
      <c r="K830" s="51"/>
      <c r="L830" s="52">
        <v>46224</v>
      </c>
      <c r="M830" s="53">
        <f>IF(L830&gt;0,EDATE(L830,-2),"")</f>
        <v>25569.375</v>
      </c>
      <c r="N830" s="50" t="s">
        <v>234</v>
      </c>
      <c r="O830" s="50" t="s">
        <v>1969</v>
      </c>
      <c r="P830" s="54">
        <f>IF(F830&gt;0,F830,"")</f>
      </c>
      <c r="Q830" s="55" t="s">
        <v>1970</v>
      </c>
      <c r="R830" s="55">
        <v>57503377</v>
      </c>
      <c r="S830" s="53">
        <f>IF(ISNUMBER(M830), EDATE(M830,36)-1, "")</f>
        <v>25569.375</v>
      </c>
      <c r="T830" s="50"/>
      <c r="U830" s="50"/>
      <c r="V830" s="50"/>
      <c r="W830" s="56"/>
      <c r="X830" s="56"/>
      <c r="Y830" s="56"/>
      <c r="Z830" s="56"/>
      <c r="AA830" s="56"/>
      <c r="AB830" s="56"/>
    </row>
    <row x14ac:dyDescent="0.25" r="831" customHeight="1" ht="18.75">
      <c r="A831" s="56"/>
      <c r="B831" s="56"/>
      <c r="C831" s="50" t="s">
        <v>16</v>
      </c>
      <c r="D831" s="50"/>
      <c r="E831" s="50" t="s">
        <v>1547</v>
      </c>
      <c r="F831" s="50" t="s">
        <v>2770</v>
      </c>
      <c r="G831" s="55">
        <v>10000000</v>
      </c>
      <c r="H831" s="55"/>
      <c r="I831" s="55"/>
      <c r="J831" s="51">
        <v>800000</v>
      </c>
      <c r="K831" s="51"/>
      <c r="L831" s="52">
        <v>46126</v>
      </c>
      <c r="M831" s="53">
        <v>46067</v>
      </c>
      <c r="N831" s="50" t="s">
        <v>234</v>
      </c>
      <c r="O831" s="50" t="s">
        <v>2771</v>
      </c>
      <c r="P831" s="50" t="s">
        <v>2770</v>
      </c>
      <c r="Q831" s="55" t="s">
        <v>2772</v>
      </c>
      <c r="R831" s="55" t="s">
        <v>2773</v>
      </c>
      <c r="S831" s="53">
        <v>47162</v>
      </c>
      <c r="T831" s="50" t="s">
        <v>2774</v>
      </c>
      <c r="U831" s="50" t="s">
        <v>151</v>
      </c>
      <c r="V831" s="56"/>
      <c r="W831" s="56"/>
      <c r="X831" s="56"/>
      <c r="Y831" s="56"/>
      <c r="Z831" s="56"/>
      <c r="AA831" s="56"/>
      <c r="AB831" s="56"/>
    </row>
    <row x14ac:dyDescent="0.25" r="832" customHeight="1" ht="18.75">
      <c r="A832" s="56"/>
      <c r="B832" s="56"/>
      <c r="C832" s="50" t="s">
        <v>16</v>
      </c>
      <c r="D832" s="50" t="s">
        <v>55</v>
      </c>
      <c r="E832" s="50" t="s">
        <v>726</v>
      </c>
      <c r="F832" s="50" t="s">
        <v>2784</v>
      </c>
      <c r="G832" s="51">
        <v>30000000</v>
      </c>
      <c r="H832" s="51"/>
      <c r="I832" s="51"/>
      <c r="J832" s="87">
        <f>IF(G832&gt;0,_xludf.IFS(G832=10000000,1200000,G832=20000000,1800000,G832=30000000,2400000,G832=60000000,4000000),"")</f>
      </c>
      <c r="K832" s="51"/>
      <c r="L832" s="52">
        <v>46228</v>
      </c>
      <c r="M832" s="53">
        <v>46163</v>
      </c>
      <c r="N832" s="50" t="s">
        <v>580</v>
      </c>
      <c r="O832" s="50" t="s">
        <v>2785</v>
      </c>
      <c r="P832" s="54">
        <f>IF(F832&gt;0,F832,"")</f>
      </c>
      <c r="Q832" s="55">
        <v>9804211185030</v>
      </c>
      <c r="R832" s="55">
        <v>90540583</v>
      </c>
      <c r="S832" s="53">
        <f>IF(ISNUMBER(M832), EDATE(M832,36)-1, "")</f>
        <v>25569.375</v>
      </c>
      <c r="T832" s="50"/>
      <c r="U832" s="50"/>
      <c r="V832" s="56"/>
      <c r="W832" s="56"/>
      <c r="X832" s="56"/>
      <c r="Y832" s="56"/>
      <c r="Z832" s="56"/>
      <c r="AA832" s="56"/>
      <c r="AB832" s="56"/>
    </row>
    <row x14ac:dyDescent="0.25" r="833" customHeight="1" ht="18.75">
      <c r="A833" s="56"/>
      <c r="B833" s="56"/>
      <c r="C833" s="50" t="s">
        <v>16</v>
      </c>
      <c r="D833" s="50"/>
      <c r="E833" s="50"/>
      <c r="F833" s="50" t="s">
        <v>2778</v>
      </c>
      <c r="G833" s="55">
        <v>30000000</v>
      </c>
      <c r="H833" s="55"/>
      <c r="I833" s="55"/>
      <c r="J833" s="51">
        <v>2028000</v>
      </c>
      <c r="K833" s="51"/>
      <c r="L833" s="52">
        <v>46107</v>
      </c>
      <c r="M833" s="53">
        <v>46048</v>
      </c>
      <c r="N833" s="50" t="s">
        <v>155</v>
      </c>
      <c r="O833" s="50" t="s">
        <v>2779</v>
      </c>
      <c r="P833" s="50" t="s">
        <v>2778</v>
      </c>
      <c r="Q833" s="55" t="s">
        <v>2780</v>
      </c>
      <c r="R833" s="55" t="s">
        <v>2781</v>
      </c>
      <c r="S833" s="53">
        <v>47143</v>
      </c>
      <c r="T833" s="50" t="s">
        <v>2782</v>
      </c>
      <c r="U833" s="50" t="s">
        <v>2783</v>
      </c>
      <c r="V833" s="56"/>
      <c r="W833" s="56"/>
      <c r="X833" s="56"/>
      <c r="Y833" s="56"/>
      <c r="Z833" s="56"/>
      <c r="AA833" s="56"/>
      <c r="AB833" s="56"/>
    </row>
    <row x14ac:dyDescent="0.25" r="834" customHeight="1" ht="18.75">
      <c r="A834" s="56"/>
      <c r="B834" s="56"/>
      <c r="C834" s="50" t="s">
        <v>16</v>
      </c>
      <c r="D834" s="50" t="s">
        <v>454</v>
      </c>
      <c r="E834" s="50" t="s">
        <v>647</v>
      </c>
      <c r="F834" s="50" t="s">
        <v>3344</v>
      </c>
      <c r="G834" s="51">
        <v>10000000</v>
      </c>
      <c r="H834" s="51"/>
      <c r="I834" s="51"/>
      <c r="J834" s="87">
        <f>IF(G834&gt;0,_xludf.IFS(G834=10000000,1200000,G834=20000000,1800000,G834=30000000,2400000,G834=60000000,4000000),"")</f>
      </c>
      <c r="K834" s="51"/>
      <c r="L834" s="52">
        <v>46225</v>
      </c>
      <c r="M834" s="53">
        <f>IF(L834&gt;0,EDATE(L834,-2),"")</f>
        <v>25569.375</v>
      </c>
      <c r="N834" s="50" t="s">
        <v>168</v>
      </c>
      <c r="O834" s="50" t="s">
        <v>3345</v>
      </c>
      <c r="P834" s="54">
        <f>IF(F834&gt;0,F834,"")</f>
      </c>
      <c r="Q834" s="55">
        <v>6207241380111</v>
      </c>
      <c r="R834" s="55">
        <v>22078178</v>
      </c>
      <c r="S834" s="53">
        <f>IF(ISNUMBER(M834), EDATE(M834,36)-1, "")</f>
        <v>25569.375</v>
      </c>
      <c r="T834" s="50"/>
      <c r="U834" s="50"/>
      <c r="V834" s="56"/>
      <c r="W834" s="56"/>
      <c r="X834" s="56"/>
      <c r="Y834" s="56"/>
      <c r="Z834" s="56"/>
      <c r="AA834" s="56"/>
      <c r="AB834" s="56"/>
    </row>
    <row x14ac:dyDescent="0.25" r="835" customHeight="1" ht="18.75">
      <c r="A835" s="56"/>
      <c r="B835" s="56"/>
      <c r="C835" s="50" t="s">
        <v>16</v>
      </c>
      <c r="D835" s="50" t="s">
        <v>143</v>
      </c>
      <c r="E835" s="50" t="s">
        <v>14</v>
      </c>
      <c r="F835" s="50" t="s">
        <v>2034</v>
      </c>
      <c r="G835" s="51">
        <v>10000000</v>
      </c>
      <c r="H835" s="51"/>
      <c r="I835" s="51"/>
      <c r="J835" s="87">
        <f>IF(G835&gt;0,_xludf.IFS(G835=10000000,1200000,G835=20000000,1800000,G835=30000000,2400000,G835=60000000,4000000),"")</f>
      </c>
      <c r="K835" s="51"/>
      <c r="L835" s="52">
        <v>46228</v>
      </c>
      <c r="M835" s="53">
        <f>IF(L835&gt;0,EDATE(L835,-2),"")</f>
        <v>25569.375</v>
      </c>
      <c r="N835" s="50" t="s">
        <v>155</v>
      </c>
      <c r="O835" s="50" t="s">
        <v>2035</v>
      </c>
      <c r="P835" s="54">
        <f>IF(F835&gt;0,F835,"")</f>
      </c>
      <c r="Q835" s="55">
        <v>5308161466311</v>
      </c>
      <c r="R835" s="55">
        <v>40770600</v>
      </c>
      <c r="S835" s="53">
        <f>IF(ISNUMBER(M835), EDATE(M835,36)-1, "")</f>
        <v>25569.375</v>
      </c>
      <c r="T835" s="50"/>
      <c r="U835" s="50"/>
      <c r="V835" s="50"/>
      <c r="W835" s="56"/>
      <c r="X835" s="56"/>
      <c r="Y835" s="56"/>
      <c r="Z835" s="56"/>
      <c r="AA835" s="56"/>
      <c r="AB835" s="56"/>
    </row>
    <row x14ac:dyDescent="0.25" r="836" customHeight="1" ht="18.75">
      <c r="A836" s="63" t="s">
        <v>152</v>
      </c>
      <c r="B836" s="63"/>
      <c r="C836" s="49" t="s">
        <v>16</v>
      </c>
      <c r="D836" s="49" t="s">
        <v>153</v>
      </c>
      <c r="E836" s="49" t="s">
        <v>318</v>
      </c>
      <c r="F836" s="49" t="s">
        <v>2786</v>
      </c>
      <c r="G836" s="64">
        <v>10000000</v>
      </c>
      <c r="H836" s="64"/>
      <c r="I836" s="64"/>
      <c r="J836" s="64">
        <v>800000</v>
      </c>
      <c r="K836" s="64"/>
      <c r="L836" s="66">
        <v>46152</v>
      </c>
      <c r="M836" s="67">
        <f>IF(L836&gt;0,EDATE(L836,-2),"")</f>
        <v>25569.375</v>
      </c>
      <c r="N836" s="49" t="s">
        <v>217</v>
      </c>
      <c r="O836" s="49" t="s">
        <v>2787</v>
      </c>
      <c r="P836" s="68">
        <f>IF(F836&gt;0,F836,"")</f>
      </c>
      <c r="Q836" s="69" t="s">
        <v>2788</v>
      </c>
      <c r="R836" s="69">
        <v>75422510</v>
      </c>
      <c r="S836" s="67">
        <f>IF(ISNUMBER(M836), EDATE(M836,36)-1, "")</f>
        <v>25569.375</v>
      </c>
      <c r="T836" s="49"/>
      <c r="U836" s="49"/>
      <c r="V836" s="63" t="s">
        <v>2789</v>
      </c>
      <c r="W836" s="56"/>
      <c r="X836" s="56"/>
      <c r="Y836" s="56"/>
      <c r="Z836" s="56"/>
      <c r="AA836" s="56"/>
      <c r="AB836" s="56"/>
    </row>
    <row x14ac:dyDescent="0.25" r="837" customHeight="1" ht="18.75">
      <c r="A837" s="56"/>
      <c r="B837" s="56"/>
      <c r="C837" s="50" t="s">
        <v>16</v>
      </c>
      <c r="D837" s="50" t="s">
        <v>454</v>
      </c>
      <c r="E837" s="50" t="s">
        <v>647</v>
      </c>
      <c r="F837" s="50" t="s">
        <v>2082</v>
      </c>
      <c r="G837" s="51">
        <v>20000000</v>
      </c>
      <c r="H837" s="51"/>
      <c r="I837" s="51"/>
      <c r="J837" s="87">
        <f>IF(G837&gt;0,_xludf.IFS(G837=10000000,1200000,G837=20000000,1800000,G837=30000000,2400000,G837=60000000,4000000),"")</f>
      </c>
      <c r="K837" s="51"/>
      <c r="L837" s="52">
        <v>46228</v>
      </c>
      <c r="M837" s="53">
        <f>IF(L837&gt;0,EDATE(L837,-2),"")</f>
        <v>25569.375</v>
      </c>
      <c r="N837" s="50" t="s">
        <v>239</v>
      </c>
      <c r="O837" s="50" t="s">
        <v>2083</v>
      </c>
      <c r="P837" s="54">
        <f>IF(F837&gt;0,F837,"")</f>
      </c>
      <c r="Q837" s="55">
        <v>5912252047726</v>
      </c>
      <c r="R837" s="55">
        <v>62804467</v>
      </c>
      <c r="S837" s="53">
        <f>IF(ISNUMBER(M837), EDATE(M837,36)-1, "")</f>
        <v>25569.375</v>
      </c>
      <c r="T837" s="50"/>
      <c r="U837" s="50"/>
      <c r="V837" s="56"/>
      <c r="W837" s="56"/>
      <c r="X837" s="56"/>
      <c r="Y837" s="56"/>
      <c r="Z837" s="56"/>
      <c r="AA837" s="56"/>
      <c r="AB837" s="56"/>
    </row>
    <row x14ac:dyDescent="0.25" r="838" customHeight="1" ht="18.75">
      <c r="A838" s="56"/>
      <c r="B838" s="56"/>
      <c r="C838" s="50" t="s">
        <v>16</v>
      </c>
      <c r="D838" s="50"/>
      <c r="E838" s="50" t="s">
        <v>1737</v>
      </c>
      <c r="F838" s="50" t="s">
        <v>1738</v>
      </c>
      <c r="G838" s="51">
        <v>30000000</v>
      </c>
      <c r="H838" s="51"/>
      <c r="I838" s="51"/>
      <c r="J838" s="87">
        <f>IF(G838&gt;0,_xludf.IFS(G838=10000000,1200000,G838=20000000,1800000,G838=30000000,2400000,G838=60000000,4000000),"")</f>
      </c>
      <c r="K838" s="51"/>
      <c r="L838" s="52">
        <v>46229</v>
      </c>
      <c r="M838" s="53">
        <f>IF(L838&gt;0,EDATE(L838,-2),"")</f>
        <v>25569.375</v>
      </c>
      <c r="N838" s="50" t="s">
        <v>234</v>
      </c>
      <c r="O838" s="50" t="s">
        <v>1739</v>
      </c>
      <c r="P838" s="54">
        <f>IF(F838&gt;0,F838,"")</f>
      </c>
      <c r="Q838" s="55">
        <v>5906232351217</v>
      </c>
      <c r="R838" s="55">
        <v>33675782</v>
      </c>
      <c r="S838" s="53">
        <f>IF(ISNUMBER(M838), EDATE(M838,36)-1, "")</f>
        <v>25569.375</v>
      </c>
      <c r="T838" s="50"/>
      <c r="U838" s="50"/>
      <c r="V838" s="50"/>
      <c r="W838" s="56"/>
      <c r="X838" s="56"/>
      <c r="Y838" s="56"/>
      <c r="Z838" s="56"/>
      <c r="AA838" s="56"/>
      <c r="AB838" s="56"/>
    </row>
    <row x14ac:dyDescent="0.25" r="839" customHeight="1" ht="18.75">
      <c r="A839" s="56"/>
      <c r="B839" s="56"/>
      <c r="C839" s="50" t="s">
        <v>16</v>
      </c>
      <c r="D839" s="50"/>
      <c r="E839" s="50"/>
      <c r="F839" s="50" t="s">
        <v>1895</v>
      </c>
      <c r="G839" s="51">
        <v>30000000</v>
      </c>
      <c r="H839" s="51"/>
      <c r="I839" s="51"/>
      <c r="J839" s="87">
        <f>IF(G839&gt;0,_xludf.IFS(G839=10000000,1200000,G839=20000000,1800000,G839=30000000,2400000,G839=60000000,4000000),"")</f>
      </c>
      <c r="K839" s="51"/>
      <c r="L839" s="52">
        <v>46229</v>
      </c>
      <c r="M839" s="53">
        <f>IF(L839&gt;0,EDATE(L839,-2),"")</f>
        <v>25569.375</v>
      </c>
      <c r="N839" s="50" t="s">
        <v>239</v>
      </c>
      <c r="O839" s="50" t="s">
        <v>1896</v>
      </c>
      <c r="P839" s="54">
        <f>IF(F839&gt;0,F839,"")</f>
      </c>
      <c r="Q839" s="55">
        <v>9407161157319</v>
      </c>
      <c r="R839" s="55">
        <v>94653558</v>
      </c>
      <c r="S839" s="53">
        <f>IF(ISNUMBER(M839), EDATE(M839,36)-1, "")</f>
        <v>25569.375</v>
      </c>
      <c r="T839" s="50"/>
      <c r="U839" s="50"/>
      <c r="V839" s="56"/>
      <c r="W839" s="56"/>
      <c r="X839" s="56"/>
      <c r="Y839" s="56"/>
      <c r="Z839" s="56"/>
      <c r="AA839" s="56"/>
      <c r="AB839" s="56"/>
    </row>
    <row x14ac:dyDescent="0.25" r="840" customHeight="1" ht="18.75">
      <c r="A840" s="56"/>
      <c r="B840" s="56"/>
      <c r="C840" s="50" t="s">
        <v>16</v>
      </c>
      <c r="D840" s="50" t="s">
        <v>816</v>
      </c>
      <c r="E840" s="50" t="s">
        <v>114</v>
      </c>
      <c r="F840" s="50" t="s">
        <v>3055</v>
      </c>
      <c r="G840" s="51">
        <v>60000000</v>
      </c>
      <c r="H840" s="51"/>
      <c r="I840" s="51"/>
      <c r="J840" s="51">
        <v>2400000</v>
      </c>
      <c r="K840" s="51"/>
      <c r="L840" s="52">
        <v>46229</v>
      </c>
      <c r="M840" s="53">
        <f>IF(L840&gt;0,EDATE(L840,-2),"")</f>
        <v>25569.375</v>
      </c>
      <c r="N840" s="50" t="s">
        <v>217</v>
      </c>
      <c r="O840" s="50" t="s">
        <v>3056</v>
      </c>
      <c r="P840" s="54">
        <f>IF(F840&gt;0,F840,"")</f>
      </c>
      <c r="Q840" s="55">
        <v>5503152473730</v>
      </c>
      <c r="R840" s="55">
        <v>63296283</v>
      </c>
      <c r="S840" s="53">
        <f>IF(ISNUMBER(M840), EDATE(M840,36)-1, "")</f>
        <v>25569.375</v>
      </c>
      <c r="T840" s="50"/>
      <c r="U840" s="50"/>
      <c r="V840" s="56"/>
      <c r="W840" s="56"/>
      <c r="X840" s="56"/>
      <c r="Y840" s="56"/>
      <c r="Z840" s="56"/>
      <c r="AA840" s="56"/>
      <c r="AB840" s="56"/>
    </row>
    <row x14ac:dyDescent="0.25" r="841" customHeight="1" ht="18.75">
      <c r="A841" s="48" t="s">
        <v>252</v>
      </c>
      <c r="B841" s="48"/>
      <c r="C841" s="49" t="s">
        <v>16</v>
      </c>
      <c r="D841" s="50" t="s">
        <v>55</v>
      </c>
      <c r="E841" s="50" t="s">
        <v>56</v>
      </c>
      <c r="F841" s="50" t="s">
        <v>127</v>
      </c>
      <c r="G841" s="51"/>
      <c r="H841" s="51"/>
      <c r="I841" s="51"/>
      <c r="J841" s="51">
        <f>IF(G841&gt;0,_xludf.IFS(G841=10000000,800000,G841=20000000,1528000,G841=30000000,2028000,G841=60000000,4056000),"")</f>
      </c>
      <c r="K841" s="51"/>
      <c r="L841" s="52"/>
      <c r="M841" s="53">
        <f>IF(L841&gt;0,EDATE(L841,-2),"")</f>
        <v>25569.375</v>
      </c>
      <c r="N841" s="50" t="s">
        <v>217</v>
      </c>
      <c r="O841" s="50" t="s">
        <v>2380</v>
      </c>
      <c r="P841" s="50" t="s">
        <v>56</v>
      </c>
      <c r="Q841" s="55" t="s">
        <v>2804</v>
      </c>
      <c r="R841" s="55">
        <v>85958623</v>
      </c>
      <c r="S841" s="53">
        <f>IF(ISNUMBER(M841), EDATE(M841,36)-1, "")</f>
        <v>25569.375</v>
      </c>
      <c r="T841" s="50"/>
      <c r="U841" s="50"/>
      <c r="V841" s="56"/>
      <c r="W841" s="56"/>
      <c r="X841" s="56"/>
      <c r="Y841" s="56"/>
      <c r="Z841" s="56"/>
      <c r="AA841" s="56"/>
      <c r="AB841" s="56"/>
    </row>
    <row x14ac:dyDescent="0.25" r="842" customHeight="1" ht="18.75">
      <c r="A842" s="48" t="s">
        <v>275</v>
      </c>
      <c r="B842" s="48"/>
      <c r="C842" s="50" t="s">
        <v>113</v>
      </c>
      <c r="D842" s="50"/>
      <c r="E842" s="50"/>
      <c r="F842" s="50" t="s">
        <v>2805</v>
      </c>
      <c r="G842" s="51">
        <v>30000000</v>
      </c>
      <c r="H842" s="51"/>
      <c r="I842" s="51"/>
      <c r="J842" s="51">
        <v>1500000</v>
      </c>
      <c r="K842" s="51"/>
      <c r="L842" s="52">
        <v>45626</v>
      </c>
      <c r="M842" s="53">
        <f>IF(L842&gt;0,EDATE(L842,-2),"")</f>
        <v>25569.375</v>
      </c>
      <c r="N842" s="50" t="s">
        <v>168</v>
      </c>
      <c r="O842" s="50" t="s">
        <v>2806</v>
      </c>
      <c r="P842" s="54">
        <f>IF(F842&gt;0,F842,"")</f>
      </c>
      <c r="Q842" s="55" t="s">
        <v>2807</v>
      </c>
      <c r="R842" s="55">
        <v>72390903</v>
      </c>
      <c r="S842" s="53">
        <f>IF(ISNUMBER(M842), EDATE(M842,36)-1, "")</f>
        <v>25569.375</v>
      </c>
      <c r="T842" s="50"/>
      <c r="U842" s="50"/>
      <c r="V842" s="48" t="s">
        <v>2028</v>
      </c>
      <c r="W842" s="56"/>
      <c r="X842" s="56"/>
      <c r="Y842" s="56"/>
      <c r="Z842" s="56"/>
      <c r="AA842" s="56"/>
      <c r="AB842" s="56"/>
    </row>
    <row x14ac:dyDescent="0.25" r="843" customHeight="1" ht="18.75">
      <c r="A843" s="56"/>
      <c r="B843" s="56"/>
      <c r="C843" s="50" t="s">
        <v>16</v>
      </c>
      <c r="D843" s="50" t="s">
        <v>642</v>
      </c>
      <c r="E843" s="50" t="s">
        <v>3346</v>
      </c>
      <c r="F843" s="50" t="s">
        <v>2808</v>
      </c>
      <c r="G843" s="55">
        <v>60000000</v>
      </c>
      <c r="H843" s="55"/>
      <c r="I843" s="55"/>
      <c r="J843" s="51">
        <v>4056000</v>
      </c>
      <c r="K843" s="51"/>
      <c r="L843" s="52">
        <v>46002</v>
      </c>
      <c r="M843" s="53">
        <v>45941</v>
      </c>
      <c r="N843" s="50" t="s">
        <v>168</v>
      </c>
      <c r="O843" s="50" t="s">
        <v>2809</v>
      </c>
      <c r="P843" s="50" t="s">
        <v>2808</v>
      </c>
      <c r="Q843" s="55" t="s">
        <v>2810</v>
      </c>
      <c r="R843" s="55" t="s">
        <v>2811</v>
      </c>
      <c r="S843" s="53">
        <v>47036</v>
      </c>
      <c r="T843" s="50"/>
      <c r="U843" s="50"/>
      <c r="V843" s="56"/>
      <c r="W843" s="56"/>
      <c r="X843" s="56"/>
      <c r="Y843" s="56"/>
      <c r="Z843" s="56"/>
      <c r="AA843" s="56"/>
      <c r="AB843" s="56"/>
    </row>
    <row x14ac:dyDescent="0.25" r="844" customHeight="1" ht="18.75">
      <c r="A844" s="48" t="s">
        <v>63</v>
      </c>
      <c r="B844" s="48"/>
      <c r="C844" s="50" t="s">
        <v>16</v>
      </c>
      <c r="D844" s="50"/>
      <c r="E844" s="50"/>
      <c r="F844" s="50" t="s">
        <v>2574</v>
      </c>
      <c r="G844" s="55">
        <v>20000000</v>
      </c>
      <c r="H844" s="55"/>
      <c r="I844" s="55"/>
      <c r="J844" s="51">
        <v>1800000</v>
      </c>
      <c r="K844" s="51"/>
      <c r="L844" s="52">
        <v>46230</v>
      </c>
      <c r="M844" s="53">
        <v>46169</v>
      </c>
      <c r="N844" s="50" t="s">
        <v>161</v>
      </c>
      <c r="O844" s="50" t="s">
        <v>2575</v>
      </c>
      <c r="P844" s="50" t="s">
        <v>2574</v>
      </c>
      <c r="Q844" s="55" t="s">
        <v>2576</v>
      </c>
      <c r="R844" s="55" t="s">
        <v>2577</v>
      </c>
      <c r="S844" s="53">
        <v>47264</v>
      </c>
      <c r="T844" s="50"/>
      <c r="U844" s="50" t="s">
        <v>166</v>
      </c>
      <c r="V844" s="56" t="s">
        <v>2578</v>
      </c>
      <c r="W844" s="56"/>
      <c r="X844" s="56"/>
      <c r="Y844" s="56"/>
      <c r="Z844" s="56"/>
      <c r="AA844" s="56"/>
      <c r="AB844" s="56"/>
    </row>
    <row x14ac:dyDescent="0.25" r="845" customHeight="1" ht="18.75">
      <c r="A845" s="56"/>
      <c r="B845" s="56"/>
      <c r="C845" s="50" t="s">
        <v>16</v>
      </c>
      <c r="D845" s="50"/>
      <c r="E845" s="50"/>
      <c r="F845" s="50" t="s">
        <v>2816</v>
      </c>
      <c r="G845" s="55">
        <v>30000000</v>
      </c>
      <c r="H845" s="55"/>
      <c r="I845" s="55"/>
      <c r="J845" s="51">
        <v>2400000</v>
      </c>
      <c r="K845" s="51"/>
      <c r="L845" s="52">
        <v>45896</v>
      </c>
      <c r="M845" s="53">
        <v>45835</v>
      </c>
      <c r="N845" s="50" t="s">
        <v>155</v>
      </c>
      <c r="O845" s="50" t="s">
        <v>2817</v>
      </c>
      <c r="P845" s="50" t="s">
        <v>2816</v>
      </c>
      <c r="Q845" s="55" t="s">
        <v>2780</v>
      </c>
      <c r="R845" s="55" t="s">
        <v>2781</v>
      </c>
      <c r="S845" s="53">
        <v>46930</v>
      </c>
      <c r="T845" s="50"/>
      <c r="U845" s="50" t="s">
        <v>2818</v>
      </c>
      <c r="V845" s="56"/>
      <c r="W845" s="56"/>
      <c r="X845" s="56"/>
      <c r="Y845" s="56"/>
      <c r="Z845" s="56"/>
      <c r="AA845" s="56"/>
      <c r="AB845" s="56"/>
    </row>
    <row x14ac:dyDescent="0.25" r="846" customHeight="1" ht="18.75">
      <c r="A846" s="56"/>
      <c r="B846" s="56"/>
      <c r="C846" s="50" t="s">
        <v>16</v>
      </c>
      <c r="D846" s="50"/>
      <c r="E846" s="50" t="s">
        <v>276</v>
      </c>
      <c r="F846" s="50" t="s">
        <v>2819</v>
      </c>
      <c r="G846" s="55">
        <v>10000000</v>
      </c>
      <c r="H846" s="55"/>
      <c r="I846" s="55"/>
      <c r="J846" s="51">
        <v>800000</v>
      </c>
      <c r="K846" s="51"/>
      <c r="L846" s="52">
        <v>46128</v>
      </c>
      <c r="M846" s="53">
        <v>46069</v>
      </c>
      <c r="N846" s="50" t="s">
        <v>182</v>
      </c>
      <c r="O846" s="50" t="s">
        <v>907</v>
      </c>
      <c r="P846" s="50" t="s">
        <v>2819</v>
      </c>
      <c r="Q846" s="55" t="s">
        <v>2820</v>
      </c>
      <c r="R846" s="55" t="s">
        <v>985</v>
      </c>
      <c r="S846" s="53">
        <v>47164</v>
      </c>
      <c r="T846" s="50" t="s">
        <v>2821</v>
      </c>
      <c r="U846" s="50" t="s">
        <v>2822</v>
      </c>
      <c r="V846" s="56"/>
      <c r="W846" s="56"/>
      <c r="X846" s="56"/>
      <c r="Y846" s="56"/>
      <c r="Z846" s="56"/>
      <c r="AA846" s="56"/>
      <c r="AB846" s="56"/>
    </row>
    <row x14ac:dyDescent="0.25" r="847" customHeight="1" ht="18.75">
      <c r="A847" s="56"/>
      <c r="B847" s="56"/>
      <c r="C847" s="50" t="s">
        <v>16</v>
      </c>
      <c r="D847" s="50" t="s">
        <v>143</v>
      </c>
      <c r="E847" s="50" t="s">
        <v>14</v>
      </c>
      <c r="F847" s="50" t="s">
        <v>1311</v>
      </c>
      <c r="G847" s="51">
        <v>10000000</v>
      </c>
      <c r="H847" s="51"/>
      <c r="I847" s="51"/>
      <c r="J847" s="87">
        <f>IF(G847&gt;0,_xludf.IFS(G847=10000000,1200000,G847=20000000,1800000,G847=30000000,2400000,G847=60000000,4000000),"")</f>
      </c>
      <c r="K847" s="51"/>
      <c r="L847" s="52">
        <v>46231</v>
      </c>
      <c r="M847" s="53">
        <f>IF(L847&gt;0,EDATE(L847,-2),"")</f>
        <v>25569.375</v>
      </c>
      <c r="N847" s="50" t="s">
        <v>155</v>
      </c>
      <c r="O847" s="50" t="s">
        <v>1312</v>
      </c>
      <c r="P847" s="54">
        <f>IF(F847&gt;0,F847,"")</f>
      </c>
      <c r="Q847" s="55">
        <v>6310261667616</v>
      </c>
      <c r="R847" s="55">
        <v>52663391</v>
      </c>
      <c r="S847" s="53">
        <f>IF(ISNUMBER(M847), EDATE(M847,36)-1, "")</f>
        <v>25569.375</v>
      </c>
      <c r="T847" s="50"/>
      <c r="U847" s="50"/>
      <c r="V847" s="50"/>
      <c r="W847" s="56"/>
      <c r="X847" s="56"/>
      <c r="Y847" s="56"/>
      <c r="Z847" s="56"/>
      <c r="AA847" s="56"/>
      <c r="AB847" s="56"/>
    </row>
    <row x14ac:dyDescent="0.25" r="848" customHeight="1" ht="18.75">
      <c r="A848" s="56"/>
      <c r="B848" s="56"/>
      <c r="C848" s="50" t="s">
        <v>16</v>
      </c>
      <c r="D848" s="50"/>
      <c r="E848" s="50"/>
      <c r="F848" s="50" t="s">
        <v>2826</v>
      </c>
      <c r="G848" s="55">
        <v>30000000</v>
      </c>
      <c r="H848" s="55"/>
      <c r="I848" s="55"/>
      <c r="J848" s="51">
        <v>2028000</v>
      </c>
      <c r="K848" s="51"/>
      <c r="L848" s="52">
        <v>46132</v>
      </c>
      <c r="M848" s="53">
        <v>46073</v>
      </c>
      <c r="N848" s="50" t="s">
        <v>699</v>
      </c>
      <c r="O848" s="50" t="s">
        <v>2827</v>
      </c>
      <c r="P848" s="50" t="s">
        <v>2826</v>
      </c>
      <c r="Q848" s="55" t="s">
        <v>2828</v>
      </c>
      <c r="R848" s="55" t="s">
        <v>2829</v>
      </c>
      <c r="S848" s="53">
        <v>47168</v>
      </c>
      <c r="T848" s="50"/>
      <c r="U848" s="50" t="s">
        <v>2830</v>
      </c>
      <c r="V848" s="56"/>
      <c r="W848" s="56"/>
      <c r="X848" s="56"/>
      <c r="Y848" s="56"/>
      <c r="Z848" s="56"/>
      <c r="AA848" s="56"/>
      <c r="AB848" s="56"/>
    </row>
    <row x14ac:dyDescent="0.25" r="849" customHeight="1" ht="18.75">
      <c r="A849" s="56"/>
      <c r="B849" s="56"/>
      <c r="C849" s="50" t="s">
        <v>16</v>
      </c>
      <c r="D849" s="50"/>
      <c r="E849" s="50"/>
      <c r="F849" s="50" t="s">
        <v>2826</v>
      </c>
      <c r="G849" s="55">
        <v>30000000</v>
      </c>
      <c r="H849" s="55"/>
      <c r="I849" s="55"/>
      <c r="J849" s="51">
        <v>2028000</v>
      </c>
      <c r="K849" s="51"/>
      <c r="L849" s="52">
        <v>46132</v>
      </c>
      <c r="M849" s="53">
        <v>46073</v>
      </c>
      <c r="N849" s="50" t="s">
        <v>699</v>
      </c>
      <c r="O849" s="50" t="s">
        <v>2827</v>
      </c>
      <c r="P849" s="50" t="s">
        <v>2826</v>
      </c>
      <c r="Q849" s="55" t="s">
        <v>2828</v>
      </c>
      <c r="R849" s="55" t="s">
        <v>2829</v>
      </c>
      <c r="S849" s="53">
        <v>47168</v>
      </c>
      <c r="T849" s="50" t="s">
        <v>3347</v>
      </c>
      <c r="U849" s="50"/>
      <c r="V849" s="56"/>
      <c r="W849" s="56"/>
      <c r="X849" s="56"/>
      <c r="Y849" s="56"/>
      <c r="Z849" s="56"/>
      <c r="AA849" s="56"/>
      <c r="AB849" s="56"/>
    </row>
    <row x14ac:dyDescent="0.25" r="850" customHeight="1" ht="18.75">
      <c r="A850" s="56"/>
      <c r="B850" s="56"/>
      <c r="C850" s="50" t="s">
        <v>16</v>
      </c>
      <c r="D850" s="50" t="s">
        <v>67</v>
      </c>
      <c r="E850" s="50" t="s">
        <v>68</v>
      </c>
      <c r="F850" s="50" t="s">
        <v>2831</v>
      </c>
      <c r="G850" s="55">
        <v>60000000</v>
      </c>
      <c r="H850" s="55"/>
      <c r="I850" s="55"/>
      <c r="J850" s="51">
        <v>4800000</v>
      </c>
      <c r="K850" s="51"/>
      <c r="L850" s="52">
        <v>45934</v>
      </c>
      <c r="M850" s="53">
        <v>45848</v>
      </c>
      <c r="N850" s="50" t="s">
        <v>168</v>
      </c>
      <c r="O850" s="50" t="s">
        <v>2041</v>
      </c>
      <c r="P850" s="50" t="s">
        <v>2831</v>
      </c>
      <c r="Q850" s="55" t="s">
        <v>2832</v>
      </c>
      <c r="R850" s="85" t="s">
        <v>2043</v>
      </c>
      <c r="S850" s="53">
        <v>46968</v>
      </c>
      <c r="T850" s="50"/>
      <c r="U850" s="50"/>
      <c r="V850" s="48" t="s">
        <v>2833</v>
      </c>
      <c r="W850" s="56"/>
      <c r="X850" s="56"/>
      <c r="Y850" s="56"/>
      <c r="Z850" s="56"/>
      <c r="AA850" s="56"/>
      <c r="AB850" s="56"/>
    </row>
    <row x14ac:dyDescent="0.25" r="851" customHeight="1" ht="18.75">
      <c r="A851" s="48" t="s">
        <v>152</v>
      </c>
      <c r="B851" s="48"/>
      <c r="C851" s="50" t="s">
        <v>16</v>
      </c>
      <c r="D851" s="50" t="s">
        <v>67</v>
      </c>
      <c r="E851" s="50" t="s">
        <v>68</v>
      </c>
      <c r="F851" s="50" t="s">
        <v>2831</v>
      </c>
      <c r="G851" s="55">
        <v>60000000</v>
      </c>
      <c r="H851" s="55"/>
      <c r="I851" s="55"/>
      <c r="J851" s="51">
        <v>4056000</v>
      </c>
      <c r="K851" s="51"/>
      <c r="L851" s="52">
        <v>45992</v>
      </c>
      <c r="M851" s="53">
        <v>45931</v>
      </c>
      <c r="N851" s="50" t="s">
        <v>168</v>
      </c>
      <c r="O851" s="50" t="s">
        <v>2041</v>
      </c>
      <c r="P851" s="50" t="s">
        <v>2831</v>
      </c>
      <c r="Q851" s="55" t="s">
        <v>2832</v>
      </c>
      <c r="R851" s="85" t="s">
        <v>2043</v>
      </c>
      <c r="S851" s="53">
        <v>47026</v>
      </c>
      <c r="T851" s="50"/>
      <c r="U851" s="50"/>
      <c r="V851" s="56"/>
      <c r="W851" s="56"/>
      <c r="X851" s="56"/>
      <c r="Y851" s="56"/>
      <c r="Z851" s="56"/>
      <c r="AA851" s="56"/>
      <c r="AB851" s="56"/>
    </row>
    <row x14ac:dyDescent="0.25" r="852" customHeight="1" ht="18.75">
      <c r="A852" s="56"/>
      <c r="B852" s="56"/>
      <c r="C852" s="50" t="s">
        <v>16</v>
      </c>
      <c r="D852" s="50"/>
      <c r="E852" s="50"/>
      <c r="F852" s="50" t="s">
        <v>2835</v>
      </c>
      <c r="G852" s="55">
        <v>10000000</v>
      </c>
      <c r="H852" s="55"/>
      <c r="I852" s="55"/>
      <c r="J852" s="51">
        <v>800000</v>
      </c>
      <c r="K852" s="51"/>
      <c r="L852" s="52">
        <v>45959</v>
      </c>
      <c r="M852" s="53">
        <v>45898</v>
      </c>
      <c r="N852" s="50" t="s">
        <v>239</v>
      </c>
      <c r="O852" s="50" t="s">
        <v>2836</v>
      </c>
      <c r="P852" s="50" t="s">
        <v>2835</v>
      </c>
      <c r="Q852" s="55" t="s">
        <v>2837</v>
      </c>
      <c r="R852" s="55" t="s">
        <v>2838</v>
      </c>
      <c r="S852" s="53">
        <v>46993</v>
      </c>
      <c r="T852" s="50"/>
      <c r="U852" s="50"/>
      <c r="V852" s="56"/>
      <c r="W852" s="56"/>
      <c r="X852" s="56"/>
      <c r="Y852" s="56"/>
      <c r="Z852" s="56"/>
      <c r="AA852" s="56"/>
      <c r="AB852" s="56"/>
    </row>
    <row x14ac:dyDescent="0.25" r="853" customHeight="1" ht="18.75">
      <c r="A853" s="56"/>
      <c r="B853" s="56"/>
      <c r="C853" s="50" t="s">
        <v>16</v>
      </c>
      <c r="D853" s="50" t="s">
        <v>419</v>
      </c>
      <c r="E853" s="50" t="s">
        <v>1332</v>
      </c>
      <c r="F853" s="50" t="s">
        <v>1333</v>
      </c>
      <c r="G853" s="51">
        <v>10000000</v>
      </c>
      <c r="H853" s="51"/>
      <c r="I853" s="51"/>
      <c r="J853" s="87">
        <f>IF(G853&gt;0,_xludf.IFS(G853=10000000,1200000,G853=20000000,1800000,G853=30000000,2400000,G853=60000000,4000000),"")</f>
      </c>
      <c r="K853" s="51"/>
      <c r="L853" s="52">
        <v>46231</v>
      </c>
      <c r="M853" s="53">
        <f>IF(L853&gt;0,EDATE(L853,-2),"")</f>
        <v>25569.375</v>
      </c>
      <c r="N853" s="50" t="s">
        <v>699</v>
      </c>
      <c r="O853" s="50" t="s">
        <v>1334</v>
      </c>
      <c r="P853" s="54">
        <f>IF(F853&gt;0,F853,"")</f>
      </c>
      <c r="Q853" s="55">
        <v>6302222473635</v>
      </c>
      <c r="R853" s="55">
        <v>23300536</v>
      </c>
      <c r="S853" s="53">
        <f>IF(ISNUMBER(M853), EDATE(M853,36)-1, "")</f>
        <v>25569.375</v>
      </c>
      <c r="T853" s="50"/>
      <c r="U853" s="50"/>
      <c r="V853" s="56"/>
      <c r="W853" s="56"/>
      <c r="X853" s="56"/>
      <c r="Y853" s="56"/>
      <c r="Z853" s="56"/>
      <c r="AA853" s="56"/>
      <c r="AB853" s="56"/>
    </row>
    <row x14ac:dyDescent="0.25" r="854" customHeight="1" ht="18.75">
      <c r="A854" s="56"/>
      <c r="B854" s="56"/>
      <c r="C854" s="50" t="s">
        <v>16</v>
      </c>
      <c r="D854" s="50"/>
      <c r="E854" s="50"/>
      <c r="F854" s="50" t="s">
        <v>3348</v>
      </c>
      <c r="G854" s="55">
        <v>10000000</v>
      </c>
      <c r="H854" s="55"/>
      <c r="I854" s="55"/>
      <c r="J854" s="51">
        <v>800000</v>
      </c>
      <c r="K854" s="51"/>
      <c r="L854" s="52">
        <v>46089</v>
      </c>
      <c r="M854" s="53">
        <v>46022</v>
      </c>
      <c r="N854" s="50" t="s">
        <v>217</v>
      </c>
      <c r="O854" s="50" t="s">
        <v>2840</v>
      </c>
      <c r="P854" s="50" t="s">
        <v>3348</v>
      </c>
      <c r="Q854" s="55" t="s">
        <v>2841</v>
      </c>
      <c r="R854" s="55" t="s">
        <v>2842</v>
      </c>
      <c r="S854" s="53">
        <v>47125</v>
      </c>
      <c r="T854" s="50"/>
      <c r="U854" s="50"/>
      <c r="V854" s="56"/>
      <c r="W854" s="56"/>
      <c r="X854" s="56"/>
      <c r="Y854" s="56"/>
      <c r="Z854" s="56"/>
      <c r="AA854" s="56"/>
      <c r="AB854" s="56"/>
    </row>
    <row x14ac:dyDescent="0.25" r="855" customHeight="1" ht="18.75">
      <c r="A855" s="56"/>
      <c r="B855" s="56"/>
      <c r="C855" s="49" t="s">
        <v>16</v>
      </c>
      <c r="D855" s="50"/>
      <c r="E855" s="50"/>
      <c r="F855" s="50" t="s">
        <v>2839</v>
      </c>
      <c r="G855" s="51">
        <v>10000000</v>
      </c>
      <c r="H855" s="51"/>
      <c r="I855" s="51"/>
      <c r="J855" s="87">
        <f>IF(G855&gt;0,_xludf.IFS(G855=10000000,800000,G855=20000000,1528000,G855=30000000,2028000,G855=60000000,4056000),"")</f>
      </c>
      <c r="K855" s="51"/>
      <c r="L855" s="52">
        <v>46089</v>
      </c>
      <c r="M855" s="53">
        <f>IF(L855&gt;0,EDATE(L855,-2),"")</f>
        <v>25569.375</v>
      </c>
      <c r="N855" s="50" t="s">
        <v>217</v>
      </c>
      <c r="O855" s="50" t="s">
        <v>2840</v>
      </c>
      <c r="P855" s="54">
        <f>IF(F855&gt;0,F855,"")</f>
      </c>
      <c r="Q855" s="55" t="s">
        <v>2841</v>
      </c>
      <c r="R855" s="55">
        <v>55253749</v>
      </c>
      <c r="S855" s="53">
        <f>IF(ISNUMBER(M855), EDATE(M855,36)-1, "")</f>
        <v>25569.375</v>
      </c>
      <c r="T855" s="50"/>
      <c r="U855" s="50"/>
      <c r="V855" s="56"/>
      <c r="W855" s="56"/>
      <c r="X855" s="56"/>
      <c r="Y855" s="56"/>
      <c r="Z855" s="56"/>
      <c r="AA855" s="56"/>
      <c r="AB855" s="56"/>
    </row>
    <row x14ac:dyDescent="0.25" r="856" customHeight="1" ht="18.75">
      <c r="A856" s="56"/>
      <c r="B856" s="56"/>
      <c r="C856" s="50" t="s">
        <v>16</v>
      </c>
      <c r="D856" s="50"/>
      <c r="E856" s="50" t="s">
        <v>1874</v>
      </c>
      <c r="F856" s="50" t="s">
        <v>2844</v>
      </c>
      <c r="G856" s="55">
        <v>10000000</v>
      </c>
      <c r="H856" s="55"/>
      <c r="I856" s="55"/>
      <c r="J856" s="51">
        <v>800000</v>
      </c>
      <c r="K856" s="51"/>
      <c r="L856" s="52">
        <v>46091</v>
      </c>
      <c r="M856" s="53">
        <v>46032</v>
      </c>
      <c r="N856" s="50" t="s">
        <v>155</v>
      </c>
      <c r="O856" s="50" t="s">
        <v>1875</v>
      </c>
      <c r="P856" s="50" t="s">
        <v>2844</v>
      </c>
      <c r="Q856" s="55" t="s">
        <v>2846</v>
      </c>
      <c r="R856" s="55" t="s">
        <v>1877</v>
      </c>
      <c r="S856" s="53">
        <v>47127</v>
      </c>
      <c r="T856" s="50"/>
      <c r="U856" s="50" t="s">
        <v>166</v>
      </c>
      <c r="V856" s="56"/>
      <c r="W856" s="56"/>
      <c r="X856" s="56"/>
      <c r="Y856" s="56"/>
      <c r="Z856" s="56"/>
      <c r="AA856" s="56"/>
      <c r="AB856" s="56"/>
    </row>
    <row x14ac:dyDescent="0.25" r="857" customHeight="1" ht="18.75">
      <c r="A857" s="63"/>
      <c r="B857" s="63"/>
      <c r="C857" s="49" t="s">
        <v>16</v>
      </c>
      <c r="D857" s="49" t="s">
        <v>642</v>
      </c>
      <c r="E857" s="49" t="s">
        <v>327</v>
      </c>
      <c r="F857" s="49" t="s">
        <v>2844</v>
      </c>
      <c r="G857" s="64">
        <v>10000000</v>
      </c>
      <c r="H857" s="64"/>
      <c r="I857" s="64"/>
      <c r="J857" s="64">
        <v>500000</v>
      </c>
      <c r="K857" s="64"/>
      <c r="L857" s="66">
        <v>46091</v>
      </c>
      <c r="M857" s="67">
        <f>IF(L857&gt;0,EDATE(L857,-2),"")</f>
        <v>25569.375</v>
      </c>
      <c r="N857" s="49" t="s">
        <v>302</v>
      </c>
      <c r="O857" s="49" t="s">
        <v>2845</v>
      </c>
      <c r="P857" s="68">
        <f>IF(F857&gt;0,F857,"")</f>
      </c>
      <c r="Q857" s="69" t="s">
        <v>2846</v>
      </c>
      <c r="R857" s="69">
        <v>45065645</v>
      </c>
      <c r="S857" s="67">
        <f>IF(ISNUMBER(M857), EDATE(M857,36)-1, "")</f>
        <v>25569.375</v>
      </c>
      <c r="T857" s="49"/>
      <c r="U857" s="49"/>
      <c r="V857" s="63"/>
      <c r="W857" s="56"/>
      <c r="X857" s="56"/>
      <c r="Y857" s="56"/>
      <c r="Z857" s="56"/>
      <c r="AA857" s="56"/>
      <c r="AB857" s="56"/>
    </row>
    <row x14ac:dyDescent="0.25" r="858" customHeight="1" ht="18.75">
      <c r="A858" s="56"/>
      <c r="B858" s="56"/>
      <c r="C858" s="50" t="s">
        <v>16</v>
      </c>
      <c r="D858" s="50"/>
      <c r="E858" s="50"/>
      <c r="F858" s="50" t="s">
        <v>2847</v>
      </c>
      <c r="G858" s="55">
        <v>20000000</v>
      </c>
      <c r="H858" s="55"/>
      <c r="I858" s="55"/>
      <c r="J858" s="51">
        <v>1528000</v>
      </c>
      <c r="K858" s="51"/>
      <c r="L858" s="52">
        <v>45993</v>
      </c>
      <c r="M858" s="53">
        <v>45932</v>
      </c>
      <c r="N858" s="50" t="s">
        <v>155</v>
      </c>
      <c r="O858" s="50" t="s">
        <v>2848</v>
      </c>
      <c r="P858" s="50" t="s">
        <v>2847</v>
      </c>
      <c r="Q858" s="55" t="s">
        <v>2849</v>
      </c>
      <c r="R858" s="55" t="s">
        <v>2850</v>
      </c>
      <c r="S858" s="53">
        <v>47027</v>
      </c>
      <c r="T858" s="50"/>
      <c r="U858" s="50"/>
      <c r="V858" s="56"/>
      <c r="W858" s="56"/>
      <c r="X858" s="56"/>
      <c r="Y858" s="56"/>
      <c r="Z858" s="56"/>
      <c r="AA858" s="56"/>
      <c r="AB858" s="56"/>
    </row>
    <row x14ac:dyDescent="0.25" r="859" customHeight="1" ht="18.75">
      <c r="A859" s="56"/>
      <c r="B859" s="56"/>
      <c r="C859" s="50" t="s">
        <v>16</v>
      </c>
      <c r="D859" s="50"/>
      <c r="E859" s="50"/>
      <c r="F859" s="50" t="s">
        <v>2851</v>
      </c>
      <c r="G859" s="55">
        <v>30000000</v>
      </c>
      <c r="H859" s="55"/>
      <c r="I859" s="55"/>
      <c r="J859" s="51">
        <v>2400000</v>
      </c>
      <c r="K859" s="51"/>
      <c r="L859" s="52">
        <v>46023</v>
      </c>
      <c r="M859" s="53">
        <v>45962</v>
      </c>
      <c r="N859" s="50" t="s">
        <v>155</v>
      </c>
      <c r="O859" s="50" t="s">
        <v>1875</v>
      </c>
      <c r="P859" s="50" t="s">
        <v>2851</v>
      </c>
      <c r="Q859" s="55" t="s">
        <v>2852</v>
      </c>
      <c r="R859" s="55" t="s">
        <v>2853</v>
      </c>
      <c r="S859" s="53">
        <v>47057</v>
      </c>
      <c r="T859" s="50"/>
      <c r="U859" s="50"/>
      <c r="V859" s="56"/>
      <c r="W859" s="56"/>
      <c r="X859" s="56"/>
      <c r="Y859" s="56"/>
      <c r="Z859" s="56"/>
      <c r="AA859" s="56"/>
      <c r="AB859" s="56"/>
    </row>
    <row x14ac:dyDescent="0.25" r="860" customHeight="1" ht="18.75">
      <c r="A860" s="56"/>
      <c r="B860" s="56"/>
      <c r="C860" s="50" t="s">
        <v>16</v>
      </c>
      <c r="D860" s="50"/>
      <c r="E860" s="50"/>
      <c r="F860" s="50" t="s">
        <v>2854</v>
      </c>
      <c r="G860" s="55">
        <v>30000000</v>
      </c>
      <c r="H860" s="55"/>
      <c r="I860" s="55"/>
      <c r="J860" s="51">
        <v>2028000</v>
      </c>
      <c r="K860" s="51"/>
      <c r="L860" s="52">
        <v>46011</v>
      </c>
      <c r="M860" s="53">
        <v>45950</v>
      </c>
      <c r="N860" s="50" t="s">
        <v>302</v>
      </c>
      <c r="O860" s="50" t="s">
        <v>2855</v>
      </c>
      <c r="P860" s="50" t="s">
        <v>2854</v>
      </c>
      <c r="Q860" s="55" t="s">
        <v>2856</v>
      </c>
      <c r="R860" s="55" t="s">
        <v>2857</v>
      </c>
      <c r="S860" s="53">
        <v>47045</v>
      </c>
      <c r="T860" s="50"/>
      <c r="U860" s="50"/>
      <c r="V860" s="56"/>
      <c r="W860" s="56"/>
      <c r="X860" s="56"/>
      <c r="Y860" s="56"/>
      <c r="Z860" s="56"/>
      <c r="AA860" s="56"/>
      <c r="AB860" s="56"/>
    </row>
    <row x14ac:dyDescent="0.25" r="861" customHeight="1" ht="18.75">
      <c r="A861" s="56"/>
      <c r="B861" s="56"/>
      <c r="C861" s="50" t="s">
        <v>16</v>
      </c>
      <c r="D861" s="50"/>
      <c r="E861" s="50"/>
      <c r="F861" s="50" t="s">
        <v>128</v>
      </c>
      <c r="G861" s="55">
        <v>20000000</v>
      </c>
      <c r="H861" s="55"/>
      <c r="I861" s="55"/>
      <c r="J861" s="51">
        <v>1528000</v>
      </c>
      <c r="K861" s="51"/>
      <c r="L861" s="52">
        <v>46002</v>
      </c>
      <c r="M861" s="53">
        <v>45941</v>
      </c>
      <c r="N861" s="50" t="s">
        <v>306</v>
      </c>
      <c r="O861" s="50" t="s">
        <v>2858</v>
      </c>
      <c r="P861" s="50" t="s">
        <v>128</v>
      </c>
      <c r="Q861" s="55" t="s">
        <v>2859</v>
      </c>
      <c r="R861" s="55" t="s">
        <v>2860</v>
      </c>
      <c r="S861" s="53">
        <v>47036</v>
      </c>
      <c r="T861" s="50"/>
      <c r="U861" s="50"/>
      <c r="V861" s="56"/>
      <c r="W861" s="56"/>
      <c r="X861" s="56"/>
      <c r="Y861" s="56"/>
      <c r="Z861" s="56"/>
      <c r="AA861" s="56"/>
      <c r="AB861" s="56"/>
    </row>
    <row x14ac:dyDescent="0.25" r="862" customHeight="1" ht="18.75">
      <c r="A862" s="56"/>
      <c r="B862" s="56"/>
      <c r="C862" s="50" t="s">
        <v>16</v>
      </c>
      <c r="D862" s="50" t="s">
        <v>153</v>
      </c>
      <c r="E862" s="50" t="s">
        <v>862</v>
      </c>
      <c r="F862" s="50" t="s">
        <v>2051</v>
      </c>
      <c r="G862" s="51">
        <v>10000000</v>
      </c>
      <c r="H862" s="51"/>
      <c r="I862" s="51"/>
      <c r="J862" s="87">
        <f>IF(G862&gt;0,_xludf.IFS(G862=10000000,1200000,G862=20000000,1800000,G862=30000000,2400000,G862=60000000,4000000),"")</f>
      </c>
      <c r="K862" s="51"/>
      <c r="L862" s="52">
        <v>46231</v>
      </c>
      <c r="M862" s="53">
        <f>IF(L862&gt;0,EDATE(L862,-2),"")</f>
        <v>25569.375</v>
      </c>
      <c r="N862" s="50" t="s">
        <v>302</v>
      </c>
      <c r="O862" s="50" t="s">
        <v>2052</v>
      </c>
      <c r="P862" s="54">
        <f>IF(F862&gt;0,F862,"")</f>
      </c>
      <c r="Q862" s="55">
        <v>6407192018417</v>
      </c>
      <c r="R862" s="55">
        <v>92670881</v>
      </c>
      <c r="S862" s="53">
        <f>IF(ISNUMBER(M862), EDATE(M862,36)-1, "")</f>
        <v>25569.375</v>
      </c>
      <c r="T862" s="50"/>
      <c r="U862" s="50"/>
      <c r="V862" s="56"/>
      <c r="W862" s="56"/>
      <c r="X862" s="56"/>
      <c r="Y862" s="56"/>
      <c r="Z862" s="56"/>
      <c r="AA862" s="56"/>
      <c r="AB862" s="56"/>
    </row>
    <row x14ac:dyDescent="0.25" r="863" customHeight="1" ht="18.75">
      <c r="A863" s="56"/>
      <c r="B863" s="56"/>
      <c r="C863" s="50" t="s">
        <v>16</v>
      </c>
      <c r="D863" s="50"/>
      <c r="E863" s="50"/>
      <c r="F863" s="50" t="s">
        <v>2865</v>
      </c>
      <c r="G863" s="55">
        <v>30000000</v>
      </c>
      <c r="H863" s="55"/>
      <c r="I863" s="55"/>
      <c r="J863" s="51">
        <v>2028000</v>
      </c>
      <c r="K863" s="51"/>
      <c r="L863" s="52">
        <v>46081</v>
      </c>
      <c r="M863" s="53">
        <v>46022</v>
      </c>
      <c r="N863" s="50" t="s">
        <v>168</v>
      </c>
      <c r="O863" s="50" t="s">
        <v>2866</v>
      </c>
      <c r="P863" s="50" t="s">
        <v>2865</v>
      </c>
      <c r="Q863" s="55" t="s">
        <v>2867</v>
      </c>
      <c r="R863" s="55" t="s">
        <v>2868</v>
      </c>
      <c r="S863" s="53">
        <v>47117</v>
      </c>
      <c r="T863" s="50"/>
      <c r="U863" s="50"/>
      <c r="V863" s="56"/>
      <c r="W863" s="56"/>
      <c r="X863" s="56"/>
      <c r="Y863" s="56"/>
      <c r="Z863" s="56"/>
      <c r="AA863" s="56"/>
      <c r="AB863" s="56"/>
    </row>
    <row x14ac:dyDescent="0.25" r="864" customHeight="1" ht="18.75">
      <c r="A864" s="56"/>
      <c r="B864" s="56"/>
      <c r="C864" s="50" t="s">
        <v>16</v>
      </c>
      <c r="D864" s="50"/>
      <c r="E864" s="50" t="s">
        <v>97</v>
      </c>
      <c r="F864" s="50" t="s">
        <v>2211</v>
      </c>
      <c r="G864" s="51">
        <v>30000000</v>
      </c>
      <c r="H864" s="51"/>
      <c r="I864" s="51"/>
      <c r="J864" s="87">
        <f>IF(G864&gt;0,_xludf.IFS(G864=10000000,1200000,G864=20000000,1800000,G864=30000000,2400000,G864=60000000,4000000),"")</f>
      </c>
      <c r="K864" s="51"/>
      <c r="L864" s="52">
        <v>46231</v>
      </c>
      <c r="M864" s="53">
        <f>IF(L864&gt;0,EDATE(L864,-2),"")</f>
        <v>25569.375</v>
      </c>
      <c r="N864" s="50" t="s">
        <v>302</v>
      </c>
      <c r="O864" s="50" t="s">
        <v>2212</v>
      </c>
      <c r="P864" s="54">
        <f>IF(F864&gt;0,F864,"")</f>
      </c>
      <c r="Q864" s="55">
        <v>5503321538310</v>
      </c>
      <c r="R864" s="55">
        <v>62511356</v>
      </c>
      <c r="S864" s="53">
        <f>IF(ISNUMBER(M864), EDATE(M864,36)-1, "")</f>
        <v>25569.375</v>
      </c>
      <c r="T864" s="50"/>
      <c r="U864" s="50"/>
      <c r="V864" s="56"/>
      <c r="W864" s="56"/>
      <c r="X864" s="56"/>
      <c r="Y864" s="56"/>
      <c r="Z864" s="56"/>
      <c r="AA864" s="56"/>
      <c r="AB864" s="56"/>
    </row>
    <row x14ac:dyDescent="0.25" r="865" customHeight="1" ht="18.75">
      <c r="A865" s="56"/>
      <c r="B865" s="56"/>
      <c r="C865" s="50" t="s">
        <v>16</v>
      </c>
      <c r="D865" s="50"/>
      <c r="E865" s="50"/>
      <c r="F865" s="50" t="s">
        <v>131</v>
      </c>
      <c r="G865" s="55">
        <v>30000000</v>
      </c>
      <c r="H865" s="55"/>
      <c r="I865" s="55"/>
      <c r="J865" s="51">
        <v>2400000</v>
      </c>
      <c r="K865" s="51"/>
      <c r="L865" s="52">
        <v>46034</v>
      </c>
      <c r="M865" s="53">
        <v>45973</v>
      </c>
      <c r="N865" s="50" t="s">
        <v>580</v>
      </c>
      <c r="O865" s="50" t="s">
        <v>2874</v>
      </c>
      <c r="P865" s="50" t="s">
        <v>131</v>
      </c>
      <c r="Q865" s="55" t="s">
        <v>2875</v>
      </c>
      <c r="R865" s="55" t="s">
        <v>2876</v>
      </c>
      <c r="S865" s="53">
        <v>47068</v>
      </c>
      <c r="T865" s="50"/>
      <c r="U865" s="50"/>
      <c r="V865" s="56"/>
      <c r="W865" s="56"/>
      <c r="X865" s="56"/>
      <c r="Y865" s="56"/>
      <c r="Z865" s="56"/>
      <c r="AA865" s="56"/>
      <c r="AB865" s="56"/>
    </row>
    <row x14ac:dyDescent="0.25" r="866" customHeight="1" ht="18.75">
      <c r="A866" s="56"/>
      <c r="B866" s="56"/>
      <c r="C866" s="50" t="s">
        <v>16</v>
      </c>
      <c r="D866" s="50" t="s">
        <v>153</v>
      </c>
      <c r="E866" s="50" t="s">
        <v>1044</v>
      </c>
      <c r="F866" s="50" t="s">
        <v>1441</v>
      </c>
      <c r="G866" s="51">
        <v>10000000</v>
      </c>
      <c r="H866" s="51"/>
      <c r="I866" s="51"/>
      <c r="J866" s="51">
        <v>400000</v>
      </c>
      <c r="K866" s="51"/>
      <c r="L866" s="52">
        <v>46232</v>
      </c>
      <c r="M866" s="53">
        <f>IF(L866&gt;0,EDATE(L866,-2),"")</f>
        <v>25569.375</v>
      </c>
      <c r="N866" s="50" t="s">
        <v>155</v>
      </c>
      <c r="O866" s="50" t="s">
        <v>1442</v>
      </c>
      <c r="P866" s="54">
        <f>IF(F866&gt;0,F866,"")</f>
      </c>
      <c r="Q866" s="55">
        <v>5601152155131</v>
      </c>
      <c r="R866" s="55">
        <v>72163678</v>
      </c>
      <c r="S866" s="53">
        <f>IF(ISNUMBER(M866), EDATE(M866,36)-1, "")</f>
        <v>25569.375</v>
      </c>
      <c r="T866" s="50"/>
      <c r="U866" s="50"/>
      <c r="V866" s="50"/>
      <c r="W866" s="56"/>
      <c r="X866" s="56"/>
      <c r="Y866" s="56"/>
      <c r="Z866" s="56"/>
      <c r="AA866" s="56"/>
      <c r="AB866" s="56"/>
    </row>
    <row x14ac:dyDescent="0.25" r="867" customHeight="1" ht="18.75">
      <c r="A867" s="56"/>
      <c r="B867" s="56"/>
      <c r="C867" s="50" t="s">
        <v>16</v>
      </c>
      <c r="D867" s="50"/>
      <c r="E867" s="50"/>
      <c r="F867" s="50" t="s">
        <v>2878</v>
      </c>
      <c r="G867" s="55">
        <v>20000000</v>
      </c>
      <c r="H867" s="55"/>
      <c r="I867" s="55"/>
      <c r="J867" s="51">
        <v>1528000</v>
      </c>
      <c r="K867" s="51"/>
      <c r="L867" s="52">
        <v>46016</v>
      </c>
      <c r="M867" s="53">
        <v>45955</v>
      </c>
      <c r="N867" s="50" t="s">
        <v>302</v>
      </c>
      <c r="O867" s="50" t="s">
        <v>2879</v>
      </c>
      <c r="P867" s="50" t="s">
        <v>2878</v>
      </c>
      <c r="Q867" s="55" t="s">
        <v>2880</v>
      </c>
      <c r="R867" s="55" t="s">
        <v>2881</v>
      </c>
      <c r="S867" s="53">
        <v>47050</v>
      </c>
      <c r="T867" s="50"/>
      <c r="U867" s="50"/>
      <c r="V867" s="56"/>
      <c r="W867" s="56"/>
      <c r="X867" s="56"/>
      <c r="Y867" s="56"/>
      <c r="Z867" s="56"/>
      <c r="AA867" s="56"/>
      <c r="AB867" s="56"/>
    </row>
    <row x14ac:dyDescent="0.25" r="868" customHeight="1" ht="18.75">
      <c r="A868" s="56"/>
      <c r="B868" s="56"/>
      <c r="C868" s="50" t="s">
        <v>16</v>
      </c>
      <c r="D868" s="50" t="s">
        <v>427</v>
      </c>
      <c r="E868" s="50" t="s">
        <v>1134</v>
      </c>
      <c r="F868" s="50" t="s">
        <v>1503</v>
      </c>
      <c r="G868" s="51">
        <v>30000000</v>
      </c>
      <c r="H868" s="51"/>
      <c r="I868" s="51"/>
      <c r="J868" s="87">
        <f>IF(G868&gt;0,_xludf.IFS(G868=10000000,1200000,G868=20000000,1800000,G868=30000000,2400000,G868=60000000,4000000),"")</f>
      </c>
      <c r="K868" s="51"/>
      <c r="L868" s="52">
        <v>46232</v>
      </c>
      <c r="M868" s="53">
        <f>IF(L868&gt;0,EDATE(L868,-2),"")</f>
        <v>25569.375</v>
      </c>
      <c r="N868" s="50" t="s">
        <v>699</v>
      </c>
      <c r="O868" s="50" t="s">
        <v>1504</v>
      </c>
      <c r="P868" s="54">
        <f>IF(F868&gt;0,F868,"")</f>
      </c>
      <c r="Q868" s="55">
        <v>6404152247812</v>
      </c>
      <c r="R868" s="55">
        <v>92146585</v>
      </c>
      <c r="S868" s="53">
        <f>IF(ISNUMBER(M868), EDATE(M868,36)-1, "")</f>
        <v>25569.375</v>
      </c>
      <c r="T868" s="50"/>
      <c r="U868" s="50"/>
      <c r="V868" s="56"/>
      <c r="W868" s="56"/>
      <c r="X868" s="56"/>
      <c r="Y868" s="56"/>
      <c r="Z868" s="56"/>
      <c r="AA868" s="56"/>
      <c r="AB868" s="56"/>
    </row>
    <row x14ac:dyDescent="0.25" r="869" customHeight="1" ht="18.75">
      <c r="A869" s="56"/>
      <c r="B869" s="56"/>
      <c r="C869" s="50" t="s">
        <v>16</v>
      </c>
      <c r="D869" s="50"/>
      <c r="E869" s="50"/>
      <c r="F869" s="50" t="s">
        <v>132</v>
      </c>
      <c r="G869" s="55">
        <v>10000000</v>
      </c>
      <c r="H869" s="55"/>
      <c r="I869" s="55"/>
      <c r="J869" s="51">
        <v>800000</v>
      </c>
      <c r="K869" s="51"/>
      <c r="L869" s="52">
        <v>45861</v>
      </c>
      <c r="M869" s="53">
        <v>45800</v>
      </c>
      <c r="N869" s="50" t="s">
        <v>306</v>
      </c>
      <c r="O869" s="50" t="s">
        <v>2887</v>
      </c>
      <c r="P869" s="50" t="s">
        <v>132</v>
      </c>
      <c r="Q869" s="55" t="s">
        <v>2888</v>
      </c>
      <c r="R869" s="55" t="s">
        <v>2889</v>
      </c>
      <c r="S869" s="53">
        <v>46895</v>
      </c>
      <c r="T869" s="50"/>
      <c r="U869" s="50"/>
      <c r="V869" s="56"/>
      <c r="W869" s="56"/>
      <c r="X869" s="56"/>
      <c r="Y869" s="56"/>
      <c r="Z869" s="56"/>
      <c r="AA869" s="56"/>
      <c r="AB869" s="56"/>
    </row>
    <row x14ac:dyDescent="0.25" r="870" customHeight="1" ht="18.75">
      <c r="A870" s="57" t="s">
        <v>708</v>
      </c>
      <c r="B870" s="57" t="s">
        <v>3224</v>
      </c>
      <c r="C870" s="58" t="s">
        <v>16</v>
      </c>
      <c r="D870" s="58" t="s">
        <v>690</v>
      </c>
      <c r="E870" s="58" t="s">
        <v>690</v>
      </c>
      <c r="F870" s="58" t="s">
        <v>691</v>
      </c>
      <c r="G870" s="61">
        <v>10000000</v>
      </c>
      <c r="H870" s="61">
        <v>10000000</v>
      </c>
      <c r="I870" s="60">
        <v>46174</v>
      </c>
      <c r="J870" s="61">
        <v>1200000</v>
      </c>
      <c r="K870" s="61">
        <v>1</v>
      </c>
      <c r="L870" s="86">
        <v>46235</v>
      </c>
      <c r="M870" s="60">
        <f>IF(L870&gt;0,EDATE(L870,-2),"")</f>
        <v>25569.375</v>
      </c>
      <c r="N870" s="58" t="s">
        <v>155</v>
      </c>
      <c r="O870" s="58" t="s">
        <v>692</v>
      </c>
      <c r="P870" s="78">
        <f>IF(F870&gt;0,F870,"")</f>
      </c>
      <c r="Q870" s="59">
        <v>7306142058011</v>
      </c>
      <c r="R870" s="59">
        <v>85366602</v>
      </c>
      <c r="S870" s="60">
        <f>IF(ISNUMBER(M870), EDATE(M870,36)-1, "")</f>
        <v>25569.375</v>
      </c>
      <c r="T870" s="58"/>
      <c r="U870" s="58"/>
      <c r="V870" s="57"/>
      <c r="W870" s="57"/>
      <c r="X870" s="57"/>
      <c r="Y870" s="57"/>
      <c r="Z870" s="57"/>
      <c r="AA870" s="57"/>
      <c r="AB870" s="57"/>
    </row>
    <row x14ac:dyDescent="0.25" r="871" customHeight="1" ht="18.75">
      <c r="A871" s="56"/>
      <c r="B871" s="56"/>
      <c r="C871" s="50" t="s">
        <v>16</v>
      </c>
      <c r="D871" s="50" t="s">
        <v>143</v>
      </c>
      <c r="E871" s="50" t="s">
        <v>14</v>
      </c>
      <c r="F871" s="50" t="s">
        <v>3349</v>
      </c>
      <c r="G871" s="51">
        <v>30000000</v>
      </c>
      <c r="H871" s="51"/>
      <c r="I871" s="51"/>
      <c r="J871" s="87">
        <f>IF(G871&gt;0,_xludf.IFS(G871=10000000,1200000,G871=20000000,1800000,G871=30000000,2400000,G871=60000000,4000000),"")</f>
      </c>
      <c r="K871" s="51"/>
      <c r="L871" s="52">
        <v>46235</v>
      </c>
      <c r="M871" s="53">
        <f>IF(L871&gt;0,EDATE(L871,-2),"")</f>
        <v>25569.375</v>
      </c>
      <c r="N871" s="50" t="s">
        <v>155</v>
      </c>
      <c r="O871" s="50" t="s">
        <v>3350</v>
      </c>
      <c r="P871" s="50" t="s">
        <v>3351</v>
      </c>
      <c r="Q871" s="55" t="s">
        <v>3352</v>
      </c>
      <c r="R871" s="55">
        <v>87725719</v>
      </c>
      <c r="S871" s="53">
        <f>IF(ISNUMBER(M871), EDATE(M871,36)-1, "")</f>
        <v>25569.375</v>
      </c>
      <c r="T871" s="50"/>
      <c r="U871" s="50"/>
      <c r="V871" s="48" t="s">
        <v>772</v>
      </c>
      <c r="W871" s="56"/>
      <c r="X871" s="56"/>
      <c r="Y871" s="56"/>
      <c r="Z871" s="56"/>
      <c r="AA871" s="56"/>
      <c r="AB871" s="56"/>
    </row>
    <row x14ac:dyDescent="0.25" r="872" customHeight="1" ht="18.75">
      <c r="A872" s="71"/>
      <c r="B872" s="71"/>
      <c r="C872" s="72" t="s">
        <v>16</v>
      </c>
      <c r="D872" s="72" t="s">
        <v>816</v>
      </c>
      <c r="E872" s="72" t="s">
        <v>114</v>
      </c>
      <c r="F872" s="72" t="s">
        <v>1160</v>
      </c>
      <c r="G872" s="73">
        <v>10000000</v>
      </c>
      <c r="H872" s="73"/>
      <c r="I872" s="73"/>
      <c r="J872" s="88"/>
      <c r="K872" s="88"/>
      <c r="L872" s="75">
        <v>46118</v>
      </c>
      <c r="M872" s="76">
        <v>46059</v>
      </c>
      <c r="N872" s="72" t="s">
        <v>940</v>
      </c>
      <c r="O872" s="72" t="s">
        <v>2896</v>
      </c>
      <c r="P872" s="72" t="s">
        <v>1160</v>
      </c>
      <c r="Q872" s="73" t="s">
        <v>2897</v>
      </c>
      <c r="R872" s="73" t="s">
        <v>2896</v>
      </c>
      <c r="S872" s="76">
        <v>47154</v>
      </c>
      <c r="T872" s="72"/>
      <c r="U872" s="72" t="s">
        <v>166</v>
      </c>
      <c r="V872" s="71"/>
      <c r="W872" s="56"/>
      <c r="X872" s="56"/>
      <c r="Y872" s="56"/>
      <c r="Z872" s="56"/>
      <c r="AA872" s="56"/>
      <c r="AB872" s="56"/>
    </row>
    <row x14ac:dyDescent="0.25" r="873" customHeight="1" ht="18.75">
      <c r="A873" s="56"/>
      <c r="B873" s="56"/>
      <c r="C873" s="50" t="s">
        <v>16</v>
      </c>
      <c r="D873" s="50" t="s">
        <v>88</v>
      </c>
      <c r="E873" s="50" t="s">
        <v>14</v>
      </c>
      <c r="F873" s="50" t="s">
        <v>996</v>
      </c>
      <c r="G873" s="51">
        <v>10000000</v>
      </c>
      <c r="H873" s="51"/>
      <c r="I873" s="51"/>
      <c r="J873" s="51">
        <v>400000</v>
      </c>
      <c r="K873" s="51"/>
      <c r="L873" s="52">
        <v>46235</v>
      </c>
      <c r="M873" s="53">
        <f>IF(L873&gt;0,EDATE(L873,-2),"")</f>
        <v>25569.375</v>
      </c>
      <c r="N873" s="50" t="s">
        <v>212</v>
      </c>
      <c r="O873" s="50" t="s">
        <v>1002</v>
      </c>
      <c r="P873" s="54">
        <f>IF(F873&gt;0,F873,"")</f>
      </c>
      <c r="Q873" s="55">
        <v>9008082011110</v>
      </c>
      <c r="R873" s="55">
        <v>34364407</v>
      </c>
      <c r="S873" s="53">
        <f>IF(ISNUMBER(M873), EDATE(M873,36)-1, "")</f>
        <v>25569.375</v>
      </c>
      <c r="T873" s="50"/>
      <c r="U873" s="50"/>
      <c r="V873" s="56"/>
      <c r="W873" s="56"/>
      <c r="X873" s="56"/>
      <c r="Y873" s="56"/>
      <c r="Z873" s="56"/>
      <c r="AA873" s="56"/>
      <c r="AB873" s="56"/>
    </row>
    <row x14ac:dyDescent="0.25" r="874" customHeight="1" ht="18.75">
      <c r="A874" s="56"/>
      <c r="B874" s="56"/>
      <c r="C874" s="50" t="s">
        <v>16</v>
      </c>
      <c r="D874" s="50"/>
      <c r="E874" s="50" t="s">
        <v>276</v>
      </c>
      <c r="F874" s="50" t="s">
        <v>2900</v>
      </c>
      <c r="G874" s="55">
        <v>10000000</v>
      </c>
      <c r="H874" s="55"/>
      <c r="I874" s="55"/>
      <c r="J874" s="51">
        <v>800000</v>
      </c>
      <c r="K874" s="51"/>
      <c r="L874" s="52">
        <v>46130</v>
      </c>
      <c r="M874" s="53">
        <v>46071</v>
      </c>
      <c r="N874" s="50" t="s">
        <v>306</v>
      </c>
      <c r="O874" s="50" t="s">
        <v>2901</v>
      </c>
      <c r="P874" s="50" t="s">
        <v>2900</v>
      </c>
      <c r="Q874" s="55" t="s">
        <v>2902</v>
      </c>
      <c r="R874" s="55" t="s">
        <v>2903</v>
      </c>
      <c r="S874" s="53">
        <v>47166</v>
      </c>
      <c r="T874" s="50"/>
      <c r="U874" s="50"/>
      <c r="V874" s="56"/>
      <c r="W874" s="56"/>
      <c r="X874" s="56"/>
      <c r="Y874" s="56"/>
      <c r="Z874" s="56"/>
      <c r="AA874" s="56"/>
      <c r="AB874" s="56"/>
    </row>
    <row x14ac:dyDescent="0.25" r="875" customHeight="1" ht="18.75">
      <c r="A875" s="56"/>
      <c r="B875" s="56"/>
      <c r="C875" s="50" t="s">
        <v>16</v>
      </c>
      <c r="D875" s="50"/>
      <c r="E875" s="50"/>
      <c r="F875" s="50" t="s">
        <v>2904</v>
      </c>
      <c r="G875" s="55">
        <v>10000000</v>
      </c>
      <c r="H875" s="55"/>
      <c r="I875" s="55"/>
      <c r="J875" s="51">
        <v>800000</v>
      </c>
      <c r="K875" s="51"/>
      <c r="L875" s="52">
        <v>45928</v>
      </c>
      <c r="M875" s="53">
        <v>45842</v>
      </c>
      <c r="N875" s="50" t="s">
        <v>168</v>
      </c>
      <c r="O875" s="50" t="s">
        <v>2905</v>
      </c>
      <c r="P875" s="50" t="s">
        <v>2904</v>
      </c>
      <c r="Q875" s="55" t="s">
        <v>2906</v>
      </c>
      <c r="R875" s="55" t="s">
        <v>2907</v>
      </c>
      <c r="S875" s="53">
        <v>46961</v>
      </c>
      <c r="T875" s="50"/>
      <c r="U875" s="50"/>
      <c r="V875" s="56"/>
      <c r="W875" s="56"/>
      <c r="X875" s="56"/>
      <c r="Y875" s="56"/>
      <c r="Z875" s="56"/>
      <c r="AA875" s="56"/>
      <c r="AB875" s="56"/>
    </row>
    <row x14ac:dyDescent="0.25" r="876" customHeight="1" ht="18.75">
      <c r="A876" s="56"/>
      <c r="B876" s="56"/>
      <c r="C876" s="50" t="s">
        <v>16</v>
      </c>
      <c r="D876" s="50" t="s">
        <v>143</v>
      </c>
      <c r="E876" s="50" t="s">
        <v>14</v>
      </c>
      <c r="F876" s="50" t="s">
        <v>1380</v>
      </c>
      <c r="G876" s="51">
        <v>30000000</v>
      </c>
      <c r="H876" s="51"/>
      <c r="I876" s="51"/>
      <c r="J876" s="87">
        <f>IF(G876&gt;0,_xludf.IFS(G876=10000000,1200000,G876=20000000,1800000,G876=30000000,2400000,G876=60000000,4000000),"")</f>
      </c>
      <c r="K876" s="51"/>
      <c r="L876" s="52">
        <v>46235</v>
      </c>
      <c r="M876" s="53">
        <f>IF(L876&gt;0,EDATE(L876,-2),"")</f>
        <v>25569.375</v>
      </c>
      <c r="N876" s="50" t="s">
        <v>155</v>
      </c>
      <c r="O876" s="50" t="s">
        <v>3353</v>
      </c>
      <c r="P876" s="50" t="s">
        <v>3351</v>
      </c>
      <c r="Q876" s="55" t="s">
        <v>3352</v>
      </c>
      <c r="R876" s="55">
        <v>96421118</v>
      </c>
      <c r="S876" s="53">
        <f>IF(ISNUMBER(M876), EDATE(M876,36)-1, "")</f>
        <v>25569.375</v>
      </c>
      <c r="T876" s="50"/>
      <c r="U876" s="50"/>
      <c r="V876" s="48" t="s">
        <v>772</v>
      </c>
      <c r="W876" s="56"/>
      <c r="X876" s="56"/>
      <c r="Y876" s="56"/>
      <c r="Z876" s="56"/>
      <c r="AA876" s="56"/>
      <c r="AB876" s="56"/>
    </row>
    <row x14ac:dyDescent="0.25" r="877" customHeight="1" ht="18.75">
      <c r="A877" s="48" t="s">
        <v>152</v>
      </c>
      <c r="B877" s="48"/>
      <c r="C877" s="50" t="s">
        <v>16</v>
      </c>
      <c r="D877" s="50" t="s">
        <v>67</v>
      </c>
      <c r="E877" s="50" t="s">
        <v>68</v>
      </c>
      <c r="F877" s="50" t="s">
        <v>2913</v>
      </c>
      <c r="G877" s="55">
        <v>60000000</v>
      </c>
      <c r="H877" s="55"/>
      <c r="I877" s="55"/>
      <c r="J877" s="51">
        <v>4800000</v>
      </c>
      <c r="K877" s="51"/>
      <c r="L877" s="52">
        <v>45928</v>
      </c>
      <c r="M877" s="53">
        <v>45848</v>
      </c>
      <c r="N877" s="50" t="s">
        <v>302</v>
      </c>
      <c r="O877" s="50" t="s">
        <v>2914</v>
      </c>
      <c r="P877" s="50" t="s">
        <v>2913</v>
      </c>
      <c r="Q877" s="55" t="s">
        <v>2915</v>
      </c>
      <c r="R877" s="85" t="s">
        <v>2009</v>
      </c>
      <c r="S877" s="53">
        <v>46961</v>
      </c>
      <c r="T877" s="50"/>
      <c r="U877" s="50"/>
      <c r="V877" s="56"/>
      <c r="W877" s="56"/>
      <c r="X877" s="56"/>
      <c r="Y877" s="56"/>
      <c r="Z877" s="56"/>
      <c r="AA877" s="56"/>
      <c r="AB877" s="56"/>
    </row>
    <row x14ac:dyDescent="0.25" r="878" customHeight="1" ht="18.75">
      <c r="A878" s="48" t="s">
        <v>152</v>
      </c>
      <c r="B878" s="48"/>
      <c r="C878" s="50" t="s">
        <v>16</v>
      </c>
      <c r="D878" s="50" t="s">
        <v>67</v>
      </c>
      <c r="E878" s="50" t="s">
        <v>68</v>
      </c>
      <c r="F878" s="50" t="s">
        <v>2913</v>
      </c>
      <c r="G878" s="55">
        <v>10000000</v>
      </c>
      <c r="H878" s="55"/>
      <c r="I878" s="55"/>
      <c r="J878" s="51">
        <v>500000</v>
      </c>
      <c r="K878" s="51"/>
      <c r="L878" s="52">
        <v>45992</v>
      </c>
      <c r="M878" s="53">
        <v>45931</v>
      </c>
      <c r="N878" s="50" t="s">
        <v>302</v>
      </c>
      <c r="O878" s="50" t="s">
        <v>2914</v>
      </c>
      <c r="P878" s="50" t="s">
        <v>2913</v>
      </c>
      <c r="Q878" s="55" t="s">
        <v>2915</v>
      </c>
      <c r="R878" s="85" t="s">
        <v>2009</v>
      </c>
      <c r="S878" s="53">
        <v>47026</v>
      </c>
      <c r="T878" s="50"/>
      <c r="U878" s="50"/>
      <c r="V878" s="56"/>
      <c r="W878" s="56"/>
      <c r="X878" s="56"/>
      <c r="Y878" s="56"/>
      <c r="Z878" s="56"/>
      <c r="AA878" s="56"/>
      <c r="AB878" s="56"/>
    </row>
    <row x14ac:dyDescent="0.25" r="879" customHeight="1" ht="18.75">
      <c r="A879" s="48" t="s">
        <v>152</v>
      </c>
      <c r="B879" s="48"/>
      <c r="C879" s="50" t="s">
        <v>16</v>
      </c>
      <c r="D879" s="50" t="s">
        <v>67</v>
      </c>
      <c r="E879" s="50" t="s">
        <v>68</v>
      </c>
      <c r="F879" s="50" t="s">
        <v>2913</v>
      </c>
      <c r="G879" s="55">
        <v>30000000</v>
      </c>
      <c r="H879" s="55"/>
      <c r="I879" s="55"/>
      <c r="J879" s="51">
        <v>2400000</v>
      </c>
      <c r="K879" s="51"/>
      <c r="L879" s="52">
        <v>46063</v>
      </c>
      <c r="M879" s="53">
        <v>46001</v>
      </c>
      <c r="N879" s="50" t="s">
        <v>302</v>
      </c>
      <c r="O879" s="50" t="s">
        <v>2914</v>
      </c>
      <c r="P879" s="50" t="s">
        <v>2913</v>
      </c>
      <c r="Q879" s="55" t="s">
        <v>2915</v>
      </c>
      <c r="R879" s="85" t="s">
        <v>2009</v>
      </c>
      <c r="S879" s="53">
        <v>47096</v>
      </c>
      <c r="T879" s="50"/>
      <c r="U879" s="50"/>
      <c r="V879" s="56"/>
      <c r="W879" s="56"/>
      <c r="X879" s="56"/>
      <c r="Y879" s="56"/>
      <c r="Z879" s="56"/>
      <c r="AA879" s="56"/>
      <c r="AB879" s="56"/>
    </row>
    <row x14ac:dyDescent="0.25" r="880" customHeight="1" ht="18.75">
      <c r="A880" s="56"/>
      <c r="B880" s="56"/>
      <c r="C880" s="50" t="s">
        <v>16</v>
      </c>
      <c r="D880" s="50" t="s">
        <v>129</v>
      </c>
      <c r="E880" s="50" t="s">
        <v>130</v>
      </c>
      <c r="F880" s="50" t="s">
        <v>131</v>
      </c>
      <c r="G880" s="51">
        <v>40000000</v>
      </c>
      <c r="H880" s="51"/>
      <c r="I880" s="51"/>
      <c r="J880" s="51">
        <v>2900000</v>
      </c>
      <c r="K880" s="51"/>
      <c r="L880" s="52">
        <v>46235</v>
      </c>
      <c r="M880" s="53">
        <f>IF(L880&gt;0,EDATE(L880,-2),"")</f>
        <v>25569.375</v>
      </c>
      <c r="N880" s="50" t="s">
        <v>155</v>
      </c>
      <c r="O880" s="50" t="s">
        <v>2877</v>
      </c>
      <c r="P880" s="54">
        <f>IF(F880&gt;0,F880,"")</f>
      </c>
      <c r="Q880" s="55">
        <v>7501181329414</v>
      </c>
      <c r="R880" s="55">
        <v>24379067</v>
      </c>
      <c r="S880" s="53">
        <f>IF(ISNUMBER(M880), EDATE(M880,36)-1, "")</f>
        <v>25569.375</v>
      </c>
      <c r="T880" s="50"/>
      <c r="U880" s="50"/>
      <c r="V880" s="56"/>
      <c r="W880" s="56"/>
      <c r="X880" s="56"/>
      <c r="Y880" s="56"/>
      <c r="Z880" s="56"/>
      <c r="AA880" s="56"/>
      <c r="AB880" s="56"/>
    </row>
    <row x14ac:dyDescent="0.25" r="881" customHeight="1" ht="18.75">
      <c r="A881" s="56"/>
      <c r="B881" s="56"/>
      <c r="C881" s="50" t="s">
        <v>16</v>
      </c>
      <c r="D881" s="50" t="s">
        <v>88</v>
      </c>
      <c r="E881" s="50" t="s">
        <v>14</v>
      </c>
      <c r="F881" s="50" t="s">
        <v>2935</v>
      </c>
      <c r="G881" s="51">
        <v>10000000</v>
      </c>
      <c r="H881" s="51"/>
      <c r="I881" s="51"/>
      <c r="J881" s="51">
        <v>400000</v>
      </c>
      <c r="K881" s="51"/>
      <c r="L881" s="52">
        <v>46235</v>
      </c>
      <c r="M881" s="53">
        <f>IF(L881&gt;0,EDATE(L881,-2),"")</f>
        <v>25569.375</v>
      </c>
      <c r="N881" s="50" t="s">
        <v>205</v>
      </c>
      <c r="O881" s="50" t="s">
        <v>2937</v>
      </c>
      <c r="P881" s="54">
        <f>IF(F881&gt;0,F881,"")</f>
      </c>
      <c r="Q881" s="55">
        <v>8702091152021</v>
      </c>
      <c r="R881" s="55">
        <v>8955833</v>
      </c>
      <c r="S881" s="53">
        <f>IF(ISNUMBER(M881), EDATE(M881,36)-1, "")</f>
        <v>25569.375</v>
      </c>
      <c r="T881" s="50"/>
      <c r="U881" s="50"/>
      <c r="V881" s="56"/>
      <c r="W881" s="56"/>
      <c r="X881" s="56"/>
      <c r="Y881" s="56"/>
      <c r="Z881" s="56"/>
      <c r="AA881" s="56"/>
      <c r="AB881" s="56"/>
    </row>
    <row x14ac:dyDescent="0.25" r="882" customHeight="1" ht="18.75">
      <c r="A882" s="56"/>
      <c r="B882" s="56"/>
      <c r="C882" s="50" t="s">
        <v>16</v>
      </c>
      <c r="D882" s="50"/>
      <c r="E882" s="50" t="s">
        <v>22</v>
      </c>
      <c r="F882" s="50" t="s">
        <v>2927</v>
      </c>
      <c r="G882" s="55">
        <v>40000000</v>
      </c>
      <c r="H882" s="55"/>
      <c r="I882" s="55"/>
      <c r="J882" s="51">
        <v>3056000</v>
      </c>
      <c r="K882" s="51"/>
      <c r="L882" s="52">
        <v>46162</v>
      </c>
      <c r="M882" s="53">
        <v>46101</v>
      </c>
      <c r="N882" s="50" t="s">
        <v>1688</v>
      </c>
      <c r="O882" s="50" t="s">
        <v>2928</v>
      </c>
      <c r="P882" s="50" t="s">
        <v>2927</v>
      </c>
      <c r="Q882" s="55" t="s">
        <v>2929</v>
      </c>
      <c r="R882" s="55" t="s">
        <v>2930</v>
      </c>
      <c r="S882" s="53">
        <v>47196</v>
      </c>
      <c r="T882" s="50" t="s">
        <v>2931</v>
      </c>
      <c r="U882" s="50" t="s">
        <v>166</v>
      </c>
      <c r="V882" s="56"/>
      <c r="W882" s="56"/>
      <c r="X882" s="56"/>
      <c r="Y882" s="56"/>
      <c r="Z882" s="56"/>
      <c r="AA882" s="56"/>
      <c r="AB882" s="56"/>
    </row>
    <row x14ac:dyDescent="0.25" r="883" customHeight="1" ht="18.75">
      <c r="A883" s="56"/>
      <c r="B883" s="56"/>
      <c r="C883" s="49" t="s">
        <v>16</v>
      </c>
      <c r="D883" s="50"/>
      <c r="E883" s="50" t="s">
        <v>1335</v>
      </c>
      <c r="F883" s="50" t="s">
        <v>2927</v>
      </c>
      <c r="G883" s="51">
        <v>40000000</v>
      </c>
      <c r="H883" s="51"/>
      <c r="I883" s="51"/>
      <c r="J883" s="51">
        <v>2528000</v>
      </c>
      <c r="K883" s="51"/>
      <c r="L883" s="52">
        <v>46162</v>
      </c>
      <c r="M883" s="53">
        <f>IF(L883&gt;0,EDATE(L883,-2),"")</f>
        <v>25569.375</v>
      </c>
      <c r="N883" s="50" t="s">
        <v>1688</v>
      </c>
      <c r="O883" s="50" t="s">
        <v>2928</v>
      </c>
      <c r="P883" s="54">
        <f>IF(F883&gt;0,F883,"")</f>
      </c>
      <c r="Q883" s="55">
        <v>6805052709423</v>
      </c>
      <c r="R883" s="55">
        <v>65035213</v>
      </c>
      <c r="S883" s="53">
        <f>IF(ISNUMBER(M883), EDATE(M883,36)-1, "")</f>
        <v>25569.375</v>
      </c>
      <c r="T883" s="50"/>
      <c r="U883" s="50"/>
      <c r="V883" s="56"/>
      <c r="W883" s="56"/>
      <c r="X883" s="56"/>
      <c r="Y883" s="56"/>
      <c r="Z883" s="56"/>
      <c r="AA883" s="56"/>
      <c r="AB883" s="56"/>
    </row>
    <row x14ac:dyDescent="0.25" r="884" customHeight="1" ht="18.75">
      <c r="A884" s="56"/>
      <c r="B884" s="56"/>
      <c r="C884" s="49" t="s">
        <v>16</v>
      </c>
      <c r="D884" s="50"/>
      <c r="E884" s="50"/>
      <c r="F884" s="50" t="s">
        <v>2932</v>
      </c>
      <c r="G884" s="51">
        <v>10000000</v>
      </c>
      <c r="H884" s="51"/>
      <c r="I884" s="51"/>
      <c r="J884" s="87">
        <f>IF(G884&gt;0,_xludf.IFS(G884=10000000,800000,G884=20000000,1528000,G884=30000000,2028000,G884=60000000,4056000),"")</f>
      </c>
      <c r="K884" s="51"/>
      <c r="L884" s="52">
        <v>46147</v>
      </c>
      <c r="M884" s="53">
        <f>IF(L884&gt;0,EDATE(L884,-2),"")</f>
        <v>25569.375</v>
      </c>
      <c r="N884" s="50" t="s">
        <v>155</v>
      </c>
      <c r="O884" s="50" t="s">
        <v>2933</v>
      </c>
      <c r="P884" s="54">
        <f>IF(F884&gt;0,F884,"")</f>
      </c>
      <c r="Q884" s="55" t="s">
        <v>2934</v>
      </c>
      <c r="R884" s="55">
        <v>96073140</v>
      </c>
      <c r="S884" s="53">
        <f>IF(ISNUMBER(M884), EDATE(M884,36)-1, "")</f>
        <v>25569.375</v>
      </c>
      <c r="T884" s="50"/>
      <c r="U884" s="50"/>
      <c r="V884" s="56"/>
      <c r="W884" s="56"/>
      <c r="X884" s="56"/>
      <c r="Y884" s="56"/>
      <c r="Z884" s="56"/>
      <c r="AA884" s="56"/>
      <c r="AB884" s="56"/>
    </row>
    <row x14ac:dyDescent="0.25" r="885" customHeight="1" ht="18.75">
      <c r="A885" s="56"/>
      <c r="B885" s="56"/>
      <c r="C885" s="50" t="s">
        <v>16</v>
      </c>
      <c r="D885" s="50" t="s">
        <v>877</v>
      </c>
      <c r="E885" s="50" t="s">
        <v>92</v>
      </c>
      <c r="F885" s="50" t="s">
        <v>869</v>
      </c>
      <c r="G885" s="51">
        <v>30000000</v>
      </c>
      <c r="H885" s="51"/>
      <c r="I885" s="51"/>
      <c r="J885" s="87">
        <f>IF(G885&gt;0,_xludf.IFS(G885=10000000,1200000,G885=20000000,1800000,G885=30000000,2400000,G885=60000000,4000000),"")</f>
      </c>
      <c r="K885" s="51"/>
      <c r="L885" s="52">
        <v>46239</v>
      </c>
      <c r="M885" s="53">
        <v>46175</v>
      </c>
      <c r="N885" s="50" t="s">
        <v>282</v>
      </c>
      <c r="O885" s="50" t="s">
        <v>878</v>
      </c>
      <c r="P885" s="54">
        <f>IF(F885&gt;0,F885,"")</f>
      </c>
      <c r="Q885" s="55">
        <v>7702232256019</v>
      </c>
      <c r="R885" s="55">
        <v>47805940</v>
      </c>
      <c r="S885" s="53">
        <f>IF(ISNUMBER(M885), EDATE(M885,36)-1, "")</f>
        <v>25569.375</v>
      </c>
      <c r="T885" s="50"/>
      <c r="U885" s="50"/>
      <c r="V885" s="56"/>
      <c r="W885" s="56"/>
      <c r="X885" s="56"/>
      <c r="Y885" s="56"/>
      <c r="Z885" s="56"/>
      <c r="AA885" s="56"/>
      <c r="AB885" s="56"/>
    </row>
    <row x14ac:dyDescent="0.25" r="886" customHeight="1" ht="18.75">
      <c r="A886" s="56"/>
      <c r="B886" s="56"/>
      <c r="C886" s="50" t="s">
        <v>16</v>
      </c>
      <c r="D886" s="50" t="s">
        <v>143</v>
      </c>
      <c r="E886" s="50" t="s">
        <v>14</v>
      </c>
      <c r="F886" s="50" t="s">
        <v>1347</v>
      </c>
      <c r="G886" s="55">
        <v>20000000</v>
      </c>
      <c r="H886" s="55"/>
      <c r="I886" s="55"/>
      <c r="J886" s="51">
        <v>1700000</v>
      </c>
      <c r="K886" s="51"/>
      <c r="L886" s="52">
        <v>46237</v>
      </c>
      <c r="M886" s="53">
        <v>46175</v>
      </c>
      <c r="N886" s="50" t="s">
        <v>155</v>
      </c>
      <c r="O886" s="50" t="s">
        <v>3280</v>
      </c>
      <c r="P886" s="50" t="s">
        <v>3281</v>
      </c>
      <c r="Q886" s="55" t="s">
        <v>3282</v>
      </c>
      <c r="R886" s="55" t="s">
        <v>1350</v>
      </c>
      <c r="S886" s="53">
        <v>47271</v>
      </c>
      <c r="T886" s="50"/>
      <c r="U886" s="50"/>
      <c r="V886" s="48" t="s">
        <v>772</v>
      </c>
      <c r="W886" s="56"/>
      <c r="X886" s="56"/>
      <c r="Y886" s="56"/>
      <c r="Z886" s="56"/>
      <c r="AA886" s="56"/>
      <c r="AB886" s="56"/>
    </row>
    <row x14ac:dyDescent="0.25" r="887" customHeight="1" ht="18.75">
      <c r="A887" s="56"/>
      <c r="B887" s="56"/>
      <c r="C887" s="50" t="s">
        <v>16</v>
      </c>
      <c r="D887" s="50"/>
      <c r="E887" s="50"/>
      <c r="F887" s="50" t="s">
        <v>2939</v>
      </c>
      <c r="G887" s="55">
        <v>10000000</v>
      </c>
      <c r="H887" s="55"/>
      <c r="I887" s="55"/>
      <c r="J887" s="51">
        <v>800000</v>
      </c>
      <c r="K887" s="51"/>
      <c r="L887" s="52">
        <v>46049</v>
      </c>
      <c r="M887" s="53">
        <v>45988</v>
      </c>
      <c r="N887" s="50" t="s">
        <v>988</v>
      </c>
      <c r="O887" s="50" t="s">
        <v>2940</v>
      </c>
      <c r="P887" s="50" t="s">
        <v>2939</v>
      </c>
      <c r="Q887" s="55" t="s">
        <v>2941</v>
      </c>
      <c r="R887" s="55" t="s">
        <v>2942</v>
      </c>
      <c r="S887" s="53">
        <v>47083</v>
      </c>
      <c r="T887" s="50"/>
      <c r="U887" s="50"/>
      <c r="V887" s="56"/>
      <c r="W887" s="56"/>
      <c r="X887" s="56"/>
      <c r="Y887" s="56"/>
      <c r="Z887" s="56"/>
      <c r="AA887" s="56"/>
      <c r="AB887" s="56"/>
    </row>
    <row x14ac:dyDescent="0.25" r="888" customHeight="1" ht="18.75">
      <c r="A888" s="56"/>
      <c r="B888" s="56"/>
      <c r="C888" s="50" t="s">
        <v>16</v>
      </c>
      <c r="D888" s="50"/>
      <c r="E888" s="50" t="s">
        <v>34</v>
      </c>
      <c r="F888" s="50" t="s">
        <v>133</v>
      </c>
      <c r="G888" s="55">
        <v>19000000</v>
      </c>
      <c r="H888" s="55"/>
      <c r="I888" s="55"/>
      <c r="J888" s="51">
        <v>2028000</v>
      </c>
      <c r="K888" s="51"/>
      <c r="L888" s="52">
        <v>46114</v>
      </c>
      <c r="M888" s="53">
        <v>46055</v>
      </c>
      <c r="N888" s="50" t="s">
        <v>570</v>
      </c>
      <c r="O888" s="50" t="s">
        <v>2943</v>
      </c>
      <c r="P888" s="50" t="s">
        <v>133</v>
      </c>
      <c r="Q888" s="55" t="s">
        <v>2944</v>
      </c>
      <c r="R888" s="55" t="s">
        <v>2945</v>
      </c>
      <c r="S888" s="53">
        <v>47150</v>
      </c>
      <c r="T888" s="50" t="s">
        <v>134</v>
      </c>
      <c r="U888" s="50" t="s">
        <v>166</v>
      </c>
      <c r="V888" s="56"/>
      <c r="W888" s="56"/>
      <c r="X888" s="56"/>
      <c r="Y888" s="56"/>
      <c r="Z888" s="56"/>
      <c r="AA888" s="56"/>
      <c r="AB888" s="56"/>
    </row>
    <row x14ac:dyDescent="0.25" r="889" customHeight="1" ht="18.75">
      <c r="A889" s="56"/>
      <c r="B889" s="56"/>
      <c r="C889" s="50" t="s">
        <v>16</v>
      </c>
      <c r="D889" s="50"/>
      <c r="E889" s="50"/>
      <c r="F889" s="50" t="s">
        <v>2946</v>
      </c>
      <c r="G889" s="55">
        <v>60000000</v>
      </c>
      <c r="H889" s="55"/>
      <c r="I889" s="55"/>
      <c r="J889" s="51">
        <v>4056000</v>
      </c>
      <c r="K889" s="51"/>
      <c r="L889" s="52">
        <v>46002</v>
      </c>
      <c r="M889" s="53">
        <v>45941</v>
      </c>
      <c r="N889" s="50" t="s">
        <v>306</v>
      </c>
      <c r="O889" s="50" t="s">
        <v>2947</v>
      </c>
      <c r="P889" s="50" t="s">
        <v>2946</v>
      </c>
      <c r="Q889" s="55" t="s">
        <v>2948</v>
      </c>
      <c r="R889" s="55" t="s">
        <v>2949</v>
      </c>
      <c r="S889" s="53">
        <v>47036</v>
      </c>
      <c r="T889" s="50"/>
      <c r="U889" s="50"/>
      <c r="V889" s="56"/>
      <c r="W889" s="56"/>
      <c r="X889" s="56"/>
      <c r="Y889" s="56"/>
      <c r="Z889" s="56"/>
      <c r="AA889" s="56"/>
      <c r="AB889" s="56"/>
    </row>
    <row x14ac:dyDescent="0.25" r="890" customHeight="1" ht="18.75">
      <c r="A890" s="56"/>
      <c r="B890" s="56"/>
      <c r="C890" s="50" t="s">
        <v>16</v>
      </c>
      <c r="D890" s="50" t="s">
        <v>454</v>
      </c>
      <c r="E890" s="50" t="s">
        <v>647</v>
      </c>
      <c r="F890" s="50" t="s">
        <v>2950</v>
      </c>
      <c r="G890" s="55">
        <v>30000000</v>
      </c>
      <c r="H890" s="55"/>
      <c r="I890" s="55"/>
      <c r="J890" s="51">
        <v>2400000</v>
      </c>
      <c r="K890" s="51"/>
      <c r="L890" s="52">
        <v>46151</v>
      </c>
      <c r="M890" s="53">
        <v>46090</v>
      </c>
      <c r="N890" s="50" t="s">
        <v>217</v>
      </c>
      <c r="O890" s="50" t="s">
        <v>2951</v>
      </c>
      <c r="P890" s="50" t="s">
        <v>2950</v>
      </c>
      <c r="Q890" s="55" t="s">
        <v>2952</v>
      </c>
      <c r="R890" s="55" t="s">
        <v>2953</v>
      </c>
      <c r="S890" s="53">
        <v>47185</v>
      </c>
      <c r="T890" s="50"/>
      <c r="U890" s="50"/>
      <c r="V890" s="48" t="s">
        <v>2954</v>
      </c>
      <c r="W890" s="56"/>
      <c r="X890" s="56"/>
      <c r="Y890" s="56"/>
      <c r="Z890" s="56"/>
      <c r="AA890" s="56"/>
      <c r="AB890" s="56"/>
    </row>
    <row x14ac:dyDescent="0.25" r="891" customHeight="1" ht="18.75">
      <c r="A891" s="48" t="s">
        <v>152</v>
      </c>
      <c r="B891" s="48"/>
      <c r="C891" s="49" t="s">
        <v>16</v>
      </c>
      <c r="D891" s="50" t="s">
        <v>55</v>
      </c>
      <c r="E891" s="50" t="s">
        <v>56</v>
      </c>
      <c r="F891" s="50" t="s">
        <v>2955</v>
      </c>
      <c r="G891" s="51">
        <v>10000000</v>
      </c>
      <c r="H891" s="51"/>
      <c r="I891" s="51"/>
      <c r="J891" s="51">
        <v>500000</v>
      </c>
      <c r="K891" s="51"/>
      <c r="L891" s="52">
        <v>46187</v>
      </c>
      <c r="M891" s="53">
        <v>46111</v>
      </c>
      <c r="N891" s="50" t="s">
        <v>261</v>
      </c>
      <c r="O891" s="50" t="s">
        <v>2956</v>
      </c>
      <c r="P891" s="54">
        <f>IF(F891&gt;0,F891,"")</f>
      </c>
      <c r="Q891" s="55" t="s">
        <v>2957</v>
      </c>
      <c r="R891" s="55">
        <v>46525769</v>
      </c>
      <c r="S891" s="53">
        <v>47217</v>
      </c>
      <c r="T891" s="50"/>
      <c r="U891" s="50"/>
      <c r="V891" s="48" t="s">
        <v>2958</v>
      </c>
      <c r="W891" s="56"/>
      <c r="X891" s="56"/>
      <c r="Y891" s="56"/>
      <c r="Z891" s="56"/>
      <c r="AA891" s="56"/>
      <c r="AB891" s="56"/>
    </row>
    <row x14ac:dyDescent="0.25" r="892" customHeight="1" ht="18.75">
      <c r="A892" s="56"/>
      <c r="B892" s="56"/>
      <c r="C892" s="50" t="s">
        <v>16</v>
      </c>
      <c r="D892" s="50"/>
      <c r="E892" s="50"/>
      <c r="F892" s="50" t="s">
        <v>2959</v>
      </c>
      <c r="G892" s="55">
        <v>20000000</v>
      </c>
      <c r="H892" s="55"/>
      <c r="I892" s="55"/>
      <c r="J892" s="51">
        <v>1528000</v>
      </c>
      <c r="K892" s="51"/>
      <c r="L892" s="52">
        <v>46016</v>
      </c>
      <c r="M892" s="53">
        <v>45955</v>
      </c>
      <c r="N892" s="50" t="s">
        <v>155</v>
      </c>
      <c r="O892" s="50" t="s">
        <v>2960</v>
      </c>
      <c r="P892" s="50" t="s">
        <v>2959</v>
      </c>
      <c r="Q892" s="55" t="s">
        <v>2961</v>
      </c>
      <c r="R892" s="55" t="s">
        <v>2962</v>
      </c>
      <c r="S892" s="53">
        <v>47050</v>
      </c>
      <c r="T892" s="50"/>
      <c r="U892" s="50"/>
      <c r="V892" s="56"/>
      <c r="W892" s="56"/>
      <c r="X892" s="56"/>
      <c r="Y892" s="56"/>
      <c r="Z892" s="56"/>
      <c r="AA892" s="56"/>
      <c r="AB892" s="56"/>
    </row>
    <row x14ac:dyDescent="0.25" r="893" customHeight="1" ht="18.75">
      <c r="A893" s="71"/>
      <c r="B893" s="71"/>
      <c r="C893" s="72" t="s">
        <v>16</v>
      </c>
      <c r="D893" s="72"/>
      <c r="E893" s="72"/>
      <c r="F893" s="72" t="s">
        <v>2963</v>
      </c>
      <c r="G893" s="73">
        <v>10000000</v>
      </c>
      <c r="H893" s="73"/>
      <c r="I893" s="73"/>
      <c r="J893" s="74"/>
      <c r="K893" s="74"/>
      <c r="L893" s="75">
        <v>45725</v>
      </c>
      <c r="M893" s="76">
        <v>45666</v>
      </c>
      <c r="N893" s="72" t="s">
        <v>168</v>
      </c>
      <c r="O893" s="72" t="s">
        <v>1308</v>
      </c>
      <c r="P893" s="72" t="s">
        <v>1305</v>
      </c>
      <c r="Q893" s="73" t="s">
        <v>2964</v>
      </c>
      <c r="R893" s="73" t="s">
        <v>2965</v>
      </c>
      <c r="S893" s="76">
        <v>46760</v>
      </c>
      <c r="T893" s="72"/>
      <c r="U893" s="72"/>
      <c r="V893" s="71"/>
      <c r="W893" s="56"/>
      <c r="X893" s="56"/>
      <c r="Y893" s="56"/>
      <c r="Z893" s="56"/>
      <c r="AA893" s="56"/>
      <c r="AB893" s="56"/>
    </row>
    <row x14ac:dyDescent="0.25" r="894" customHeight="1" ht="18.75">
      <c r="A894" s="71"/>
      <c r="B894" s="71"/>
      <c r="C894" s="72" t="s">
        <v>16</v>
      </c>
      <c r="D894" s="72"/>
      <c r="E894" s="72"/>
      <c r="F894" s="72" t="s">
        <v>2963</v>
      </c>
      <c r="G894" s="73">
        <v>10000000</v>
      </c>
      <c r="H894" s="73"/>
      <c r="I894" s="73"/>
      <c r="J894" s="88"/>
      <c r="K894" s="88"/>
      <c r="L894" s="75">
        <v>46090</v>
      </c>
      <c r="M894" s="76">
        <v>46031</v>
      </c>
      <c r="N894" s="72" t="s">
        <v>282</v>
      </c>
      <c r="O894" s="72" t="s">
        <v>1308</v>
      </c>
      <c r="P894" s="72" t="s">
        <v>1305</v>
      </c>
      <c r="Q894" s="73" t="s">
        <v>2964</v>
      </c>
      <c r="R894" s="73" t="s">
        <v>2965</v>
      </c>
      <c r="S894" s="76">
        <v>47126</v>
      </c>
      <c r="T894" s="72"/>
      <c r="U894" s="72" t="s">
        <v>2966</v>
      </c>
      <c r="V894" s="71"/>
      <c r="W894" s="56"/>
      <c r="X894" s="56"/>
      <c r="Y894" s="56"/>
      <c r="Z894" s="56"/>
      <c r="AA894" s="56"/>
      <c r="AB894" s="56"/>
    </row>
    <row x14ac:dyDescent="0.25" r="895" customHeight="1" ht="18.75">
      <c r="A895" s="56"/>
      <c r="B895" s="56"/>
      <c r="C895" s="50" t="s">
        <v>16</v>
      </c>
      <c r="D895" s="50" t="s">
        <v>454</v>
      </c>
      <c r="E895" s="50"/>
      <c r="F895" s="50" t="s">
        <v>2967</v>
      </c>
      <c r="G895" s="55">
        <v>10000000</v>
      </c>
      <c r="H895" s="55"/>
      <c r="I895" s="55"/>
      <c r="J895" s="51">
        <v>500000</v>
      </c>
      <c r="K895" s="51"/>
      <c r="L895" s="52">
        <v>46154</v>
      </c>
      <c r="M895" s="53">
        <v>46093</v>
      </c>
      <c r="N895" s="50" t="s">
        <v>239</v>
      </c>
      <c r="O895" s="50" t="s">
        <v>3354</v>
      </c>
      <c r="P895" s="50" t="s">
        <v>2967</v>
      </c>
      <c r="Q895" s="55" t="s">
        <v>3355</v>
      </c>
      <c r="R895" s="55" t="s">
        <v>3356</v>
      </c>
      <c r="S895" s="53">
        <v>47188</v>
      </c>
      <c r="T895" s="50"/>
      <c r="U895" s="50"/>
      <c r="V895" s="56"/>
      <c r="W895" s="56"/>
      <c r="X895" s="56"/>
      <c r="Y895" s="56"/>
      <c r="Z895" s="56"/>
      <c r="AA895" s="56"/>
      <c r="AB895" s="56"/>
    </row>
    <row x14ac:dyDescent="0.25" r="896" customHeight="1" ht="18.75">
      <c r="A896" s="56"/>
      <c r="B896" s="56"/>
      <c r="C896" s="50" t="s">
        <v>16</v>
      </c>
      <c r="D896" s="50" t="s">
        <v>153</v>
      </c>
      <c r="E896" s="50" t="s">
        <v>30</v>
      </c>
      <c r="F896" s="50" t="s">
        <v>1654</v>
      </c>
      <c r="G896" s="51">
        <v>10000000</v>
      </c>
      <c r="H896" s="51"/>
      <c r="I896" s="51"/>
      <c r="J896" s="87">
        <f>IF(G896&gt;0,_xludf.IFS(G896=10000000,1200000,G896=20000000,1800000,G896=30000000,2400000,G896=60000000,4000000),"")</f>
      </c>
      <c r="K896" s="51"/>
      <c r="L896" s="52">
        <v>46236</v>
      </c>
      <c r="M896" s="53">
        <f>IF(L896&gt;0,EDATE(L896,-2),"")</f>
        <v>25569.375</v>
      </c>
      <c r="N896" s="50" t="s">
        <v>155</v>
      </c>
      <c r="O896" s="50" t="s">
        <v>1655</v>
      </c>
      <c r="P896" s="54">
        <f>IF(F896&gt;0,F896,"")</f>
      </c>
      <c r="Q896" s="55">
        <v>6806212408511</v>
      </c>
      <c r="R896" s="55">
        <v>25913302</v>
      </c>
      <c r="S896" s="53">
        <f>IF(ISNUMBER(M896), EDATE(M896,36)-1, "")</f>
        <v>25569.375</v>
      </c>
      <c r="T896" s="50"/>
      <c r="U896" s="50"/>
      <c r="V896" s="56"/>
      <c r="W896" s="56"/>
      <c r="X896" s="56"/>
      <c r="Y896" s="56"/>
      <c r="Z896" s="56"/>
      <c r="AA896" s="56"/>
      <c r="AB896" s="56"/>
    </row>
    <row x14ac:dyDescent="0.25" r="897" customHeight="1" ht="18.75">
      <c r="A897" s="63"/>
      <c r="B897" s="63"/>
      <c r="C897" s="49" t="s">
        <v>16</v>
      </c>
      <c r="D897" s="49" t="s">
        <v>454</v>
      </c>
      <c r="E897" s="49" t="s">
        <v>574</v>
      </c>
      <c r="F897" s="49" t="s">
        <v>2967</v>
      </c>
      <c r="G897" s="64">
        <v>10000000</v>
      </c>
      <c r="H897" s="64"/>
      <c r="I897" s="64"/>
      <c r="J897" s="64">
        <v>500000</v>
      </c>
      <c r="K897" s="64"/>
      <c r="L897" s="66">
        <v>46154</v>
      </c>
      <c r="M897" s="67">
        <f>IF(L897&gt;0,EDATE(L897,-2),"")</f>
        <v>25569.375</v>
      </c>
      <c r="N897" s="49" t="s">
        <v>217</v>
      </c>
      <c r="O897" s="49" t="s">
        <v>2968</v>
      </c>
      <c r="P897" s="68">
        <f>IF(F897&gt;0,F897,"")</f>
      </c>
      <c r="Q897" s="69" t="s">
        <v>2969</v>
      </c>
      <c r="R897" s="69">
        <v>95358226</v>
      </c>
      <c r="S897" s="67">
        <f>IF(ISNUMBER(M897), EDATE(M897,36)-1, "")</f>
        <v>25569.375</v>
      </c>
      <c r="T897" s="49"/>
      <c r="U897" s="49"/>
      <c r="V897" s="63"/>
      <c r="W897" s="56"/>
      <c r="X897" s="56"/>
      <c r="Y897" s="56"/>
      <c r="Z897" s="56"/>
      <c r="AA897" s="56"/>
      <c r="AB897" s="56"/>
    </row>
    <row x14ac:dyDescent="0.25" r="898" customHeight="1" ht="18.75">
      <c r="A898" s="56"/>
      <c r="B898" s="56"/>
      <c r="C898" s="50" t="s">
        <v>16</v>
      </c>
      <c r="D898" s="50"/>
      <c r="E898" s="50"/>
      <c r="F898" s="50" t="s">
        <v>2971</v>
      </c>
      <c r="G898" s="55">
        <v>10000000</v>
      </c>
      <c r="H898" s="55"/>
      <c r="I898" s="55"/>
      <c r="J898" s="51">
        <v>800000</v>
      </c>
      <c r="K898" s="51"/>
      <c r="L898" s="52">
        <v>46072</v>
      </c>
      <c r="M898" s="53">
        <v>46010</v>
      </c>
      <c r="N898" s="50" t="s">
        <v>217</v>
      </c>
      <c r="O898" s="50" t="s">
        <v>2972</v>
      </c>
      <c r="P898" s="50" t="s">
        <v>2971</v>
      </c>
      <c r="Q898" s="55" t="s">
        <v>2973</v>
      </c>
      <c r="R898" s="55" t="s">
        <v>2974</v>
      </c>
      <c r="S898" s="53">
        <v>47105</v>
      </c>
      <c r="T898" s="50"/>
      <c r="U898" s="50"/>
      <c r="V898" s="56"/>
      <c r="W898" s="56"/>
      <c r="X898" s="56"/>
      <c r="Y898" s="56"/>
      <c r="Z898" s="56"/>
      <c r="AA898" s="56"/>
      <c r="AB898" s="56"/>
    </row>
    <row x14ac:dyDescent="0.25" r="899" customHeight="1" ht="18.75">
      <c r="A899" s="56"/>
      <c r="B899" s="56"/>
      <c r="C899" s="50" t="s">
        <v>16</v>
      </c>
      <c r="D899" s="50"/>
      <c r="E899" s="50"/>
      <c r="F899" s="50" t="s">
        <v>2975</v>
      </c>
      <c r="G899" s="55">
        <v>60000000</v>
      </c>
      <c r="H899" s="55"/>
      <c r="I899" s="55"/>
      <c r="J899" s="51">
        <v>4800000</v>
      </c>
      <c r="K899" s="51"/>
      <c r="L899" s="52">
        <v>45969</v>
      </c>
      <c r="M899" s="53">
        <v>45848</v>
      </c>
      <c r="N899" s="50" t="s">
        <v>155</v>
      </c>
      <c r="O899" s="50" t="s">
        <v>997</v>
      </c>
      <c r="P899" s="50" t="s">
        <v>2975</v>
      </c>
      <c r="Q899" s="55" t="s">
        <v>2976</v>
      </c>
      <c r="R899" s="55" t="s">
        <v>3357</v>
      </c>
      <c r="S899" s="53">
        <v>46943</v>
      </c>
      <c r="T899" s="50"/>
      <c r="U899" s="50"/>
      <c r="V899" s="56"/>
      <c r="W899" s="56"/>
      <c r="X899" s="56"/>
      <c r="Y899" s="56"/>
      <c r="Z899" s="56"/>
      <c r="AA899" s="56"/>
      <c r="AB899" s="56"/>
    </row>
    <row x14ac:dyDescent="0.25" r="900" customHeight="1" ht="18.75">
      <c r="A900" s="56"/>
      <c r="B900" s="56"/>
      <c r="C900" s="49" t="s">
        <v>16</v>
      </c>
      <c r="D900" s="50"/>
      <c r="E900" s="50"/>
      <c r="F900" s="50" t="s">
        <v>2975</v>
      </c>
      <c r="G900" s="51">
        <v>60000000</v>
      </c>
      <c r="H900" s="51"/>
      <c r="I900" s="51"/>
      <c r="J900" s="51">
        <v>4800000</v>
      </c>
      <c r="K900" s="51"/>
      <c r="L900" s="52">
        <v>45969</v>
      </c>
      <c r="M900" s="53">
        <v>45908</v>
      </c>
      <c r="N900" s="50" t="s">
        <v>155</v>
      </c>
      <c r="O900" s="50" t="s">
        <v>997</v>
      </c>
      <c r="P900" s="54">
        <f>IF(F900&gt;0,F900,"")</f>
      </c>
      <c r="Q900" s="55" t="s">
        <v>2976</v>
      </c>
      <c r="R900" s="55">
        <v>30035830</v>
      </c>
      <c r="S900" s="53">
        <v>47003</v>
      </c>
      <c r="T900" s="50"/>
      <c r="U900" s="50"/>
      <c r="V900" s="56"/>
      <c r="W900" s="56"/>
      <c r="X900" s="56"/>
      <c r="Y900" s="56"/>
      <c r="Z900" s="56"/>
      <c r="AA900" s="56"/>
      <c r="AB900" s="56"/>
    </row>
    <row x14ac:dyDescent="0.25" r="901" customHeight="1" ht="18.75">
      <c r="A901" s="48" t="s">
        <v>3232</v>
      </c>
      <c r="B901" s="48"/>
      <c r="C901" s="50" t="s">
        <v>16</v>
      </c>
      <c r="D901" s="50"/>
      <c r="E901" s="50"/>
      <c r="F901" s="50" t="s">
        <v>2977</v>
      </c>
      <c r="G901" s="55">
        <v>10000000</v>
      </c>
      <c r="H901" s="55"/>
      <c r="I901" s="55"/>
      <c r="J901" s="51">
        <v>800000</v>
      </c>
      <c r="K901" s="51"/>
      <c r="L901" s="52">
        <v>46173</v>
      </c>
      <c r="M901" s="53">
        <v>46112</v>
      </c>
      <c r="N901" s="50" t="s">
        <v>217</v>
      </c>
      <c r="O901" s="50" t="s">
        <v>2978</v>
      </c>
      <c r="P901" s="50" t="s">
        <v>2977</v>
      </c>
      <c r="Q901" s="55" t="s">
        <v>2979</v>
      </c>
      <c r="R901" s="55" t="s">
        <v>2980</v>
      </c>
      <c r="S901" s="53">
        <v>47207</v>
      </c>
      <c r="T901" s="50"/>
      <c r="U901" s="50" t="s">
        <v>166</v>
      </c>
      <c r="V901" s="56"/>
      <c r="W901" s="56"/>
      <c r="X901" s="56"/>
      <c r="Y901" s="56"/>
      <c r="Z901" s="56"/>
      <c r="AA901" s="56"/>
      <c r="AB901" s="56"/>
    </row>
    <row x14ac:dyDescent="0.25" r="902" customHeight="1" ht="18.75">
      <c r="A902" s="56"/>
      <c r="B902" s="56"/>
      <c r="C902" s="50" t="s">
        <v>16</v>
      </c>
      <c r="D902" s="50" t="s">
        <v>816</v>
      </c>
      <c r="E902" s="50" t="s">
        <v>114</v>
      </c>
      <c r="F902" s="50" t="s">
        <v>3358</v>
      </c>
      <c r="G902" s="51">
        <v>10000000</v>
      </c>
      <c r="H902" s="51"/>
      <c r="I902" s="51"/>
      <c r="J902" s="51">
        <v>400000</v>
      </c>
      <c r="K902" s="51"/>
      <c r="L902" s="52">
        <v>46236</v>
      </c>
      <c r="M902" s="53">
        <f>IF(L902&gt;0,EDATE(L902,-2),"")</f>
        <v>25569.375</v>
      </c>
      <c r="N902" s="50" t="s">
        <v>302</v>
      </c>
      <c r="O902" s="50" t="s">
        <v>3359</v>
      </c>
      <c r="P902" s="54">
        <f>IF(F902&gt;0,F902,"")</f>
      </c>
      <c r="Q902" s="55">
        <v>6906801037811</v>
      </c>
      <c r="R902" s="55">
        <v>92357697</v>
      </c>
      <c r="S902" s="53">
        <f>IF(ISNUMBER(M902), EDATE(M902,36)-1, "")</f>
        <v>25569.375</v>
      </c>
      <c r="T902" s="50"/>
      <c r="U902" s="50"/>
      <c r="V902" s="56"/>
      <c r="W902" s="56"/>
      <c r="X902" s="56"/>
      <c r="Y902" s="56"/>
      <c r="Z902" s="56"/>
      <c r="AA902" s="56"/>
      <c r="AB902" s="56"/>
    </row>
    <row x14ac:dyDescent="0.25" r="903" customHeight="1" ht="18.75">
      <c r="A903" s="56"/>
      <c r="B903" s="56"/>
      <c r="C903" s="50" t="s">
        <v>16</v>
      </c>
      <c r="D903" s="50" t="s">
        <v>143</v>
      </c>
      <c r="E903" s="50" t="s">
        <v>14</v>
      </c>
      <c r="F903" s="50" t="s">
        <v>3360</v>
      </c>
      <c r="G903" s="51">
        <v>30000000</v>
      </c>
      <c r="H903" s="51"/>
      <c r="I903" s="51"/>
      <c r="J903" s="87">
        <f>IF(G903&gt;0,_xludf.IFS(G903=10000000,1200000,G903=20000000,1800000,G903=30000000,2400000,G903=60000000,4000000),"")</f>
      </c>
      <c r="K903" s="51"/>
      <c r="L903" s="52">
        <v>46237</v>
      </c>
      <c r="M903" s="53">
        <f>IF(L903&gt;0,EDATE(L903,-2),"")</f>
        <v>25569.375</v>
      </c>
      <c r="N903" s="50" t="s">
        <v>155</v>
      </c>
      <c r="O903" s="50" t="s">
        <v>3280</v>
      </c>
      <c r="P903" s="50" t="s">
        <v>3281</v>
      </c>
      <c r="Q903" s="55" t="s">
        <v>3282</v>
      </c>
      <c r="R903" s="55">
        <v>26049345</v>
      </c>
      <c r="S903" s="53">
        <f>IF(ISNUMBER(M903), EDATE(M903,36)-1, "")</f>
        <v>25569.375</v>
      </c>
      <c r="T903" s="50"/>
      <c r="U903" s="50"/>
      <c r="V903" s="48" t="s">
        <v>772</v>
      </c>
      <c r="W903" s="56"/>
      <c r="X903" s="56"/>
      <c r="Y903" s="56"/>
      <c r="Z903" s="56"/>
      <c r="AA903" s="56"/>
      <c r="AB903" s="56"/>
    </row>
    <row x14ac:dyDescent="0.25" r="904" customHeight="1" ht="18.75">
      <c r="A904" s="89" t="s">
        <v>3232</v>
      </c>
      <c r="B904" s="89"/>
      <c r="C904" s="90" t="s">
        <v>16</v>
      </c>
      <c r="D904" s="90"/>
      <c r="E904" s="90"/>
      <c r="F904" s="90" t="s">
        <v>2986</v>
      </c>
      <c r="G904" s="91">
        <v>30000000</v>
      </c>
      <c r="H904" s="91"/>
      <c r="I904" s="91"/>
      <c r="J904" s="92">
        <v>2028000</v>
      </c>
      <c r="K904" s="92"/>
      <c r="L904" s="97">
        <v>46172</v>
      </c>
      <c r="M904" s="98">
        <v>46111</v>
      </c>
      <c r="N904" s="90" t="s">
        <v>161</v>
      </c>
      <c r="O904" s="90" t="s">
        <v>2987</v>
      </c>
      <c r="P904" s="90" t="s">
        <v>2986</v>
      </c>
      <c r="Q904" s="91" t="s">
        <v>2988</v>
      </c>
      <c r="R904" s="91" t="s">
        <v>2989</v>
      </c>
      <c r="S904" s="98">
        <v>47206</v>
      </c>
      <c r="T904" s="90"/>
      <c r="U904" s="90" t="s">
        <v>166</v>
      </c>
      <c r="V904" s="89"/>
      <c r="W904" s="56"/>
      <c r="X904" s="56"/>
      <c r="Y904" s="56"/>
      <c r="Z904" s="56"/>
      <c r="AA904" s="56"/>
      <c r="AB904" s="56"/>
    </row>
    <row x14ac:dyDescent="0.25" r="905" customHeight="1" ht="18.75">
      <c r="A905" s="56"/>
      <c r="B905" s="56"/>
      <c r="C905" s="50" t="s">
        <v>16</v>
      </c>
      <c r="D905" s="50" t="s">
        <v>143</v>
      </c>
      <c r="E905" s="50" t="s">
        <v>3190</v>
      </c>
      <c r="F905" s="50" t="s">
        <v>3361</v>
      </c>
      <c r="G905" s="51">
        <v>10000000</v>
      </c>
      <c r="H905" s="51"/>
      <c r="I905" s="51"/>
      <c r="J905" s="87">
        <f>IF(G905&gt;0,_xludf.IFS(G905=10000000,1200000,G905=20000000,1800000,G905=30000000,2400000,G905=60000000,4000000),"")</f>
      </c>
      <c r="K905" s="51"/>
      <c r="L905" s="52">
        <v>46238</v>
      </c>
      <c r="M905" s="53">
        <f>IF(L905&gt;0,EDATE(L905,-2),"")</f>
        <v>25569.375</v>
      </c>
      <c r="N905" s="50" t="s">
        <v>155</v>
      </c>
      <c r="O905" s="50" t="s">
        <v>3362</v>
      </c>
      <c r="P905" s="54">
        <f>IF(F905&gt;0,F905,"")</f>
      </c>
      <c r="Q905" s="55">
        <v>5708152622123</v>
      </c>
      <c r="R905" s="55">
        <v>32701815</v>
      </c>
      <c r="S905" s="53">
        <f>IF(ISNUMBER(M905), EDATE(M905,36)-1, "")</f>
        <v>25569.375</v>
      </c>
      <c r="T905" s="50"/>
      <c r="U905" s="50"/>
      <c r="V905" s="48" t="s">
        <v>772</v>
      </c>
      <c r="W905" s="56"/>
      <c r="X905" s="56"/>
      <c r="Y905" s="56"/>
      <c r="Z905" s="56"/>
      <c r="AA905" s="56"/>
      <c r="AB905" s="56"/>
    </row>
    <row x14ac:dyDescent="0.25" r="906" customHeight="1" ht="18.75">
      <c r="A906" s="56"/>
      <c r="B906" s="56"/>
      <c r="C906" s="50" t="s">
        <v>16</v>
      </c>
      <c r="D906" s="50"/>
      <c r="E906" s="50"/>
      <c r="F906" s="50" t="s">
        <v>1121</v>
      </c>
      <c r="G906" s="55">
        <v>10000000</v>
      </c>
      <c r="H906" s="55"/>
      <c r="I906" s="55"/>
      <c r="J906" s="51">
        <v>800000</v>
      </c>
      <c r="K906" s="51"/>
      <c r="L906" s="52">
        <v>45981</v>
      </c>
      <c r="M906" s="53">
        <v>45920</v>
      </c>
      <c r="N906" s="50" t="s">
        <v>212</v>
      </c>
      <c r="O906" s="50" t="s">
        <v>2993</v>
      </c>
      <c r="P906" s="50" t="s">
        <v>1121</v>
      </c>
      <c r="Q906" s="55" t="s">
        <v>2994</v>
      </c>
      <c r="R906" s="55" t="s">
        <v>2995</v>
      </c>
      <c r="S906" s="53">
        <v>47015</v>
      </c>
      <c r="T906" s="50"/>
      <c r="U906" s="50"/>
      <c r="V906" s="56"/>
      <c r="W906" s="56"/>
      <c r="X906" s="56"/>
      <c r="Y906" s="56"/>
      <c r="Z906" s="56"/>
      <c r="AA906" s="56"/>
      <c r="AB906" s="56"/>
    </row>
    <row x14ac:dyDescent="0.25" r="907" customHeight="1" ht="18.75">
      <c r="A907" s="56"/>
      <c r="B907" s="56"/>
      <c r="C907" s="50" t="s">
        <v>16</v>
      </c>
      <c r="D907" s="50" t="s">
        <v>410</v>
      </c>
      <c r="E907" s="50" t="s">
        <v>411</v>
      </c>
      <c r="F907" s="50" t="s">
        <v>1795</v>
      </c>
      <c r="G907" s="55">
        <v>10000000</v>
      </c>
      <c r="H907" s="55"/>
      <c r="I907" s="55"/>
      <c r="J907" s="51">
        <v>1200000</v>
      </c>
      <c r="K907" s="51"/>
      <c r="L907" s="52">
        <v>46239</v>
      </c>
      <c r="M907" s="53">
        <v>46177</v>
      </c>
      <c r="N907" s="50" t="s">
        <v>168</v>
      </c>
      <c r="O907" s="50" t="s">
        <v>1796</v>
      </c>
      <c r="P907" s="50" t="s">
        <v>1795</v>
      </c>
      <c r="Q907" s="55" t="s">
        <v>1797</v>
      </c>
      <c r="R907" s="55" t="s">
        <v>1798</v>
      </c>
      <c r="S907" s="53">
        <v>46943</v>
      </c>
      <c r="T907" s="50"/>
      <c r="U907" s="50"/>
      <c r="V907" s="56" t="s">
        <v>3363</v>
      </c>
      <c r="W907" s="56"/>
      <c r="X907" s="56"/>
      <c r="Y907" s="56"/>
      <c r="Z907" s="56"/>
      <c r="AA907" s="56"/>
      <c r="AB907" s="56"/>
    </row>
    <row x14ac:dyDescent="0.25" r="908" customHeight="1" ht="18.75">
      <c r="A908" s="63"/>
      <c r="B908" s="63"/>
      <c r="C908" s="49" t="s">
        <v>16</v>
      </c>
      <c r="D908" s="49" t="s">
        <v>88</v>
      </c>
      <c r="E908" s="49" t="s">
        <v>14</v>
      </c>
      <c r="F908" s="49" t="s">
        <v>3001</v>
      </c>
      <c r="G908" s="64">
        <v>30000000</v>
      </c>
      <c r="H908" s="64"/>
      <c r="I908" s="64"/>
      <c r="J908" s="64">
        <v>3200000</v>
      </c>
      <c r="K908" s="64"/>
      <c r="L908" s="66">
        <v>46205</v>
      </c>
      <c r="M908" s="67">
        <v>45686</v>
      </c>
      <c r="N908" s="49" t="s">
        <v>212</v>
      </c>
      <c r="O908" s="49" t="s">
        <v>3002</v>
      </c>
      <c r="P908" s="68">
        <f>IF(F908&gt;0,F908,"")</f>
      </c>
      <c r="Q908" s="69" t="s">
        <v>3003</v>
      </c>
      <c r="R908" s="69">
        <v>73945830</v>
      </c>
      <c r="S908" s="67">
        <v>47147</v>
      </c>
      <c r="T908" s="49"/>
      <c r="U908" s="49"/>
      <c r="V908" s="63" t="s">
        <v>3004</v>
      </c>
      <c r="W908" s="56"/>
      <c r="X908" s="56"/>
      <c r="Y908" s="56"/>
      <c r="Z908" s="56"/>
      <c r="AA908" s="56"/>
      <c r="AB908" s="56"/>
    </row>
    <row x14ac:dyDescent="0.25" r="909" customHeight="1" ht="18.75">
      <c r="A909" s="56"/>
      <c r="B909" s="56"/>
      <c r="C909" s="50" t="s">
        <v>16</v>
      </c>
      <c r="D909" s="50"/>
      <c r="E909" s="50"/>
      <c r="F909" s="50" t="s">
        <v>135</v>
      </c>
      <c r="G909" s="55">
        <v>10000000</v>
      </c>
      <c r="H909" s="55"/>
      <c r="I909" s="55"/>
      <c r="J909" s="51">
        <v>2400000</v>
      </c>
      <c r="K909" s="51"/>
      <c r="L909" s="52">
        <v>46110</v>
      </c>
      <c r="M909" s="53">
        <v>46051</v>
      </c>
      <c r="N909" s="50" t="s">
        <v>261</v>
      </c>
      <c r="O909" s="50" t="s">
        <v>3005</v>
      </c>
      <c r="P909" s="50" t="s">
        <v>135</v>
      </c>
      <c r="Q909" s="55" t="s">
        <v>3003</v>
      </c>
      <c r="R909" s="55" t="s">
        <v>3006</v>
      </c>
      <c r="S909" s="53">
        <v>47146</v>
      </c>
      <c r="T909" s="50"/>
      <c r="U909" s="50" t="s">
        <v>3007</v>
      </c>
      <c r="V909" s="56"/>
      <c r="W909" s="56"/>
      <c r="X909" s="56"/>
      <c r="Y909" s="56"/>
      <c r="Z909" s="56"/>
      <c r="AA909" s="56"/>
      <c r="AB909" s="56"/>
    </row>
    <row x14ac:dyDescent="0.25" r="910" customHeight="1" ht="18.75">
      <c r="A910" s="56"/>
      <c r="B910" s="56"/>
      <c r="C910" s="50" t="s">
        <v>16</v>
      </c>
      <c r="D910" s="50" t="s">
        <v>143</v>
      </c>
      <c r="E910" s="50" t="s">
        <v>22</v>
      </c>
      <c r="F910" s="50" t="s">
        <v>3008</v>
      </c>
      <c r="G910" s="55">
        <v>10000000</v>
      </c>
      <c r="H910" s="55"/>
      <c r="I910" s="55"/>
      <c r="J910" s="51">
        <v>800000</v>
      </c>
      <c r="K910" s="51"/>
      <c r="L910" s="52">
        <v>46166</v>
      </c>
      <c r="M910" s="53">
        <v>46105</v>
      </c>
      <c r="N910" s="50" t="s">
        <v>205</v>
      </c>
      <c r="O910" s="50" t="s">
        <v>3009</v>
      </c>
      <c r="P910" s="50" t="s">
        <v>3008</v>
      </c>
      <c r="Q910" s="55" t="s">
        <v>3010</v>
      </c>
      <c r="R910" s="55" t="s">
        <v>3011</v>
      </c>
      <c r="S910" s="53">
        <v>47200</v>
      </c>
      <c r="T910" s="50" t="s">
        <v>3012</v>
      </c>
      <c r="U910" s="50" t="s">
        <v>166</v>
      </c>
      <c r="V910" s="56"/>
      <c r="W910" s="56"/>
      <c r="X910" s="56"/>
      <c r="Y910" s="56"/>
      <c r="Z910" s="56"/>
      <c r="AA910" s="56"/>
      <c r="AB910" s="56"/>
    </row>
    <row x14ac:dyDescent="0.25" r="911" customHeight="1" ht="18.75">
      <c r="A911" s="56"/>
      <c r="B911" s="56"/>
      <c r="C911" s="50" t="s">
        <v>16</v>
      </c>
      <c r="D911" s="50"/>
      <c r="E911" s="50"/>
      <c r="F911" s="50" t="s">
        <v>3013</v>
      </c>
      <c r="G911" s="55">
        <v>10000000</v>
      </c>
      <c r="H911" s="55"/>
      <c r="I911" s="55"/>
      <c r="J911" s="51">
        <v>800000</v>
      </c>
      <c r="K911" s="51"/>
      <c r="L911" s="52">
        <v>46072</v>
      </c>
      <c r="M911" s="53">
        <v>46010</v>
      </c>
      <c r="N911" s="50" t="s">
        <v>217</v>
      </c>
      <c r="O911" s="50" t="s">
        <v>3014</v>
      </c>
      <c r="P911" s="50" t="s">
        <v>3013</v>
      </c>
      <c r="Q911" s="55" t="s">
        <v>3015</v>
      </c>
      <c r="R911" s="55" t="s">
        <v>3016</v>
      </c>
      <c r="S911" s="53">
        <v>47105</v>
      </c>
      <c r="T911" s="50"/>
      <c r="U911" s="50"/>
      <c r="V911" s="56"/>
      <c r="W911" s="56"/>
      <c r="X911" s="56"/>
      <c r="Y911" s="56"/>
      <c r="Z911" s="56"/>
      <c r="AA911" s="56"/>
      <c r="AB911" s="56"/>
    </row>
    <row x14ac:dyDescent="0.25" r="912" customHeight="1" ht="18.75">
      <c r="A912" s="56"/>
      <c r="B912" s="56"/>
      <c r="C912" s="50" t="s">
        <v>16</v>
      </c>
      <c r="D912" s="50"/>
      <c r="E912" s="50"/>
      <c r="F912" s="50" t="s">
        <v>136</v>
      </c>
      <c r="G912" s="55">
        <v>30000000</v>
      </c>
      <c r="H912" s="55"/>
      <c r="I912" s="55"/>
      <c r="J912" s="51">
        <v>2028000</v>
      </c>
      <c r="K912" s="51"/>
      <c r="L912" s="52">
        <v>46042</v>
      </c>
      <c r="M912" s="53">
        <v>45981</v>
      </c>
      <c r="N912" s="50" t="s">
        <v>239</v>
      </c>
      <c r="O912" s="50" t="s">
        <v>3017</v>
      </c>
      <c r="P912" s="50" t="s">
        <v>136</v>
      </c>
      <c r="Q912" s="55" t="s">
        <v>3018</v>
      </c>
      <c r="R912" s="55" t="s">
        <v>3019</v>
      </c>
      <c r="S912" s="53">
        <v>47076</v>
      </c>
      <c r="T912" s="50"/>
      <c r="U912" s="50"/>
      <c r="V912" s="56"/>
      <c r="W912" s="56"/>
      <c r="X912" s="56"/>
      <c r="Y912" s="56"/>
      <c r="Z912" s="56"/>
      <c r="AA912" s="56"/>
      <c r="AB912" s="56"/>
    </row>
    <row x14ac:dyDescent="0.25" r="913" customHeight="1" ht="18.75">
      <c r="A913" s="56"/>
      <c r="B913" s="56"/>
      <c r="C913" s="49" t="s">
        <v>16</v>
      </c>
      <c r="D913" s="50"/>
      <c r="E913" s="50"/>
      <c r="F913" s="50" t="s">
        <v>3020</v>
      </c>
      <c r="G913" s="51">
        <v>30000000</v>
      </c>
      <c r="H913" s="51"/>
      <c r="I913" s="51"/>
      <c r="J913" s="87">
        <f>IF(G913&gt;0,_xludf.IFS(G913=10000000,800000,G913=20000000,1528000,G913=30000000,2028000,G913=60000000,4056000),"")</f>
      </c>
      <c r="K913" s="51"/>
      <c r="L913" s="52">
        <v>46042</v>
      </c>
      <c r="M913" s="53">
        <f>IF(L913&gt;0,EDATE(L913,-2),"")</f>
        <v>25569.375</v>
      </c>
      <c r="N913" s="50" t="s">
        <v>239</v>
      </c>
      <c r="O913" s="50" t="s">
        <v>3017</v>
      </c>
      <c r="P913" s="54">
        <f>IF(F913&gt;0,F913,"")</f>
      </c>
      <c r="Q913" s="55" t="s">
        <v>3018</v>
      </c>
      <c r="R913" s="55">
        <v>50671034</v>
      </c>
      <c r="S913" s="53">
        <f>IF(ISNUMBER(M913), EDATE(M913,36)-1, "")</f>
        <v>25569.375</v>
      </c>
      <c r="T913" s="50"/>
      <c r="U913" s="50"/>
      <c r="V913" s="56"/>
      <c r="W913" s="56"/>
      <c r="X913" s="56"/>
      <c r="Y913" s="56"/>
      <c r="Z913" s="56"/>
      <c r="AA913" s="56"/>
      <c r="AB913" s="56"/>
    </row>
    <row x14ac:dyDescent="0.25" r="914" customHeight="1" ht="18.75">
      <c r="A914" s="56"/>
      <c r="B914" s="56"/>
      <c r="C914" s="50" t="s">
        <v>16</v>
      </c>
      <c r="D914" s="50" t="s">
        <v>143</v>
      </c>
      <c r="E914" s="50" t="s">
        <v>14</v>
      </c>
      <c r="F914" s="50" t="s">
        <v>3364</v>
      </c>
      <c r="G914" s="51">
        <v>10000000</v>
      </c>
      <c r="H914" s="51"/>
      <c r="I914" s="51"/>
      <c r="J914" s="87">
        <f>IF(G914&gt;0,_xludf.IFS(G914=10000000,1200000,G914=20000000,1800000,G914=30000000,2400000,G914=60000000,4000000),"")</f>
      </c>
      <c r="K914" s="51"/>
      <c r="L914" s="52">
        <v>46238</v>
      </c>
      <c r="M914" s="53">
        <f>IF(L914&gt;0,EDATE(L914,-2),"")</f>
        <v>25569.375</v>
      </c>
      <c r="N914" s="50" t="s">
        <v>379</v>
      </c>
      <c r="O914" s="50" t="s">
        <v>3365</v>
      </c>
      <c r="P914" s="54">
        <f>IF(F914&gt;0,F914,"")</f>
      </c>
      <c r="Q914" s="55">
        <v>5805151894218</v>
      </c>
      <c r="R914" s="55">
        <v>4255397</v>
      </c>
      <c r="S914" s="53">
        <f>IF(ISNUMBER(M914), EDATE(M914,36)-1, "")</f>
        <v>25569.375</v>
      </c>
      <c r="T914" s="50"/>
      <c r="U914" s="50"/>
      <c r="V914" s="48" t="s">
        <v>772</v>
      </c>
      <c r="W914" s="56"/>
      <c r="X914" s="56"/>
      <c r="Y914" s="56"/>
      <c r="Z914" s="56"/>
      <c r="AA914" s="56"/>
      <c r="AB914" s="56"/>
    </row>
    <row x14ac:dyDescent="0.25" r="915" customHeight="1" ht="18.75">
      <c r="A915" s="56"/>
      <c r="B915" s="56"/>
      <c r="C915" s="50" t="s">
        <v>16</v>
      </c>
      <c r="D915" s="50" t="s">
        <v>419</v>
      </c>
      <c r="E915" s="50" t="s">
        <v>1978</v>
      </c>
      <c r="F915" s="50" t="s">
        <v>2188</v>
      </c>
      <c r="G915" s="51">
        <v>10000000</v>
      </c>
      <c r="H915" s="51"/>
      <c r="I915" s="51"/>
      <c r="J915" s="87">
        <f>IF(G915&gt;0,_xludf.IFS(G915=10000000,1200000,G915=20000000,1800000,G915=30000000,2400000,G915=60000000,4000000),"")</f>
      </c>
      <c r="K915" s="51"/>
      <c r="L915" s="52">
        <v>46238</v>
      </c>
      <c r="M915" s="53">
        <f>IF(L915&gt;0,EDATE(L915,-2),"")</f>
        <v>25569.375</v>
      </c>
      <c r="N915" s="50" t="s">
        <v>168</v>
      </c>
      <c r="O915" s="50" t="s">
        <v>2189</v>
      </c>
      <c r="P915" s="54">
        <f>IF(F915&gt;0,F915,"")</f>
      </c>
      <c r="Q915" s="55">
        <v>6505272472114</v>
      </c>
      <c r="R915" s="55">
        <v>43340019</v>
      </c>
      <c r="S915" s="53">
        <f>IF(ISNUMBER(M915), EDATE(M915,36)-1, "")</f>
        <v>25569.375</v>
      </c>
      <c r="T915" s="50"/>
      <c r="U915" s="50"/>
      <c r="V915" s="56"/>
      <c r="W915" s="56"/>
      <c r="X915" s="56"/>
      <c r="Y915" s="56"/>
      <c r="Z915" s="56"/>
      <c r="AA915" s="56"/>
      <c r="AB915" s="56"/>
    </row>
    <row x14ac:dyDescent="0.25" r="916" customHeight="1" ht="18.75">
      <c r="A916" s="71"/>
      <c r="B916" s="71"/>
      <c r="C916" s="72" t="s">
        <v>16</v>
      </c>
      <c r="D916" s="72"/>
      <c r="E916" s="72"/>
      <c r="F916" s="72" t="s">
        <v>137</v>
      </c>
      <c r="G916" s="99">
        <v>5000000</v>
      </c>
      <c r="H916" s="99"/>
      <c r="I916" s="99"/>
      <c r="J916" s="74">
        <v>800000</v>
      </c>
      <c r="K916" s="74"/>
      <c r="L916" s="75">
        <v>46114</v>
      </c>
      <c r="M916" s="76">
        <v>46055</v>
      </c>
      <c r="N916" s="72" t="s">
        <v>161</v>
      </c>
      <c r="O916" s="72" t="s">
        <v>1055</v>
      </c>
      <c r="P916" s="72" t="s">
        <v>137</v>
      </c>
      <c r="Q916" s="73" t="s">
        <v>3026</v>
      </c>
      <c r="R916" s="73" t="s">
        <v>3027</v>
      </c>
      <c r="S916" s="76">
        <v>47150</v>
      </c>
      <c r="T916" s="72"/>
      <c r="U916" s="72" t="s">
        <v>166</v>
      </c>
      <c r="V916" s="71" t="s">
        <v>138</v>
      </c>
      <c r="W916" s="56"/>
      <c r="X916" s="56"/>
      <c r="Y916" s="56"/>
      <c r="Z916" s="56"/>
      <c r="AA916" s="56"/>
      <c r="AB916" s="56"/>
    </row>
    <row x14ac:dyDescent="0.25" r="917" customHeight="1" ht="18.75">
      <c r="A917" s="56"/>
      <c r="B917" s="56"/>
      <c r="C917" s="50" t="s">
        <v>16</v>
      </c>
      <c r="D917" s="50"/>
      <c r="E917" s="50" t="s">
        <v>22</v>
      </c>
      <c r="F917" s="50" t="s">
        <v>3028</v>
      </c>
      <c r="G917" s="55">
        <v>10000000</v>
      </c>
      <c r="H917" s="55"/>
      <c r="I917" s="55"/>
      <c r="J917" s="51">
        <v>800000</v>
      </c>
      <c r="K917" s="51"/>
      <c r="L917" s="52">
        <v>46165</v>
      </c>
      <c r="M917" s="53">
        <v>46104</v>
      </c>
      <c r="N917" s="50" t="s">
        <v>161</v>
      </c>
      <c r="O917" s="50" t="s">
        <v>3029</v>
      </c>
      <c r="P917" s="50" t="s">
        <v>3028</v>
      </c>
      <c r="Q917" s="55" t="s">
        <v>3030</v>
      </c>
      <c r="R917" s="55" t="s">
        <v>3031</v>
      </c>
      <c r="S917" s="53">
        <v>47199</v>
      </c>
      <c r="T917" s="50" t="s">
        <v>3032</v>
      </c>
      <c r="U917" s="50" t="s">
        <v>179</v>
      </c>
      <c r="V917" s="56"/>
      <c r="W917" s="56"/>
      <c r="X917" s="56"/>
      <c r="Y917" s="56"/>
      <c r="Z917" s="56"/>
      <c r="AA917" s="56"/>
      <c r="AB917" s="56"/>
    </row>
    <row x14ac:dyDescent="0.25" r="918" customHeight="1" ht="18.75">
      <c r="A918" s="56"/>
      <c r="B918" s="56"/>
      <c r="C918" s="50" t="s">
        <v>16</v>
      </c>
      <c r="D918" s="50"/>
      <c r="E918" s="50"/>
      <c r="F918" s="50" t="s">
        <v>3033</v>
      </c>
      <c r="G918" s="55">
        <v>30000000</v>
      </c>
      <c r="H918" s="55"/>
      <c r="I918" s="55"/>
      <c r="J918" s="51">
        <v>2400000</v>
      </c>
      <c r="K918" s="51"/>
      <c r="L918" s="52">
        <v>45910</v>
      </c>
      <c r="M918" s="53">
        <v>45863</v>
      </c>
      <c r="N918" s="50" t="s">
        <v>212</v>
      </c>
      <c r="O918" s="50" t="s">
        <v>3034</v>
      </c>
      <c r="P918" s="50" t="s">
        <v>3033</v>
      </c>
      <c r="Q918" s="55" t="s">
        <v>3035</v>
      </c>
      <c r="R918" s="55" t="s">
        <v>3036</v>
      </c>
      <c r="S918" s="53">
        <v>46943</v>
      </c>
      <c r="T918" s="50"/>
      <c r="U918" s="50"/>
      <c r="V918" s="56"/>
      <c r="W918" s="56"/>
      <c r="X918" s="56"/>
      <c r="Y918" s="56"/>
      <c r="Z918" s="56"/>
      <c r="AA918" s="56"/>
      <c r="AB918" s="56"/>
    </row>
    <row x14ac:dyDescent="0.25" r="919" customHeight="1" ht="18.75">
      <c r="A919" s="56"/>
      <c r="B919" s="56"/>
      <c r="C919" s="50" t="s">
        <v>16</v>
      </c>
      <c r="D919" s="50"/>
      <c r="E919" s="50"/>
      <c r="F919" s="50" t="s">
        <v>3037</v>
      </c>
      <c r="G919" s="55">
        <v>30000000</v>
      </c>
      <c r="H919" s="55"/>
      <c r="I919" s="55"/>
      <c r="J919" s="51">
        <v>2028000</v>
      </c>
      <c r="K919" s="51"/>
      <c r="L919" s="52">
        <v>45949</v>
      </c>
      <c r="M919" s="53">
        <v>45887</v>
      </c>
      <c r="N919" s="50"/>
      <c r="O919" s="50" t="s">
        <v>3038</v>
      </c>
      <c r="P919" s="50" t="s">
        <v>3037</v>
      </c>
      <c r="Q919" s="55" t="s">
        <v>3039</v>
      </c>
      <c r="R919" s="55" t="s">
        <v>3040</v>
      </c>
      <c r="S919" s="53">
        <v>46982</v>
      </c>
      <c r="T919" s="50"/>
      <c r="U919" s="50"/>
      <c r="V919" s="56"/>
      <c r="W919" s="56"/>
      <c r="X919" s="56"/>
      <c r="Y919" s="56"/>
      <c r="Z919" s="56"/>
      <c r="AA919" s="56"/>
      <c r="AB919" s="56"/>
    </row>
    <row x14ac:dyDescent="0.25" r="920" customHeight="1" ht="18.75">
      <c r="A920" s="56"/>
      <c r="B920" s="56"/>
      <c r="C920" s="50" t="s">
        <v>16</v>
      </c>
      <c r="D920" s="50"/>
      <c r="E920" s="50"/>
      <c r="F920" s="50" t="s">
        <v>3041</v>
      </c>
      <c r="G920" s="55">
        <v>10000000</v>
      </c>
      <c r="H920" s="55"/>
      <c r="I920" s="55"/>
      <c r="J920" s="51">
        <v>800000</v>
      </c>
      <c r="K920" s="51"/>
      <c r="L920" s="52">
        <v>46159</v>
      </c>
      <c r="M920" s="53">
        <v>46098</v>
      </c>
      <c r="N920" s="50" t="s">
        <v>217</v>
      </c>
      <c r="O920" s="50" t="s">
        <v>3042</v>
      </c>
      <c r="P920" s="50" t="s">
        <v>3041</v>
      </c>
      <c r="Q920" s="55" t="s">
        <v>3043</v>
      </c>
      <c r="R920" s="55" t="s">
        <v>3044</v>
      </c>
      <c r="S920" s="53">
        <v>47193</v>
      </c>
      <c r="T920" s="50" t="s">
        <v>3045</v>
      </c>
      <c r="U920" s="50"/>
      <c r="V920" s="56"/>
      <c r="W920" s="56"/>
      <c r="X920" s="56"/>
      <c r="Y920" s="56"/>
      <c r="Z920" s="56"/>
      <c r="AA920" s="56"/>
      <c r="AB920" s="56"/>
    </row>
    <row x14ac:dyDescent="0.25" r="921" customHeight="1" ht="18.75">
      <c r="A921" s="56"/>
      <c r="B921" s="56"/>
      <c r="C921" s="50" t="s">
        <v>16</v>
      </c>
      <c r="D921" s="50"/>
      <c r="E921" s="50"/>
      <c r="F921" s="50" t="s">
        <v>726</v>
      </c>
      <c r="G921" s="55">
        <v>10000000</v>
      </c>
      <c r="H921" s="55"/>
      <c r="I921" s="55"/>
      <c r="J921" s="51">
        <v>800000</v>
      </c>
      <c r="K921" s="51"/>
      <c r="L921" s="52">
        <v>46050</v>
      </c>
      <c r="M921" s="53">
        <v>45989</v>
      </c>
      <c r="N921" s="50" t="s">
        <v>239</v>
      </c>
      <c r="O921" s="50" t="s">
        <v>3046</v>
      </c>
      <c r="P921" s="50" t="s">
        <v>726</v>
      </c>
      <c r="Q921" s="55" t="s">
        <v>3047</v>
      </c>
      <c r="R921" s="55" t="s">
        <v>3048</v>
      </c>
      <c r="S921" s="53">
        <v>47084</v>
      </c>
      <c r="T921" s="50"/>
      <c r="U921" s="50"/>
      <c r="V921" s="56"/>
      <c r="W921" s="56"/>
      <c r="X921" s="56"/>
      <c r="Y921" s="56"/>
      <c r="Z921" s="56"/>
      <c r="AA921" s="56"/>
      <c r="AB921" s="56"/>
    </row>
    <row x14ac:dyDescent="0.25" r="922" customHeight="1" ht="18.75">
      <c r="A922" s="56"/>
      <c r="B922" s="56"/>
      <c r="C922" s="50" t="s">
        <v>16</v>
      </c>
      <c r="D922" s="50" t="s">
        <v>55</v>
      </c>
      <c r="E922" s="50" t="s">
        <v>56</v>
      </c>
      <c r="F922" s="50" t="s">
        <v>726</v>
      </c>
      <c r="G922" s="55">
        <v>10000000</v>
      </c>
      <c r="H922" s="55"/>
      <c r="I922" s="55"/>
      <c r="J922" s="51">
        <v>800000</v>
      </c>
      <c r="K922" s="51"/>
      <c r="L922" s="52">
        <v>46167</v>
      </c>
      <c r="M922" s="53">
        <v>46106</v>
      </c>
      <c r="N922" s="50" t="s">
        <v>239</v>
      </c>
      <c r="O922" s="50" t="s">
        <v>3049</v>
      </c>
      <c r="P922" s="50" t="s">
        <v>726</v>
      </c>
      <c r="Q922" s="55" t="s">
        <v>3047</v>
      </c>
      <c r="R922" s="55" t="s">
        <v>3048</v>
      </c>
      <c r="S922" s="53">
        <v>47201</v>
      </c>
      <c r="T922" s="50" t="s">
        <v>3050</v>
      </c>
      <c r="U922" s="50" t="s">
        <v>166</v>
      </c>
      <c r="V922" s="56"/>
      <c r="W922" s="56"/>
      <c r="X922" s="56"/>
      <c r="Y922" s="56"/>
      <c r="Z922" s="56"/>
      <c r="AA922" s="56"/>
      <c r="AB922" s="56"/>
    </row>
    <row x14ac:dyDescent="0.25" r="923" customHeight="1" ht="18.75">
      <c r="A923" s="56"/>
      <c r="B923" s="56"/>
      <c r="C923" s="50" t="s">
        <v>16</v>
      </c>
      <c r="D923" s="50" t="s">
        <v>419</v>
      </c>
      <c r="E923" s="50" t="s">
        <v>1978</v>
      </c>
      <c r="F923" s="50" t="s">
        <v>2188</v>
      </c>
      <c r="G923" s="51">
        <v>10000000</v>
      </c>
      <c r="H923" s="51"/>
      <c r="I923" s="51"/>
      <c r="J923" s="87">
        <f>IF(G923&gt;0,_xludf.IFS(G923=10000000,1200000,G923=20000000,1800000,G923=30000000,2400000,G923=60000000,4000000),"")</f>
      </c>
      <c r="K923" s="51"/>
      <c r="L923" s="52">
        <v>46238</v>
      </c>
      <c r="M923" s="53">
        <f>IF(L923&gt;0,EDATE(L923,-2),"")</f>
        <v>25569.375</v>
      </c>
      <c r="N923" s="50" t="s">
        <v>168</v>
      </c>
      <c r="O923" s="50" t="s">
        <v>2189</v>
      </c>
      <c r="P923" s="54">
        <f>IF(F923&gt;0,F923,"")</f>
      </c>
      <c r="Q923" s="55">
        <v>6505272472114</v>
      </c>
      <c r="R923" s="55">
        <v>43340019</v>
      </c>
      <c r="S923" s="53">
        <f>IF(ISNUMBER(M923), EDATE(M923,36)-1, "")</f>
        <v>25569.375</v>
      </c>
      <c r="T923" s="50"/>
      <c r="U923" s="50"/>
      <c r="V923" s="56"/>
      <c r="W923" s="56"/>
      <c r="X923" s="56"/>
      <c r="Y923" s="56"/>
      <c r="Z923" s="56"/>
      <c r="AA923" s="56"/>
      <c r="AB923" s="56"/>
    </row>
    <row x14ac:dyDescent="0.25" r="924" customHeight="1" ht="18.75">
      <c r="A924" s="56"/>
      <c r="B924" s="56"/>
      <c r="C924" s="50" t="s">
        <v>16</v>
      </c>
      <c r="D924" s="50" t="s">
        <v>143</v>
      </c>
      <c r="E924" s="50" t="s">
        <v>22</v>
      </c>
      <c r="F924" s="50" t="s">
        <v>3051</v>
      </c>
      <c r="G924" s="55">
        <v>10000000</v>
      </c>
      <c r="H924" s="55"/>
      <c r="I924" s="55"/>
      <c r="J924" s="51">
        <v>800000</v>
      </c>
      <c r="K924" s="51"/>
      <c r="L924" s="52">
        <v>46166</v>
      </c>
      <c r="M924" s="53">
        <v>46105</v>
      </c>
      <c r="N924" s="50" t="s">
        <v>168</v>
      </c>
      <c r="O924" s="50" t="s">
        <v>3052</v>
      </c>
      <c r="P924" s="50" t="s">
        <v>3051</v>
      </c>
      <c r="Q924" s="55" t="s">
        <v>3053</v>
      </c>
      <c r="R924" s="55" t="s">
        <v>3054</v>
      </c>
      <c r="S924" s="53">
        <v>47200</v>
      </c>
      <c r="T924" s="50" t="s">
        <v>178</v>
      </c>
      <c r="U924" s="50" t="s">
        <v>166</v>
      </c>
      <c r="V924" s="56"/>
      <c r="W924" s="56"/>
      <c r="X924" s="56"/>
      <c r="Y924" s="56"/>
      <c r="Z924" s="56"/>
      <c r="AA924" s="56"/>
      <c r="AB924" s="56"/>
    </row>
    <row x14ac:dyDescent="0.25" r="925" customHeight="1" ht="18.75">
      <c r="A925" s="56"/>
      <c r="B925" s="56"/>
      <c r="C925" s="50" t="s">
        <v>16</v>
      </c>
      <c r="D925" s="50" t="s">
        <v>143</v>
      </c>
      <c r="E925" s="50" t="s">
        <v>14</v>
      </c>
      <c r="F925" s="50" t="s">
        <v>2686</v>
      </c>
      <c r="G925" s="51">
        <v>10000000</v>
      </c>
      <c r="H925" s="51"/>
      <c r="I925" s="51"/>
      <c r="J925" s="87">
        <f>IF(G925&gt;0,_xludf.IFS(G925=10000000,1200000,G925=20000000,1800000,G925=30000000,2400000,G925=60000000,4000000),"")</f>
      </c>
      <c r="K925" s="51"/>
      <c r="L925" s="52">
        <v>46239</v>
      </c>
      <c r="M925" s="53">
        <f>IF(L925&gt;0,EDATE(L925,-2),"")</f>
        <v>25569.375</v>
      </c>
      <c r="N925" s="50" t="s">
        <v>168</v>
      </c>
      <c r="O925" s="50" t="s">
        <v>2687</v>
      </c>
      <c r="P925" s="54">
        <f>IF(F925&gt;0,F925,"")</f>
      </c>
      <c r="Q925" s="55">
        <v>5210151067814</v>
      </c>
      <c r="R925" s="55">
        <v>30452065</v>
      </c>
      <c r="S925" s="53">
        <f>IF(ISNUMBER(M925), EDATE(M925,36)-1, "")</f>
        <v>25569.375</v>
      </c>
      <c r="T925" s="50"/>
      <c r="U925" s="50"/>
      <c r="V925" s="56"/>
      <c r="W925" s="56"/>
      <c r="X925" s="56"/>
      <c r="Y925" s="56"/>
      <c r="Z925" s="56"/>
      <c r="AA925" s="56"/>
      <c r="AB925" s="56"/>
    </row>
    <row x14ac:dyDescent="0.25" r="926" customHeight="1" ht="18.75">
      <c r="A926" s="56"/>
      <c r="B926" s="56"/>
      <c r="C926" s="50" t="s">
        <v>16</v>
      </c>
      <c r="D926" s="50"/>
      <c r="E926" s="50"/>
      <c r="F926" s="50" t="s">
        <v>3057</v>
      </c>
      <c r="G926" s="55">
        <v>10000000</v>
      </c>
      <c r="H926" s="55"/>
      <c r="I926" s="55"/>
      <c r="J926" s="51">
        <v>800000</v>
      </c>
      <c r="K926" s="51"/>
      <c r="L926" s="52">
        <v>46102</v>
      </c>
      <c r="M926" s="53">
        <v>46043</v>
      </c>
      <c r="N926" s="50" t="s">
        <v>155</v>
      </c>
      <c r="O926" s="50" t="s">
        <v>478</v>
      </c>
      <c r="P926" s="50" t="s">
        <v>3057</v>
      </c>
      <c r="Q926" s="55" t="s">
        <v>3058</v>
      </c>
      <c r="R926" s="55" t="s">
        <v>3059</v>
      </c>
      <c r="S926" s="53">
        <v>47138</v>
      </c>
      <c r="T926" s="50"/>
      <c r="U926" s="50" t="s">
        <v>1178</v>
      </c>
      <c r="V926" s="56"/>
      <c r="W926" s="56"/>
      <c r="X926" s="56"/>
      <c r="Y926" s="56"/>
      <c r="Z926" s="56"/>
      <c r="AA926" s="56"/>
      <c r="AB926" s="56"/>
    </row>
    <row x14ac:dyDescent="0.25" r="927" customHeight="1" ht="18.75">
      <c r="A927" s="56"/>
      <c r="B927" s="56"/>
      <c r="C927" s="50" t="s">
        <v>16</v>
      </c>
      <c r="D927" s="50"/>
      <c r="E927" s="50" t="s">
        <v>862</v>
      </c>
      <c r="F927" s="50" t="s">
        <v>958</v>
      </c>
      <c r="G927" s="55">
        <v>30000000</v>
      </c>
      <c r="H927" s="55"/>
      <c r="I927" s="55"/>
      <c r="J927" s="51">
        <v>2028000</v>
      </c>
      <c r="K927" s="51"/>
      <c r="L927" s="52">
        <v>46083</v>
      </c>
      <c r="M927" s="53">
        <v>46024</v>
      </c>
      <c r="N927" s="50" t="s">
        <v>155</v>
      </c>
      <c r="O927" s="50" t="s">
        <v>960</v>
      </c>
      <c r="P927" s="50" t="s">
        <v>958</v>
      </c>
      <c r="Q927" s="55" t="s">
        <v>3061</v>
      </c>
      <c r="R927" s="55" t="s">
        <v>3366</v>
      </c>
      <c r="S927" s="53">
        <v>47119</v>
      </c>
      <c r="T927" s="50"/>
      <c r="U927" s="50"/>
      <c r="V927" s="56"/>
      <c r="W927" s="56"/>
      <c r="X927" s="56"/>
      <c r="Y927" s="56"/>
      <c r="Z927" s="56"/>
      <c r="AA927" s="56"/>
      <c r="AB927" s="56"/>
    </row>
    <row x14ac:dyDescent="0.25" r="928" customHeight="1" ht="18.75">
      <c r="A928" s="63"/>
      <c r="B928" s="63"/>
      <c r="C928" s="49" t="s">
        <v>16</v>
      </c>
      <c r="D928" s="49"/>
      <c r="E928" s="49" t="s">
        <v>862</v>
      </c>
      <c r="F928" s="49" t="s">
        <v>958</v>
      </c>
      <c r="G928" s="64">
        <v>30000000</v>
      </c>
      <c r="H928" s="64"/>
      <c r="I928" s="64"/>
      <c r="J928" s="65">
        <f>IF(G928&gt;0,_xludf.IFS(G928=10000000,800000,G928=20000000,1528000,G928=30000000,2028000,G928=60000000,4056000),"")</f>
      </c>
      <c r="K928" s="64"/>
      <c r="L928" s="66">
        <v>46083</v>
      </c>
      <c r="M928" s="67">
        <f>IF(L928&gt;0,EDATE(L928,-2),"")</f>
        <v>25569.375</v>
      </c>
      <c r="N928" s="49" t="s">
        <v>988</v>
      </c>
      <c r="O928" s="49" t="s">
        <v>3060</v>
      </c>
      <c r="P928" s="68">
        <f>IF(F928&gt;0,F928,"")</f>
      </c>
      <c r="Q928" s="69" t="s">
        <v>3061</v>
      </c>
      <c r="R928" s="69">
        <v>39171399</v>
      </c>
      <c r="S928" s="67">
        <f>IF(ISNUMBER(M928), EDATE(M928,36)-1, "")</f>
        <v>25569.375</v>
      </c>
      <c r="T928" s="49"/>
      <c r="U928" s="49"/>
      <c r="V928" s="63"/>
      <c r="W928" s="56"/>
      <c r="X928" s="56"/>
      <c r="Y928" s="56"/>
      <c r="Z928" s="56"/>
      <c r="AA928" s="56"/>
      <c r="AB928" s="56"/>
    </row>
    <row x14ac:dyDescent="0.25" r="929" customHeight="1" ht="18.75">
      <c r="A929" s="56"/>
      <c r="B929" s="56"/>
      <c r="C929" s="50" t="s">
        <v>16</v>
      </c>
      <c r="D929" s="50" t="s">
        <v>410</v>
      </c>
      <c r="E929" s="50" t="s">
        <v>534</v>
      </c>
      <c r="F929" s="50" t="s">
        <v>2013</v>
      </c>
      <c r="G929" s="51">
        <v>10000000</v>
      </c>
      <c r="H929" s="51"/>
      <c r="I929" s="51"/>
      <c r="J929" s="87">
        <f>IF(G929&gt;0,_xludf.IFS(G929=10000000,1200000,G929=20000000,1800000,G929=30000000,2400000,G929=60000000,4000000),"")</f>
      </c>
      <c r="K929" s="51"/>
      <c r="L929" s="52">
        <v>46240</v>
      </c>
      <c r="M929" s="53">
        <f>IF(L929&gt;0,EDATE(L929,-2),"")</f>
        <v>25569.375</v>
      </c>
      <c r="N929" s="50" t="s">
        <v>205</v>
      </c>
      <c r="O929" s="50" t="s">
        <v>2014</v>
      </c>
      <c r="P929" s="54">
        <f>IF(F929&gt;0,F929,"")</f>
      </c>
      <c r="Q929" s="55">
        <v>7609052483111</v>
      </c>
      <c r="R929" s="55">
        <v>54234821</v>
      </c>
      <c r="S929" s="53">
        <f>IF(ISNUMBER(M929), EDATE(M929,36)-1, "")</f>
        <v>25569.375</v>
      </c>
      <c r="T929" s="50"/>
      <c r="U929" s="50"/>
      <c r="V929" s="56"/>
      <c r="W929" s="56"/>
      <c r="X929" s="56"/>
      <c r="Y929" s="56"/>
      <c r="Z929" s="56"/>
      <c r="AA929" s="56"/>
      <c r="AB929" s="56"/>
    </row>
    <row x14ac:dyDescent="0.25" r="930" customHeight="1" ht="18.75">
      <c r="A930" s="56"/>
      <c r="B930" s="56"/>
      <c r="C930" s="50" t="s">
        <v>16</v>
      </c>
      <c r="D930" s="50" t="s">
        <v>737</v>
      </c>
      <c r="E930" s="50" t="s">
        <v>669</v>
      </c>
      <c r="F930" s="50" t="s">
        <v>738</v>
      </c>
      <c r="G930" s="51">
        <v>60000000</v>
      </c>
      <c r="H930" s="51"/>
      <c r="I930" s="51"/>
      <c r="J930" s="51">
        <v>2400000</v>
      </c>
      <c r="K930" s="51"/>
      <c r="L930" s="52">
        <v>46242</v>
      </c>
      <c r="M930" s="53">
        <f>IF(L930&gt;0,EDATE(L930,-2),"")</f>
        <v>25569.375</v>
      </c>
      <c r="N930" s="50" t="s">
        <v>302</v>
      </c>
      <c r="O930" s="50" t="s">
        <v>739</v>
      </c>
      <c r="P930" s="50" t="s">
        <v>740</v>
      </c>
      <c r="Q930" s="55">
        <v>648418200</v>
      </c>
      <c r="R930" s="55">
        <v>40479774</v>
      </c>
      <c r="S930" s="53">
        <f>IF(ISNUMBER(M930), EDATE(M930,36)-1, "")</f>
        <v>25569.375</v>
      </c>
      <c r="T930" s="50"/>
      <c r="U930" s="50"/>
      <c r="V930" s="56" t="s">
        <v>741</v>
      </c>
      <c r="W930" s="56"/>
      <c r="X930" s="56"/>
      <c r="Y930" s="56"/>
      <c r="Z930" s="56"/>
      <c r="AA930" s="56"/>
      <c r="AB930" s="56"/>
    </row>
    <row x14ac:dyDescent="0.25" r="931" customHeight="1" ht="18.75">
      <c r="A931" s="56"/>
      <c r="B931" s="56"/>
      <c r="C931" s="50" t="s">
        <v>16</v>
      </c>
      <c r="D931" s="50"/>
      <c r="E931" s="50"/>
      <c r="F931" s="50" t="s">
        <v>3070</v>
      </c>
      <c r="G931" s="55">
        <v>30000000</v>
      </c>
      <c r="H931" s="55"/>
      <c r="I931" s="55"/>
      <c r="J931" s="51">
        <v>2400000</v>
      </c>
      <c r="K931" s="51"/>
      <c r="L931" s="52">
        <v>45924</v>
      </c>
      <c r="M931" s="53">
        <v>45848</v>
      </c>
      <c r="N931" s="50" t="s">
        <v>217</v>
      </c>
      <c r="O931" s="50" t="s">
        <v>2030</v>
      </c>
      <c r="P931" s="50" t="s">
        <v>92</v>
      </c>
      <c r="Q931" s="55" t="s">
        <v>3071</v>
      </c>
      <c r="R931" s="55" t="s">
        <v>2032</v>
      </c>
      <c r="S931" s="53">
        <v>46943</v>
      </c>
      <c r="T931" s="50"/>
      <c r="U931" s="50"/>
      <c r="V931" s="56"/>
      <c r="W931" s="56"/>
      <c r="X931" s="56"/>
      <c r="Y931" s="56"/>
      <c r="Z931" s="56"/>
      <c r="AA931" s="56"/>
      <c r="AB931" s="56"/>
    </row>
    <row x14ac:dyDescent="0.25" r="932" customHeight="1" ht="18.75">
      <c r="A932" s="56"/>
      <c r="B932" s="56"/>
      <c r="C932" s="50" t="s">
        <v>16</v>
      </c>
      <c r="D932" s="50"/>
      <c r="E932" s="50"/>
      <c r="F932" s="50" t="s">
        <v>3072</v>
      </c>
      <c r="G932" s="55">
        <v>10000000</v>
      </c>
      <c r="H932" s="55"/>
      <c r="I932" s="55"/>
      <c r="J932" s="51">
        <v>800000</v>
      </c>
      <c r="K932" s="51"/>
      <c r="L932" s="52">
        <v>45915</v>
      </c>
      <c r="M932" s="53">
        <v>45848</v>
      </c>
      <c r="N932" s="50" t="s">
        <v>168</v>
      </c>
      <c r="O932" s="50" t="s">
        <v>3073</v>
      </c>
      <c r="P932" s="50" t="s">
        <v>3072</v>
      </c>
      <c r="Q932" s="55" t="s">
        <v>3074</v>
      </c>
      <c r="R932" s="55" t="s">
        <v>3075</v>
      </c>
      <c r="S932" s="53">
        <v>46943</v>
      </c>
      <c r="T932" s="50"/>
      <c r="U932" s="50"/>
      <c r="V932" s="56"/>
      <c r="W932" s="56"/>
      <c r="X932" s="56"/>
      <c r="Y932" s="56"/>
      <c r="Z932" s="56"/>
      <c r="AA932" s="56"/>
      <c r="AB932" s="56"/>
    </row>
    <row x14ac:dyDescent="0.25" r="933" customHeight="1" ht="18.75">
      <c r="A933" s="56"/>
      <c r="B933" s="56"/>
      <c r="C933" s="50" t="s">
        <v>16</v>
      </c>
      <c r="D933" s="50" t="s">
        <v>454</v>
      </c>
      <c r="E933" s="50"/>
      <c r="F933" s="50" t="s">
        <v>3076</v>
      </c>
      <c r="G933" s="55">
        <v>10000000</v>
      </c>
      <c r="H933" s="55"/>
      <c r="I933" s="55"/>
      <c r="J933" s="51">
        <v>800000</v>
      </c>
      <c r="K933" s="51"/>
      <c r="L933" s="52">
        <v>46154</v>
      </c>
      <c r="M933" s="53">
        <v>46093</v>
      </c>
      <c r="N933" s="50" t="s">
        <v>155</v>
      </c>
      <c r="O933" s="50" t="s">
        <v>3077</v>
      </c>
      <c r="P933" s="50" t="s">
        <v>3076</v>
      </c>
      <c r="Q933" s="55" t="s">
        <v>3078</v>
      </c>
      <c r="R933" s="55" t="s">
        <v>3079</v>
      </c>
      <c r="S933" s="53">
        <v>47188</v>
      </c>
      <c r="T933" s="50" t="s">
        <v>3080</v>
      </c>
      <c r="U933" s="50"/>
      <c r="V933" s="56"/>
      <c r="W933" s="56"/>
      <c r="X933" s="56"/>
      <c r="Y933" s="56"/>
      <c r="Z933" s="56"/>
      <c r="AA933" s="56"/>
      <c r="AB933" s="56"/>
    </row>
    <row x14ac:dyDescent="0.25" r="934" customHeight="1" ht="18.75">
      <c r="A934" s="56"/>
      <c r="B934" s="56"/>
      <c r="C934" s="50" t="s">
        <v>16</v>
      </c>
      <c r="D934" s="50"/>
      <c r="E934" s="50"/>
      <c r="F934" s="50" t="s">
        <v>3076</v>
      </c>
      <c r="G934" s="55">
        <v>10000000</v>
      </c>
      <c r="H934" s="55"/>
      <c r="I934" s="55"/>
      <c r="J934" s="51">
        <v>800000</v>
      </c>
      <c r="K934" s="51"/>
      <c r="L934" s="52">
        <v>46154</v>
      </c>
      <c r="M934" s="53">
        <v>46093</v>
      </c>
      <c r="N934" s="50" t="s">
        <v>161</v>
      </c>
      <c r="O934" s="50" t="s">
        <v>3077</v>
      </c>
      <c r="P934" s="50" t="s">
        <v>3076</v>
      </c>
      <c r="Q934" s="55" t="s">
        <v>3367</v>
      </c>
      <c r="R934" s="55" t="s">
        <v>3079</v>
      </c>
      <c r="S934" s="53">
        <v>47188</v>
      </c>
      <c r="T934" s="50"/>
      <c r="U934" s="50" t="s">
        <v>166</v>
      </c>
      <c r="V934" s="56"/>
      <c r="W934" s="56"/>
      <c r="X934" s="56"/>
      <c r="Y934" s="56"/>
      <c r="Z934" s="56"/>
      <c r="AA934" s="56"/>
      <c r="AB934" s="56"/>
    </row>
    <row x14ac:dyDescent="0.25" r="935" customHeight="1" ht="18.75">
      <c r="A935" s="56"/>
      <c r="B935" s="56"/>
      <c r="C935" s="50" t="s">
        <v>16</v>
      </c>
      <c r="D935" s="50"/>
      <c r="E935" s="50"/>
      <c r="F935" s="50" t="s">
        <v>3081</v>
      </c>
      <c r="G935" s="55">
        <v>40000000</v>
      </c>
      <c r="H935" s="55"/>
      <c r="I935" s="55"/>
      <c r="J935" s="51">
        <v>3200000</v>
      </c>
      <c r="K935" s="51"/>
      <c r="L935" s="52">
        <v>45896</v>
      </c>
      <c r="M935" s="53">
        <v>45835</v>
      </c>
      <c r="N935" s="50" t="s">
        <v>940</v>
      </c>
      <c r="O935" s="50" t="s">
        <v>3082</v>
      </c>
      <c r="P935" s="50" t="s">
        <v>3081</v>
      </c>
      <c r="Q935" s="55" t="s">
        <v>3083</v>
      </c>
      <c r="R935" s="55" t="s">
        <v>3084</v>
      </c>
      <c r="S935" s="53">
        <v>46930</v>
      </c>
      <c r="T935" s="50"/>
      <c r="U935" s="50"/>
      <c r="V935" s="56"/>
      <c r="W935" s="56"/>
      <c r="X935" s="56"/>
      <c r="Y935" s="56"/>
      <c r="Z935" s="56"/>
      <c r="AA935" s="56"/>
      <c r="AB935" s="56"/>
    </row>
    <row x14ac:dyDescent="0.25" r="936" customHeight="1" ht="18.75">
      <c r="A936" s="56"/>
      <c r="B936" s="56"/>
      <c r="C936" s="50" t="s">
        <v>16</v>
      </c>
      <c r="D936" s="50" t="s">
        <v>454</v>
      </c>
      <c r="E936" s="50" t="s">
        <v>357</v>
      </c>
      <c r="F936" s="50" t="s">
        <v>978</v>
      </c>
      <c r="G936" s="51">
        <v>10000000</v>
      </c>
      <c r="H936" s="51"/>
      <c r="I936" s="51"/>
      <c r="J936" s="87">
        <f>IF(G936&gt;0,_xludf.IFS(G936=10000000,1200000,G936=20000000,1800000,G936=30000000,2400000,G936=60000000,4000000),"")</f>
      </c>
      <c r="K936" s="51"/>
      <c r="L936" s="52">
        <v>46242</v>
      </c>
      <c r="M936" s="53">
        <f>IF(L936&gt;0,EDATE(L936,-2),"")</f>
        <v>25569.375</v>
      </c>
      <c r="N936" s="50" t="s">
        <v>217</v>
      </c>
      <c r="O936" s="50" t="s">
        <v>979</v>
      </c>
      <c r="P936" s="54">
        <f>IF(F936&gt;0,F936,"")</f>
      </c>
      <c r="Q936" s="55">
        <v>5609131350612</v>
      </c>
      <c r="R936" s="55">
        <v>54849679</v>
      </c>
      <c r="S936" s="53">
        <f>IF(ISNUMBER(M936), EDATE(M936,36)-1, "")</f>
        <v>25569.375</v>
      </c>
      <c r="T936" s="50"/>
      <c r="U936" s="50"/>
      <c r="V936" s="56"/>
      <c r="W936" s="56"/>
      <c r="X936" s="56"/>
      <c r="Y936" s="56"/>
      <c r="Z936" s="56"/>
      <c r="AA936" s="56"/>
      <c r="AB936" s="56"/>
    </row>
    <row x14ac:dyDescent="0.25" r="937" customHeight="1" ht="18.75">
      <c r="A937" s="56"/>
      <c r="B937" s="56"/>
      <c r="C937" s="50" t="s">
        <v>16</v>
      </c>
      <c r="D937" s="50" t="s">
        <v>737</v>
      </c>
      <c r="E937" s="50" t="s">
        <v>669</v>
      </c>
      <c r="F937" s="50" t="s">
        <v>1020</v>
      </c>
      <c r="G937" s="51">
        <v>60000000</v>
      </c>
      <c r="H937" s="51"/>
      <c r="I937" s="51"/>
      <c r="J937" s="87">
        <f>IF(G937&gt;0,_xludf.IFS(G937=10000000,1200000,G937=20000000,1800000,G937=30000000,2400000,G937=60000000,4000000),"")</f>
      </c>
      <c r="K937" s="51"/>
      <c r="L937" s="52">
        <v>46242</v>
      </c>
      <c r="M937" s="53">
        <f>IF(L937&gt;0,EDATE(L937,-2),"")</f>
        <v>25569.375</v>
      </c>
      <c r="N937" s="50" t="s">
        <v>212</v>
      </c>
      <c r="O937" s="50" t="s">
        <v>1021</v>
      </c>
      <c r="P937" s="54">
        <f>IF(F937&gt;0,F937,"")</f>
      </c>
      <c r="Q937" s="55">
        <v>8701051179013</v>
      </c>
      <c r="R937" s="55">
        <v>27312942</v>
      </c>
      <c r="S937" s="53">
        <f>IF(ISNUMBER(M937), EDATE(M937,36)-1, "")</f>
        <v>25569.375</v>
      </c>
      <c r="T937" s="50"/>
      <c r="U937" s="50"/>
      <c r="V937" s="56"/>
      <c r="W937" s="56"/>
      <c r="X937" s="56"/>
      <c r="Y937" s="56"/>
      <c r="Z937" s="56"/>
      <c r="AA937" s="56"/>
      <c r="AB937" s="56"/>
    </row>
    <row x14ac:dyDescent="0.25" r="938" customHeight="1" ht="18.75">
      <c r="A938" s="56"/>
      <c r="B938" s="56"/>
      <c r="C938" s="50" t="s">
        <v>16</v>
      </c>
      <c r="D938" s="50"/>
      <c r="E938" s="50"/>
      <c r="F938" s="50" t="s">
        <v>139</v>
      </c>
      <c r="G938" s="55">
        <v>30000000</v>
      </c>
      <c r="H938" s="55"/>
      <c r="I938" s="55"/>
      <c r="J938" s="51">
        <v>2028000</v>
      </c>
      <c r="K938" s="51"/>
      <c r="L938" s="52">
        <v>46064</v>
      </c>
      <c r="M938" s="53">
        <v>46002</v>
      </c>
      <c r="N938" s="50" t="s">
        <v>239</v>
      </c>
      <c r="O938" s="50" t="s">
        <v>3090</v>
      </c>
      <c r="P938" s="50" t="s">
        <v>139</v>
      </c>
      <c r="Q938" s="55" t="s">
        <v>3091</v>
      </c>
      <c r="R938" s="55" t="s">
        <v>3092</v>
      </c>
      <c r="S938" s="53">
        <v>47097</v>
      </c>
      <c r="T938" s="50"/>
      <c r="U938" s="50"/>
      <c r="V938" s="56"/>
      <c r="W938" s="56"/>
      <c r="X938" s="56"/>
      <c r="Y938" s="56"/>
      <c r="Z938" s="56"/>
      <c r="AA938" s="56"/>
      <c r="AB938" s="56"/>
    </row>
    <row x14ac:dyDescent="0.25" r="939" customHeight="1" ht="18.75">
      <c r="A939" s="56"/>
      <c r="B939" s="56"/>
      <c r="C939" s="49" t="s">
        <v>16</v>
      </c>
      <c r="D939" s="50"/>
      <c r="E939" s="50"/>
      <c r="F939" s="50" t="s">
        <v>3093</v>
      </c>
      <c r="G939" s="51">
        <v>10000000</v>
      </c>
      <c r="H939" s="51"/>
      <c r="I939" s="51"/>
      <c r="J939" s="87">
        <f>IF(G939&gt;0,_xludf.IFS(G939=10000000,800000,G939=20000000,1528000,G939=30000000,2028000,G939=60000000,4056000),"")</f>
      </c>
      <c r="K939" s="51"/>
      <c r="L939" s="52">
        <v>46126</v>
      </c>
      <c r="M939" s="53">
        <f>IF(L939&gt;0,EDATE(L939,-2),"")</f>
        <v>25569.375</v>
      </c>
      <c r="N939" s="50" t="s">
        <v>302</v>
      </c>
      <c r="O939" s="50" t="s">
        <v>3094</v>
      </c>
      <c r="P939" s="54">
        <f>IF(F939&gt;0,F939,"")</f>
      </c>
      <c r="Q939" s="55" t="s">
        <v>3095</v>
      </c>
      <c r="R939" s="55">
        <v>62525899</v>
      </c>
      <c r="S939" s="53">
        <f>IF(ISNUMBER(M939), EDATE(M939,36)-1, "")</f>
        <v>25569.375</v>
      </c>
      <c r="T939" s="50"/>
      <c r="U939" s="50"/>
      <c r="V939" s="56"/>
      <c r="W939" s="56"/>
      <c r="X939" s="56"/>
      <c r="Y939" s="56"/>
      <c r="Z939" s="56"/>
      <c r="AA939" s="56"/>
      <c r="AB939" s="56"/>
    </row>
    <row x14ac:dyDescent="0.25" r="940" customHeight="1" ht="18.75">
      <c r="A940" s="63"/>
      <c r="B940" s="63"/>
      <c r="C940" s="49" t="s">
        <v>16</v>
      </c>
      <c r="D940" s="49"/>
      <c r="E940" s="49"/>
      <c r="F940" s="49" t="s">
        <v>140</v>
      </c>
      <c r="G940" s="69">
        <v>10000000</v>
      </c>
      <c r="H940" s="69"/>
      <c r="I940" s="69"/>
      <c r="J940" s="64">
        <v>800000</v>
      </c>
      <c r="K940" s="64"/>
      <c r="L940" s="66">
        <v>45995</v>
      </c>
      <c r="M940" s="67">
        <v>45934</v>
      </c>
      <c r="N940" s="49" t="s">
        <v>282</v>
      </c>
      <c r="O940" s="49" t="s">
        <v>3096</v>
      </c>
      <c r="P940" s="49" t="s">
        <v>140</v>
      </c>
      <c r="Q940" s="69" t="s">
        <v>3097</v>
      </c>
      <c r="R940" s="69" t="s">
        <v>3098</v>
      </c>
      <c r="S940" s="67">
        <v>47029</v>
      </c>
      <c r="T940" s="49"/>
      <c r="U940" s="49" t="s">
        <v>166</v>
      </c>
      <c r="V940" s="56"/>
      <c r="W940" s="56"/>
      <c r="X940" s="56"/>
      <c r="Y940" s="56"/>
      <c r="Z940" s="56"/>
      <c r="AA940" s="56"/>
      <c r="AB940" s="56"/>
    </row>
    <row x14ac:dyDescent="0.25" r="941" customHeight="1" ht="18.75">
      <c r="A941" s="56"/>
      <c r="B941" s="56"/>
      <c r="C941" s="50" t="s">
        <v>16</v>
      </c>
      <c r="D941" s="50"/>
      <c r="E941" s="50"/>
      <c r="F941" s="50" t="s">
        <v>140</v>
      </c>
      <c r="G941" s="55">
        <v>10000000</v>
      </c>
      <c r="H941" s="55"/>
      <c r="I941" s="55"/>
      <c r="J941" s="51">
        <v>800000</v>
      </c>
      <c r="K941" s="51"/>
      <c r="L941" s="52">
        <v>46122</v>
      </c>
      <c r="M941" s="53">
        <v>46063</v>
      </c>
      <c r="N941" s="50" t="s">
        <v>282</v>
      </c>
      <c r="O941" s="50" t="s">
        <v>3096</v>
      </c>
      <c r="P941" s="50" t="s">
        <v>140</v>
      </c>
      <c r="Q941" s="55" t="s">
        <v>3097</v>
      </c>
      <c r="R941" s="55" t="s">
        <v>3098</v>
      </c>
      <c r="S941" s="53">
        <v>47158</v>
      </c>
      <c r="T941" s="50" t="s">
        <v>3099</v>
      </c>
      <c r="U941" s="50" t="s">
        <v>166</v>
      </c>
      <c r="V941" s="56"/>
      <c r="W941" s="56"/>
      <c r="X941" s="56"/>
      <c r="Y941" s="56"/>
      <c r="Z941" s="56"/>
      <c r="AA941" s="56"/>
      <c r="AB941" s="56"/>
    </row>
    <row x14ac:dyDescent="0.25" r="942" customHeight="1" ht="18.75">
      <c r="A942" s="56"/>
      <c r="B942" s="56"/>
      <c r="C942" s="50" t="s">
        <v>16</v>
      </c>
      <c r="D942" s="50"/>
      <c r="E942" s="50"/>
      <c r="F942" s="50" t="s">
        <v>3101</v>
      </c>
      <c r="G942" s="55">
        <v>10000000</v>
      </c>
      <c r="H942" s="55"/>
      <c r="I942" s="55"/>
      <c r="J942" s="51">
        <v>800000</v>
      </c>
      <c r="K942" s="51"/>
      <c r="L942" s="52">
        <v>46091</v>
      </c>
      <c r="M942" s="53">
        <v>46022</v>
      </c>
      <c r="N942" s="50" t="s">
        <v>155</v>
      </c>
      <c r="O942" s="50" t="s">
        <v>3102</v>
      </c>
      <c r="P942" s="50" t="s">
        <v>3103</v>
      </c>
      <c r="Q942" s="55" t="s">
        <v>3104</v>
      </c>
      <c r="R942" s="55" t="s">
        <v>3105</v>
      </c>
      <c r="S942" s="53">
        <v>47127</v>
      </c>
      <c r="T942" s="50"/>
      <c r="U942" s="50"/>
      <c r="V942" s="56"/>
      <c r="W942" s="56"/>
      <c r="X942" s="56"/>
      <c r="Y942" s="56"/>
      <c r="Z942" s="56"/>
      <c r="AA942" s="56"/>
      <c r="AB942" s="56"/>
    </row>
    <row x14ac:dyDescent="0.25" r="943" customHeight="1" ht="18.75">
      <c r="A943" s="56"/>
      <c r="B943" s="56"/>
      <c r="C943" s="50" t="s">
        <v>16</v>
      </c>
      <c r="D943" s="50"/>
      <c r="E943" s="50" t="s">
        <v>92</v>
      </c>
      <c r="F943" s="50" t="s">
        <v>3101</v>
      </c>
      <c r="G943" s="55">
        <v>10000000</v>
      </c>
      <c r="H943" s="55"/>
      <c r="I943" s="55"/>
      <c r="J943" s="51">
        <v>800000</v>
      </c>
      <c r="K943" s="51"/>
      <c r="L943" s="52">
        <v>46091</v>
      </c>
      <c r="M943" s="53">
        <v>46032</v>
      </c>
      <c r="N943" s="50" t="s">
        <v>155</v>
      </c>
      <c r="O943" s="50" t="s">
        <v>3102</v>
      </c>
      <c r="P943" s="50" t="s">
        <v>3103</v>
      </c>
      <c r="Q943" s="55" t="s">
        <v>3104</v>
      </c>
      <c r="R943" s="55" t="s">
        <v>3105</v>
      </c>
      <c r="S943" s="53">
        <v>47127</v>
      </c>
      <c r="T943" s="50"/>
      <c r="U943" s="50" t="s">
        <v>166</v>
      </c>
      <c r="V943" s="56"/>
      <c r="W943" s="56"/>
      <c r="X943" s="56"/>
      <c r="Y943" s="56"/>
      <c r="Z943" s="56"/>
      <c r="AA943" s="56"/>
      <c r="AB943" s="56"/>
    </row>
    <row x14ac:dyDescent="0.25" r="944" customHeight="1" ht="18.75">
      <c r="A944" s="56"/>
      <c r="B944" s="56"/>
      <c r="C944" s="50" t="s">
        <v>16</v>
      </c>
      <c r="D944" s="50"/>
      <c r="E944" s="50"/>
      <c r="F944" s="50" t="s">
        <v>3106</v>
      </c>
      <c r="G944" s="55">
        <v>60000000</v>
      </c>
      <c r="H944" s="55"/>
      <c r="I944" s="55"/>
      <c r="J944" s="51">
        <v>4056000</v>
      </c>
      <c r="K944" s="51"/>
      <c r="L944" s="52">
        <v>46082</v>
      </c>
      <c r="M944" s="53">
        <v>46022</v>
      </c>
      <c r="N944" s="50" t="s">
        <v>988</v>
      </c>
      <c r="O944" s="50" t="s">
        <v>3107</v>
      </c>
      <c r="P944" s="50" t="s">
        <v>3106</v>
      </c>
      <c r="Q944" s="55" t="s">
        <v>3108</v>
      </c>
      <c r="R944" s="55" t="s">
        <v>3109</v>
      </c>
      <c r="S944" s="53">
        <v>47118</v>
      </c>
      <c r="T944" s="50"/>
      <c r="U944" s="50"/>
      <c r="V944" s="56"/>
      <c r="W944" s="56"/>
      <c r="X944" s="56"/>
      <c r="Y944" s="56"/>
      <c r="Z944" s="56"/>
      <c r="AA944" s="56"/>
      <c r="AB944" s="56"/>
    </row>
    <row x14ac:dyDescent="0.25" r="945" customHeight="1" ht="18.75">
      <c r="A945" s="56"/>
      <c r="B945" s="56"/>
      <c r="C945" s="50" t="s">
        <v>16</v>
      </c>
      <c r="D945" s="50" t="s">
        <v>737</v>
      </c>
      <c r="E945" s="50" t="s">
        <v>669</v>
      </c>
      <c r="F945" s="50" t="s">
        <v>2552</v>
      </c>
      <c r="G945" s="51">
        <v>60000000</v>
      </c>
      <c r="H945" s="51"/>
      <c r="I945" s="51"/>
      <c r="J945" s="51">
        <v>2400000</v>
      </c>
      <c r="K945" s="51"/>
      <c r="L945" s="52">
        <v>46242</v>
      </c>
      <c r="M945" s="53">
        <f>IF(L945&gt;0,EDATE(L945,-2),"")</f>
        <v>25569.375</v>
      </c>
      <c r="N945" s="50" t="s">
        <v>302</v>
      </c>
      <c r="O945" s="50" t="s">
        <v>2553</v>
      </c>
      <c r="P945" s="54">
        <f>IF(F945&gt;0,F945,"")</f>
      </c>
      <c r="Q945" s="55">
        <v>6103132018620</v>
      </c>
      <c r="R945" s="55">
        <v>40479774</v>
      </c>
      <c r="S945" s="53">
        <f>IF(ISNUMBER(M945), EDATE(M945,36)-1, "")</f>
        <v>25569.375</v>
      </c>
      <c r="T945" s="50"/>
      <c r="U945" s="50"/>
      <c r="V945" s="56"/>
      <c r="W945" s="56"/>
      <c r="X945" s="56"/>
      <c r="Y945" s="56"/>
      <c r="Z945" s="56"/>
      <c r="AA945" s="56"/>
      <c r="AB945" s="56"/>
    </row>
    <row x14ac:dyDescent="0.25" r="946" customHeight="1" ht="18.75">
      <c r="A946" s="56"/>
      <c r="B946" s="56"/>
      <c r="C946" s="50" t="s">
        <v>16</v>
      </c>
      <c r="D946" s="50"/>
      <c r="E946" s="50"/>
      <c r="F946" s="50" t="s">
        <v>3114</v>
      </c>
      <c r="G946" s="55">
        <v>10000000</v>
      </c>
      <c r="H946" s="55"/>
      <c r="I946" s="55"/>
      <c r="J946" s="51">
        <v>800000</v>
      </c>
      <c r="K946" s="51"/>
      <c r="L946" s="52">
        <v>46044</v>
      </c>
      <c r="M946" s="53">
        <v>45983</v>
      </c>
      <c r="N946" s="50" t="s">
        <v>168</v>
      </c>
      <c r="O946" s="50" t="s">
        <v>3115</v>
      </c>
      <c r="P946" s="50" t="s">
        <v>3114</v>
      </c>
      <c r="Q946" s="55" t="s">
        <v>3116</v>
      </c>
      <c r="R946" s="55" t="s">
        <v>2134</v>
      </c>
      <c r="S946" s="53">
        <v>47078</v>
      </c>
      <c r="T946" s="50"/>
      <c r="U946" s="50"/>
      <c r="V946" s="56"/>
      <c r="W946" s="56"/>
      <c r="X946" s="56"/>
      <c r="Y946" s="56"/>
      <c r="Z946" s="56"/>
      <c r="AA946" s="56"/>
      <c r="AB946" s="56"/>
    </row>
    <row x14ac:dyDescent="0.25" r="947" customHeight="1" ht="18.75">
      <c r="A947" s="56"/>
      <c r="B947" s="56"/>
      <c r="C947" s="50" t="s">
        <v>16</v>
      </c>
      <c r="D947" s="50" t="s">
        <v>454</v>
      </c>
      <c r="E947" s="50" t="s">
        <v>538</v>
      </c>
      <c r="F947" s="50" t="s">
        <v>1237</v>
      </c>
      <c r="G947" s="51">
        <v>10000000</v>
      </c>
      <c r="H947" s="51"/>
      <c r="I947" s="51"/>
      <c r="J947" s="87">
        <f>IF(G947&gt;0,_xludf.IFS(G947=10000000,1200000,G947=20000000,1800000,G947=30000000,2400000,G947=60000000,4000000),"")</f>
      </c>
      <c r="K947" s="51"/>
      <c r="L947" s="52">
        <v>46243</v>
      </c>
      <c r="M947" s="53">
        <f>IF(L947&gt;0,EDATE(L947,-2),"")</f>
        <v>25569.375</v>
      </c>
      <c r="N947" s="50" t="s">
        <v>168</v>
      </c>
      <c r="O947" s="50" t="s">
        <v>1238</v>
      </c>
      <c r="P947" s="54">
        <f>IF(F947&gt;0,F947,"")</f>
      </c>
      <c r="Q947" s="55">
        <v>6403272682812</v>
      </c>
      <c r="R947" s="55">
        <v>85567698</v>
      </c>
      <c r="S947" s="53">
        <f>IF(ISNUMBER(M947), EDATE(M947,36)-1, "")</f>
        <v>25569.375</v>
      </c>
      <c r="T947" s="50"/>
      <c r="U947" s="50"/>
      <c r="V947" s="56"/>
      <c r="W947" s="56"/>
      <c r="X947" s="56"/>
      <c r="Y947" s="56"/>
      <c r="Z947" s="56"/>
      <c r="AA947" s="56"/>
      <c r="AB947" s="56"/>
    </row>
    <row x14ac:dyDescent="0.25" r="948" customHeight="1" ht="18.75">
      <c r="A948" s="56"/>
      <c r="B948" s="56"/>
      <c r="C948" s="50" t="s">
        <v>16</v>
      </c>
      <c r="D948" s="50"/>
      <c r="E948" s="50"/>
      <c r="F948" s="50" t="s">
        <v>3120</v>
      </c>
      <c r="G948" s="55">
        <v>10000000</v>
      </c>
      <c r="H948" s="55"/>
      <c r="I948" s="55"/>
      <c r="J948" s="51">
        <v>800000</v>
      </c>
      <c r="K948" s="51"/>
      <c r="L948" s="52">
        <v>46084</v>
      </c>
      <c r="M948" s="53">
        <v>46022</v>
      </c>
      <c r="N948" s="50" t="s">
        <v>302</v>
      </c>
      <c r="O948" s="50" t="s">
        <v>3121</v>
      </c>
      <c r="P948" s="50" t="s">
        <v>3120</v>
      </c>
      <c r="Q948" s="55" t="s">
        <v>3122</v>
      </c>
      <c r="R948" s="55" t="s">
        <v>3123</v>
      </c>
      <c r="S948" s="53">
        <v>47120</v>
      </c>
      <c r="T948" s="50"/>
      <c r="U948" s="50"/>
      <c r="V948" s="56"/>
      <c r="W948" s="56"/>
      <c r="X948" s="56"/>
      <c r="Y948" s="56"/>
      <c r="Z948" s="56"/>
      <c r="AA948" s="56"/>
      <c r="AB948" s="56"/>
    </row>
    <row x14ac:dyDescent="0.25" r="949" customHeight="1" ht="18.75">
      <c r="A949" s="63" t="s">
        <v>152</v>
      </c>
      <c r="B949" s="63"/>
      <c r="C949" s="49" t="s">
        <v>16</v>
      </c>
      <c r="D949" s="49" t="s">
        <v>80</v>
      </c>
      <c r="E949" s="49" t="s">
        <v>97</v>
      </c>
      <c r="F949" s="49" t="s">
        <v>141</v>
      </c>
      <c r="G949" s="64">
        <v>30000000</v>
      </c>
      <c r="H949" s="64"/>
      <c r="I949" s="64"/>
      <c r="J949" s="65">
        <f>IF(G949&gt;0,_xludf.IFS(G949=10000000,800000,G949=20000000,1528000,G949=30000000,2028000,G949=60000000,4056000),"")</f>
      </c>
      <c r="K949" s="64"/>
      <c r="L949" s="66">
        <v>46167</v>
      </c>
      <c r="M949" s="67">
        <v>45971</v>
      </c>
      <c r="N949" s="49" t="s">
        <v>168</v>
      </c>
      <c r="O949" s="49" t="s">
        <v>3124</v>
      </c>
      <c r="P949" s="68">
        <f>IF(F949&gt;0,F949,"")</f>
      </c>
      <c r="Q949" s="69" t="s">
        <v>3125</v>
      </c>
      <c r="R949" s="69">
        <v>53224753</v>
      </c>
      <c r="S949" s="67">
        <f>IF(ISNUMBER(M949), EDATE(M949,36)-1, "")</f>
        <v>25569.375</v>
      </c>
      <c r="T949" s="49"/>
      <c r="U949" s="49"/>
      <c r="V949" s="63" t="s">
        <v>142</v>
      </c>
      <c r="W949" s="56"/>
      <c r="X949" s="56"/>
      <c r="Y949" s="56"/>
      <c r="Z949" s="56"/>
      <c r="AA949" s="56"/>
      <c r="AB949" s="56"/>
    </row>
    <row x14ac:dyDescent="0.25" r="950" customHeight="1" ht="18.75">
      <c r="A950" s="56"/>
      <c r="B950" s="56"/>
      <c r="C950" s="50" t="s">
        <v>27</v>
      </c>
      <c r="D950" s="50"/>
      <c r="E950" s="50"/>
      <c r="F950" s="50" t="s">
        <v>141</v>
      </c>
      <c r="G950" s="51">
        <v>3000000</v>
      </c>
      <c r="H950" s="51"/>
      <c r="I950" s="51"/>
      <c r="J950" s="51">
        <v>300000</v>
      </c>
      <c r="K950" s="51"/>
      <c r="L950" s="52">
        <v>45986</v>
      </c>
      <c r="M950" s="53">
        <v>45955</v>
      </c>
      <c r="N950" s="50" t="s">
        <v>282</v>
      </c>
      <c r="O950" s="50" t="s">
        <v>3124</v>
      </c>
      <c r="P950" s="50" t="s">
        <v>141</v>
      </c>
      <c r="Q950" s="55">
        <v>7809142357119</v>
      </c>
      <c r="R950" s="55">
        <v>53224753</v>
      </c>
      <c r="S950" s="53">
        <f>IF(ISNUMBER(M950), EDATE(M950,36)-1, "")</f>
        <v>25569.375</v>
      </c>
      <c r="T950" s="50"/>
      <c r="U950" s="50"/>
      <c r="V950" s="56"/>
      <c r="W950" s="56"/>
      <c r="X950" s="56"/>
      <c r="Y950" s="56"/>
      <c r="Z950" s="56"/>
      <c r="AA950" s="56"/>
      <c r="AB950" s="56"/>
    </row>
    <row x14ac:dyDescent="0.25" r="951" customHeight="1" ht="18.75">
      <c r="A951" s="56"/>
      <c r="B951" s="56"/>
      <c r="C951" s="50" t="s">
        <v>16</v>
      </c>
      <c r="D951" s="50"/>
      <c r="E951" s="50"/>
      <c r="F951" s="50" t="s">
        <v>3126</v>
      </c>
      <c r="G951" s="55">
        <v>30000000</v>
      </c>
      <c r="H951" s="55"/>
      <c r="I951" s="55"/>
      <c r="J951" s="51">
        <v>2028000</v>
      </c>
      <c r="K951" s="51"/>
      <c r="L951" s="52">
        <v>46086</v>
      </c>
      <c r="M951" s="53">
        <v>46022</v>
      </c>
      <c r="N951" s="50" t="s">
        <v>379</v>
      </c>
      <c r="O951" s="50" t="s">
        <v>3127</v>
      </c>
      <c r="P951" s="50" t="s">
        <v>3128</v>
      </c>
      <c r="Q951" s="55" t="s">
        <v>3129</v>
      </c>
      <c r="R951" s="55" t="s">
        <v>3130</v>
      </c>
      <c r="S951" s="53">
        <v>46816</v>
      </c>
      <c r="T951" s="50"/>
      <c r="U951" s="50"/>
      <c r="V951" s="56"/>
      <c r="W951" s="56"/>
      <c r="X951" s="56"/>
      <c r="Y951" s="56"/>
      <c r="Z951" s="56"/>
      <c r="AA951" s="56"/>
      <c r="AB951" s="56"/>
    </row>
    <row x14ac:dyDescent="0.25" r="952" customHeight="1" ht="18.75">
      <c r="A952" s="56"/>
      <c r="B952" s="56"/>
      <c r="C952" s="50" t="s">
        <v>16</v>
      </c>
      <c r="D952" s="50"/>
      <c r="E952" s="50"/>
      <c r="F952" s="50" t="s">
        <v>3126</v>
      </c>
      <c r="G952" s="55">
        <v>30000000</v>
      </c>
      <c r="H952" s="55"/>
      <c r="I952" s="55"/>
      <c r="J952" s="51">
        <v>2028000</v>
      </c>
      <c r="K952" s="51"/>
      <c r="L952" s="52">
        <v>46086</v>
      </c>
      <c r="M952" s="53">
        <v>46027</v>
      </c>
      <c r="N952" s="50" t="s">
        <v>379</v>
      </c>
      <c r="O952" s="50" t="s">
        <v>3368</v>
      </c>
      <c r="P952" s="50" t="s">
        <v>3128</v>
      </c>
      <c r="Q952" s="55" t="s">
        <v>3129</v>
      </c>
      <c r="R952" s="55" t="s">
        <v>3130</v>
      </c>
      <c r="S952" s="53">
        <v>47122</v>
      </c>
      <c r="T952" s="50"/>
      <c r="U952" s="50" t="s">
        <v>166</v>
      </c>
      <c r="V952" s="56"/>
      <c r="W952" s="56"/>
      <c r="X952" s="56"/>
      <c r="Y952" s="56"/>
      <c r="Z952" s="56"/>
      <c r="AA952" s="56"/>
      <c r="AB952" s="56"/>
    </row>
    <row x14ac:dyDescent="0.25" r="953" customHeight="1" ht="18.75">
      <c r="A953" s="71" t="s">
        <v>152</v>
      </c>
      <c r="B953" s="71"/>
      <c r="C953" s="72" t="s">
        <v>16</v>
      </c>
      <c r="D953" s="72" t="s">
        <v>143</v>
      </c>
      <c r="E953" s="72" t="s">
        <v>22</v>
      </c>
      <c r="F953" s="72" t="s">
        <v>144</v>
      </c>
      <c r="G953" s="74">
        <v>120000000</v>
      </c>
      <c r="H953" s="74"/>
      <c r="I953" s="74"/>
      <c r="J953" s="74">
        <v>9600000</v>
      </c>
      <c r="K953" s="74"/>
      <c r="L953" s="75">
        <v>46088</v>
      </c>
      <c r="M953" s="76">
        <f>IF(L953&gt;0,EDATE(L953,-2),"")</f>
        <v>25569.375</v>
      </c>
      <c r="N953" s="72" t="s">
        <v>217</v>
      </c>
      <c r="O953" s="72" t="s">
        <v>3131</v>
      </c>
      <c r="P953" s="96">
        <f>IF(F953&gt;0,F953,"")</f>
      </c>
      <c r="Q953" s="73">
        <v>7001241149613</v>
      </c>
      <c r="R953" s="73">
        <v>23010208</v>
      </c>
      <c r="S953" s="76">
        <f>IF(ISNUMBER(M953), EDATE(M953,36)-1, "")</f>
        <v>25569.375</v>
      </c>
      <c r="T953" s="72"/>
      <c r="U953" s="72"/>
      <c r="V953" s="71" t="s">
        <v>145</v>
      </c>
      <c r="W953" s="56"/>
      <c r="X953" s="56"/>
      <c r="Y953" s="56"/>
      <c r="Z953" s="56"/>
      <c r="AA953" s="56"/>
      <c r="AB953" s="56"/>
    </row>
    <row x14ac:dyDescent="0.25" r="954" customHeight="1" ht="18.75">
      <c r="A954" s="56"/>
      <c r="B954" s="56"/>
      <c r="C954" s="50" t="s">
        <v>16</v>
      </c>
      <c r="D954" s="50"/>
      <c r="E954" s="50"/>
      <c r="F954" s="50" t="s">
        <v>3132</v>
      </c>
      <c r="G954" s="55">
        <v>20000000</v>
      </c>
      <c r="H954" s="55"/>
      <c r="I954" s="55"/>
      <c r="J954" s="51">
        <v>1528000</v>
      </c>
      <c r="K954" s="51"/>
      <c r="L954" s="52">
        <v>46018</v>
      </c>
      <c r="M954" s="53">
        <v>45957</v>
      </c>
      <c r="N954" s="50" t="s">
        <v>379</v>
      </c>
      <c r="O954" s="50" t="s">
        <v>3133</v>
      </c>
      <c r="P954" s="50" t="s">
        <v>3132</v>
      </c>
      <c r="Q954" s="55" t="s">
        <v>3134</v>
      </c>
      <c r="R954" s="55" t="s">
        <v>3135</v>
      </c>
      <c r="S954" s="53">
        <v>47052</v>
      </c>
      <c r="T954" s="50"/>
      <c r="U954" s="50"/>
      <c r="V954" s="56"/>
      <c r="W954" s="56"/>
      <c r="X954" s="56"/>
      <c r="Y954" s="56"/>
      <c r="Z954" s="56"/>
      <c r="AA954" s="56"/>
      <c r="AB954" s="56"/>
    </row>
    <row x14ac:dyDescent="0.25" r="955" customHeight="1" ht="18.75">
      <c r="A955" s="56"/>
      <c r="B955" s="56"/>
      <c r="C955" s="50" t="s">
        <v>16</v>
      </c>
      <c r="D955" s="50" t="s">
        <v>80</v>
      </c>
      <c r="E955" s="50" t="s">
        <v>97</v>
      </c>
      <c r="F955" s="50" t="s">
        <v>3136</v>
      </c>
      <c r="G955" s="55">
        <v>10000000</v>
      </c>
      <c r="H955" s="55"/>
      <c r="I955" s="55"/>
      <c r="J955" s="51">
        <v>1200000</v>
      </c>
      <c r="K955" s="51"/>
      <c r="L955" s="52">
        <v>46152</v>
      </c>
      <c r="M955" s="53">
        <v>46091</v>
      </c>
      <c r="N955" s="50" t="s">
        <v>3137</v>
      </c>
      <c r="O955" s="50" t="s">
        <v>3138</v>
      </c>
      <c r="P955" s="50" t="s">
        <v>3136</v>
      </c>
      <c r="Q955" s="55" t="s">
        <v>3139</v>
      </c>
      <c r="R955" s="55" t="s">
        <v>3140</v>
      </c>
      <c r="S955" s="53">
        <v>47186</v>
      </c>
      <c r="T955" s="50" t="s">
        <v>3141</v>
      </c>
      <c r="U955" s="50"/>
      <c r="V955" s="56"/>
      <c r="W955" s="56"/>
      <c r="X955" s="56"/>
      <c r="Y955" s="56"/>
      <c r="Z955" s="56"/>
      <c r="AA955" s="56"/>
      <c r="AB955" s="56"/>
    </row>
    <row x14ac:dyDescent="0.25" r="956" customHeight="1" ht="18.75">
      <c r="A956" s="56"/>
      <c r="B956" s="56"/>
      <c r="C956" s="50" t="s">
        <v>16</v>
      </c>
      <c r="D956" s="50" t="s">
        <v>143</v>
      </c>
      <c r="E956" s="50" t="s">
        <v>14</v>
      </c>
      <c r="F956" s="50" t="s">
        <v>768</v>
      </c>
      <c r="G956" s="51">
        <v>40000000</v>
      </c>
      <c r="H956" s="51"/>
      <c r="I956" s="51"/>
      <c r="J956" s="51">
        <v>2900000</v>
      </c>
      <c r="K956" s="51"/>
      <c r="L956" s="52">
        <v>46244</v>
      </c>
      <c r="M956" s="53">
        <f>IF(L956&gt;0,EDATE(L956,-2),"")</f>
        <v>25569.375</v>
      </c>
      <c r="N956" s="50" t="s">
        <v>217</v>
      </c>
      <c r="O956" s="50" t="s">
        <v>769</v>
      </c>
      <c r="P956" s="50" t="s">
        <v>770</v>
      </c>
      <c r="Q956" s="55" t="s">
        <v>771</v>
      </c>
      <c r="R956" s="55">
        <v>82006445</v>
      </c>
      <c r="S956" s="53">
        <f>IF(ISNUMBER(M956), EDATE(M956,36)-1, "")</f>
        <v>25569.375</v>
      </c>
      <c r="T956" s="50"/>
      <c r="U956" s="50"/>
      <c r="V956" s="56" t="s">
        <v>772</v>
      </c>
      <c r="W956" s="56"/>
      <c r="X956" s="56"/>
      <c r="Y956" s="56"/>
      <c r="Z956" s="56"/>
      <c r="AA956" s="56"/>
      <c r="AB956" s="56"/>
    </row>
    <row x14ac:dyDescent="0.25" r="957" customHeight="1" ht="18.75">
      <c r="A957" s="56"/>
      <c r="B957" s="56"/>
      <c r="C957" s="50" t="s">
        <v>16</v>
      </c>
      <c r="D957" s="50" t="s">
        <v>143</v>
      </c>
      <c r="E957" s="50" t="s">
        <v>14</v>
      </c>
      <c r="F957" s="50" t="s">
        <v>1985</v>
      </c>
      <c r="G957" s="51">
        <v>50000000</v>
      </c>
      <c r="H957" s="51"/>
      <c r="I957" s="51"/>
      <c r="J957" s="51">
        <v>3400000</v>
      </c>
      <c r="K957" s="51"/>
      <c r="L957" s="52">
        <v>46244</v>
      </c>
      <c r="M957" s="53">
        <f>IF(L957&gt;0,EDATE(L957,-2),"")</f>
        <v>25569.375</v>
      </c>
      <c r="N957" s="50" t="s">
        <v>168</v>
      </c>
      <c r="O957" s="50" t="s">
        <v>1986</v>
      </c>
      <c r="P957" s="54">
        <f>IF(F957&gt;0,F957,"")</f>
      </c>
      <c r="Q957" s="55">
        <v>6711112412011</v>
      </c>
      <c r="R957" s="55">
        <v>26333139</v>
      </c>
      <c r="S957" s="53">
        <f>IF(ISNUMBER(M957), EDATE(M957,36)-1, "")</f>
        <v>25569.375</v>
      </c>
      <c r="T957" s="50"/>
      <c r="U957" s="50"/>
      <c r="V957" s="56" t="s">
        <v>772</v>
      </c>
      <c r="W957" s="56"/>
      <c r="X957" s="56"/>
      <c r="Y957" s="56"/>
      <c r="Z957" s="56"/>
      <c r="AA957" s="56"/>
      <c r="AB957" s="56"/>
    </row>
    <row x14ac:dyDescent="0.25" r="958" customHeight="1" ht="18.75">
      <c r="A958" s="56"/>
      <c r="B958" s="56"/>
      <c r="C958" s="50" t="s">
        <v>16</v>
      </c>
      <c r="D958" s="50"/>
      <c r="E958" s="50" t="s">
        <v>141</v>
      </c>
      <c r="F958" s="50" t="s">
        <v>3148</v>
      </c>
      <c r="G958" s="55">
        <v>30000000</v>
      </c>
      <c r="H958" s="55"/>
      <c r="I958" s="55"/>
      <c r="J958" s="51">
        <v>2028000</v>
      </c>
      <c r="K958" s="51"/>
      <c r="L958" s="52">
        <v>46137</v>
      </c>
      <c r="M958" s="53">
        <v>46078</v>
      </c>
      <c r="N958" s="50" t="s">
        <v>282</v>
      </c>
      <c r="O958" s="50" t="s">
        <v>3149</v>
      </c>
      <c r="P958" s="50" t="s">
        <v>3148</v>
      </c>
      <c r="Q958" s="55" t="s">
        <v>3150</v>
      </c>
      <c r="R958" s="55" t="s">
        <v>3151</v>
      </c>
      <c r="S958" s="53">
        <v>47173</v>
      </c>
      <c r="T958" s="50" t="s">
        <v>3152</v>
      </c>
      <c r="U958" s="50" t="s">
        <v>166</v>
      </c>
      <c r="V958" s="56"/>
      <c r="W958" s="56"/>
      <c r="X958" s="56"/>
      <c r="Y958" s="56"/>
      <c r="Z958" s="56"/>
      <c r="AA958" s="56"/>
      <c r="AB958" s="56"/>
    </row>
    <row x14ac:dyDescent="0.25" r="959" customHeight="1" ht="18.75">
      <c r="A959" s="56"/>
      <c r="B959" s="56"/>
      <c r="C959" s="50" t="s">
        <v>16</v>
      </c>
      <c r="D959" s="50"/>
      <c r="E959" s="50"/>
      <c r="F959" s="50" t="s">
        <v>3153</v>
      </c>
      <c r="G959" s="55">
        <v>10000000</v>
      </c>
      <c r="H959" s="55"/>
      <c r="I959" s="55"/>
      <c r="J959" s="51">
        <v>800000</v>
      </c>
      <c r="K959" s="51"/>
      <c r="L959" s="52">
        <v>46022</v>
      </c>
      <c r="M959" s="53">
        <v>45961</v>
      </c>
      <c r="N959" s="50" t="s">
        <v>302</v>
      </c>
      <c r="O959" s="50" t="s">
        <v>3154</v>
      </c>
      <c r="P959" s="50" t="s">
        <v>3153</v>
      </c>
      <c r="Q959" s="55" t="s">
        <v>3155</v>
      </c>
      <c r="R959" s="55" t="s">
        <v>3156</v>
      </c>
      <c r="S959" s="53">
        <v>47056</v>
      </c>
      <c r="T959" s="50"/>
      <c r="U959" s="50"/>
      <c r="V959" s="56"/>
      <c r="W959" s="56"/>
      <c r="X959" s="56"/>
      <c r="Y959" s="56"/>
      <c r="Z959" s="56"/>
      <c r="AA959" s="56"/>
      <c r="AB959" s="56"/>
    </row>
    <row x14ac:dyDescent="0.25" r="960" customHeight="1" ht="18.75">
      <c r="A960" s="56"/>
      <c r="B960" s="56"/>
      <c r="C960" s="49" t="s">
        <v>16</v>
      </c>
      <c r="D960" s="50"/>
      <c r="E960" s="50"/>
      <c r="F960" s="50" t="s">
        <v>3157</v>
      </c>
      <c r="G960" s="51">
        <v>10000000</v>
      </c>
      <c r="H960" s="51"/>
      <c r="I960" s="51"/>
      <c r="J960" s="51">
        <v>800000</v>
      </c>
      <c r="K960" s="51"/>
      <c r="L960" s="52">
        <v>46148</v>
      </c>
      <c r="M960" s="53">
        <f>IF(L960&gt;0,EDATE(L960,-2),"")</f>
        <v>25569.375</v>
      </c>
      <c r="N960" s="50" t="s">
        <v>239</v>
      </c>
      <c r="O960" s="50" t="s">
        <v>3158</v>
      </c>
      <c r="P960" s="54">
        <f>IF(F960&gt;0,F960,"")</f>
      </c>
      <c r="Q960" s="55" t="s">
        <v>3159</v>
      </c>
      <c r="R960" s="55">
        <v>37240978</v>
      </c>
      <c r="S960" s="53">
        <f>IF(ISNUMBER(M960), EDATE(M960,36)-1, "")</f>
        <v>25569.375</v>
      </c>
      <c r="T960" s="50"/>
      <c r="U960" s="50"/>
      <c r="V960" s="56"/>
      <c r="W960" s="56"/>
      <c r="X960" s="56"/>
      <c r="Y960" s="56"/>
      <c r="Z960" s="56"/>
      <c r="AA960" s="56"/>
      <c r="AB960" s="56"/>
    </row>
    <row x14ac:dyDescent="0.25" r="961" customHeight="1" ht="18.75">
      <c r="A961" s="56"/>
      <c r="B961" s="56"/>
      <c r="C961" s="50" t="s">
        <v>16</v>
      </c>
      <c r="D961" s="50" t="s">
        <v>1999</v>
      </c>
      <c r="E961" s="50" t="s">
        <v>14</v>
      </c>
      <c r="F961" s="50" t="s">
        <v>3179</v>
      </c>
      <c r="G961" s="51">
        <v>10000000</v>
      </c>
      <c r="H961" s="51"/>
      <c r="I961" s="51"/>
      <c r="J961" s="87">
        <f>IF(G961&gt;0,_xludf.IFS(G961=10000000,1200000,G961=20000000,1800000,G961=30000000,2400000,G961=60000000,4000000),"")</f>
      </c>
      <c r="K961" s="51"/>
      <c r="L961" s="52">
        <v>46247</v>
      </c>
      <c r="M961" s="53">
        <v>46183</v>
      </c>
      <c r="N961" s="50" t="s">
        <v>155</v>
      </c>
      <c r="O961" s="50" t="s">
        <v>3180</v>
      </c>
      <c r="P961" s="54">
        <f>IF(F961&gt;0,F961,"")</f>
      </c>
      <c r="Q961" s="55">
        <v>9904012199321</v>
      </c>
      <c r="R961" s="55">
        <v>87796328</v>
      </c>
      <c r="S961" s="53">
        <f>IF(ISNUMBER(M961), EDATE(M961,36)-1, "")</f>
        <v>25569.375</v>
      </c>
      <c r="T961" s="50"/>
      <c r="U961" s="56"/>
      <c r="V961" s="56" t="s">
        <v>772</v>
      </c>
      <c r="W961" s="56"/>
      <c r="X961" s="56"/>
      <c r="Y961" s="56"/>
      <c r="Z961" s="56"/>
      <c r="AA961" s="56"/>
      <c r="AB961" s="56"/>
    </row>
    <row x14ac:dyDescent="0.25" r="962" customHeight="1" ht="18.75">
      <c r="A962" s="56"/>
      <c r="B962" s="56"/>
      <c r="C962" s="50" t="s">
        <v>16</v>
      </c>
      <c r="D962" s="50"/>
      <c r="E962" s="50" t="s">
        <v>2536</v>
      </c>
      <c r="F962" s="50" t="s">
        <v>3162</v>
      </c>
      <c r="G962" s="55">
        <v>10000000</v>
      </c>
      <c r="H962" s="55"/>
      <c r="I962" s="55"/>
      <c r="J962" s="51">
        <v>800000</v>
      </c>
      <c r="K962" s="51"/>
      <c r="L962" s="52">
        <v>46158</v>
      </c>
      <c r="M962" s="53">
        <v>46097</v>
      </c>
      <c r="N962" s="50" t="s">
        <v>217</v>
      </c>
      <c r="O962" s="50" t="s">
        <v>3163</v>
      </c>
      <c r="P962" s="50" t="s">
        <v>3162</v>
      </c>
      <c r="Q962" s="55" t="s">
        <v>3164</v>
      </c>
      <c r="R962" s="55" t="s">
        <v>3165</v>
      </c>
      <c r="S962" s="53">
        <v>47192</v>
      </c>
      <c r="T962" s="50" t="s">
        <v>3166</v>
      </c>
      <c r="U962" s="50" t="s">
        <v>166</v>
      </c>
      <c r="V962" s="56"/>
      <c r="W962" s="56"/>
      <c r="X962" s="56"/>
      <c r="Y962" s="56"/>
      <c r="Z962" s="56"/>
      <c r="AA962" s="56"/>
      <c r="AB962" s="56"/>
    </row>
    <row x14ac:dyDescent="0.25" r="963" customHeight="1" ht="18.75">
      <c r="A963" s="56"/>
      <c r="B963" s="56"/>
      <c r="C963" s="50" t="s">
        <v>16</v>
      </c>
      <c r="D963" s="50"/>
      <c r="E963" s="50"/>
      <c r="F963" s="50" t="s">
        <v>2258</v>
      </c>
      <c r="G963" s="55">
        <v>10000000</v>
      </c>
      <c r="H963" s="55"/>
      <c r="I963" s="55"/>
      <c r="J963" s="51">
        <v>800000</v>
      </c>
      <c r="K963" s="51"/>
      <c r="L963" s="52">
        <v>46081</v>
      </c>
      <c r="M963" s="53">
        <v>46022</v>
      </c>
      <c r="N963" s="50" t="s">
        <v>239</v>
      </c>
      <c r="O963" s="50" t="s">
        <v>2674</v>
      </c>
      <c r="P963" s="50" t="s">
        <v>2258</v>
      </c>
      <c r="Q963" s="55" t="s">
        <v>3167</v>
      </c>
      <c r="R963" s="55" t="s">
        <v>3168</v>
      </c>
      <c r="S963" s="53">
        <v>47117</v>
      </c>
      <c r="T963" s="50"/>
      <c r="U963" s="50"/>
      <c r="V963" s="56"/>
      <c r="W963" s="56"/>
      <c r="X963" s="56"/>
      <c r="Y963" s="56"/>
      <c r="Z963" s="56"/>
      <c r="AA963" s="56"/>
      <c r="AB963" s="56"/>
    </row>
    <row x14ac:dyDescent="0.25" r="964" customHeight="1" ht="18.75">
      <c r="A964" s="56"/>
      <c r="B964" s="56"/>
      <c r="C964" s="50" t="s">
        <v>16</v>
      </c>
      <c r="D964" s="50"/>
      <c r="E964" s="50" t="s">
        <v>3162</v>
      </c>
      <c r="F964" s="50" t="s">
        <v>3169</v>
      </c>
      <c r="G964" s="55">
        <v>10000000</v>
      </c>
      <c r="H964" s="55"/>
      <c r="I964" s="55"/>
      <c r="J964" s="51">
        <v>500000</v>
      </c>
      <c r="K964" s="51"/>
      <c r="L964" s="52">
        <v>46158</v>
      </c>
      <c r="M964" s="53">
        <v>46097</v>
      </c>
      <c r="N964" s="50" t="s">
        <v>239</v>
      </c>
      <c r="O964" s="50" t="s">
        <v>3170</v>
      </c>
      <c r="P964" s="50" t="s">
        <v>3169</v>
      </c>
      <c r="Q964" s="55" t="s">
        <v>3171</v>
      </c>
      <c r="R964" s="55" t="s">
        <v>3172</v>
      </c>
      <c r="S964" s="53">
        <v>47192</v>
      </c>
      <c r="T964" s="50" t="s">
        <v>3173</v>
      </c>
      <c r="U964" s="50" t="s">
        <v>166</v>
      </c>
      <c r="V964" s="56"/>
      <c r="W964" s="56"/>
      <c r="X964" s="56"/>
      <c r="Y964" s="56"/>
      <c r="Z964" s="56"/>
      <c r="AA964" s="56"/>
      <c r="AB964" s="56"/>
    </row>
    <row x14ac:dyDescent="0.25" r="965" customHeight="1" ht="18.75">
      <c r="A965" s="56"/>
      <c r="B965" s="56"/>
      <c r="C965" s="50" t="s">
        <v>16</v>
      </c>
      <c r="D965" s="50"/>
      <c r="E965" s="50"/>
      <c r="F965" s="50" t="s">
        <v>3174</v>
      </c>
      <c r="G965" s="55">
        <v>10000000</v>
      </c>
      <c r="H965" s="55"/>
      <c r="I965" s="55"/>
      <c r="J965" s="51">
        <v>800000</v>
      </c>
      <c r="K965" s="51"/>
      <c r="L965" s="52">
        <v>46147</v>
      </c>
      <c r="M965" s="53">
        <v>46086</v>
      </c>
      <c r="N965" s="50" t="s">
        <v>161</v>
      </c>
      <c r="O965" s="50" t="s">
        <v>3175</v>
      </c>
      <c r="P965" s="50" t="s">
        <v>3174</v>
      </c>
      <c r="Q965" s="55" t="s">
        <v>3176</v>
      </c>
      <c r="R965" s="55" t="s">
        <v>3177</v>
      </c>
      <c r="S965" s="53">
        <v>47181</v>
      </c>
      <c r="T965" s="50" t="s">
        <v>3178</v>
      </c>
      <c r="U965" s="50" t="s">
        <v>166</v>
      </c>
      <c r="V965" s="56"/>
      <c r="W965" s="56"/>
      <c r="X965" s="56"/>
      <c r="Y965" s="56"/>
      <c r="Z965" s="56"/>
      <c r="AA965" s="56"/>
      <c r="AB965" s="56"/>
    </row>
    <row x14ac:dyDescent="0.25" r="966" customHeight="1" ht="18.75">
      <c r="A966" s="56"/>
      <c r="B966" s="56"/>
      <c r="C966" s="50" t="s">
        <v>16</v>
      </c>
      <c r="D966" s="50" t="s">
        <v>1999</v>
      </c>
      <c r="E966" s="50" t="s">
        <v>14</v>
      </c>
      <c r="F966" s="50" t="s">
        <v>3196</v>
      </c>
      <c r="G966" s="51">
        <v>10000000</v>
      </c>
      <c r="H966" s="51"/>
      <c r="I966" s="51"/>
      <c r="J966" s="87">
        <f>IF(G966&gt;0,_xludf.IFS(G966=10000000,1200000,G966=20000000,1800000,G966=30000000,2400000,G966=60000000,4000000),"")</f>
      </c>
      <c r="K966" s="51"/>
      <c r="L966" s="52">
        <v>46247</v>
      </c>
      <c r="M966" s="53">
        <v>46183</v>
      </c>
      <c r="N966" s="50" t="s">
        <v>699</v>
      </c>
      <c r="O966" s="50" t="s">
        <v>3197</v>
      </c>
      <c r="P966" s="54">
        <f>IF(F966&gt;0,F966,"")</f>
      </c>
      <c r="Q966" s="55">
        <v>6305281637513</v>
      </c>
      <c r="R966" s="55">
        <v>54246328</v>
      </c>
      <c r="S966" s="53">
        <f>IF(ISNUMBER(M966), EDATE(M966,36)-1, "")</f>
        <v>25569.375</v>
      </c>
      <c r="T966" s="50"/>
      <c r="U966" s="56"/>
      <c r="V966" s="56" t="s">
        <v>772</v>
      </c>
      <c r="W966" s="56"/>
      <c r="X966" s="56"/>
      <c r="Y966" s="56"/>
      <c r="Z966" s="56"/>
      <c r="AA966" s="56"/>
      <c r="AB966" s="56"/>
    </row>
    <row x14ac:dyDescent="0.25" r="967" customHeight="1" ht="18.75">
      <c r="A967" s="56"/>
      <c r="B967" s="56"/>
      <c r="C967" s="50" t="s">
        <v>16</v>
      </c>
      <c r="D967" s="50"/>
      <c r="E967" s="50"/>
      <c r="F967" s="50" t="s">
        <v>3181</v>
      </c>
      <c r="G967" s="55">
        <v>10000000</v>
      </c>
      <c r="H967" s="55"/>
      <c r="I967" s="55"/>
      <c r="J967" s="51">
        <v>800000</v>
      </c>
      <c r="K967" s="51"/>
      <c r="L967" s="52">
        <v>45990</v>
      </c>
      <c r="M967" s="53">
        <v>45929</v>
      </c>
      <c r="N967" s="50" t="s">
        <v>2054</v>
      </c>
      <c r="O967" s="50" t="s">
        <v>3182</v>
      </c>
      <c r="P967" s="50" t="s">
        <v>3181</v>
      </c>
      <c r="Q967" s="55" t="s">
        <v>3183</v>
      </c>
      <c r="R967" s="55" t="s">
        <v>3184</v>
      </c>
      <c r="S967" s="53">
        <v>47024</v>
      </c>
      <c r="T967" s="50"/>
      <c r="U967" s="50"/>
      <c r="V967" s="56"/>
      <c r="W967" s="56"/>
      <c r="X967" s="56"/>
      <c r="Y967" s="56"/>
      <c r="Z967" s="56"/>
      <c r="AA967" s="56"/>
      <c r="AB967" s="56"/>
    </row>
    <row x14ac:dyDescent="0.25" r="968" customHeight="1" ht="18.75">
      <c r="A968" s="56"/>
      <c r="B968" s="56"/>
      <c r="C968" s="50" t="s">
        <v>16</v>
      </c>
      <c r="D968" s="50" t="s">
        <v>454</v>
      </c>
      <c r="E968" s="50" t="s">
        <v>1397</v>
      </c>
      <c r="F968" s="50" t="s">
        <v>1398</v>
      </c>
      <c r="G968" s="51">
        <v>10000000</v>
      </c>
      <c r="H968" s="51"/>
      <c r="I968" s="51"/>
      <c r="J968" s="87">
        <f>IF(G968&gt;0,_xludf.IFS(G968=10000000,1200000,G968=20000000,1800000,G968=30000000,2400000,G968=60000000,4000000),"")</f>
      </c>
      <c r="K968" s="51"/>
      <c r="L968" s="52">
        <v>46245</v>
      </c>
      <c r="M968" s="53">
        <f>IF(L968&gt;0,EDATE(L968,-2),"")</f>
        <v>25569.375</v>
      </c>
      <c r="N968" s="50" t="s">
        <v>155</v>
      </c>
      <c r="O968" s="50" t="s">
        <v>1399</v>
      </c>
      <c r="P968" s="54">
        <f>IF(F968&gt;0,F968,"")</f>
      </c>
      <c r="Q968" s="55">
        <v>7906222683828</v>
      </c>
      <c r="R968" s="55">
        <v>87849810</v>
      </c>
      <c r="S968" s="53">
        <f>IF(ISNUMBER(M968), EDATE(M968,36)-1, "")</f>
        <v>25569.375</v>
      </c>
      <c r="T968" s="50"/>
      <c r="U968" s="50"/>
      <c r="V968" s="56"/>
      <c r="W968" s="56"/>
      <c r="X968" s="56"/>
      <c r="Y968" s="56"/>
      <c r="Z968" s="56"/>
      <c r="AA968" s="56"/>
      <c r="AB968" s="56"/>
    </row>
    <row x14ac:dyDescent="0.25" r="969" customHeight="1" ht="18.75">
      <c r="A969" s="56"/>
      <c r="B969" s="56"/>
      <c r="C969" s="50" t="s">
        <v>16</v>
      </c>
      <c r="D969" s="50" t="s">
        <v>1999</v>
      </c>
      <c r="E969" s="50" t="s">
        <v>14</v>
      </c>
      <c r="F969" s="50" t="s">
        <v>2000</v>
      </c>
      <c r="G969" s="51">
        <v>10000000</v>
      </c>
      <c r="H969" s="51"/>
      <c r="I969" s="51"/>
      <c r="J969" s="87">
        <f>IF(G969&gt;0,_xludf.IFS(G969=10000000,1200000,G969=20000000,1800000,G969=30000000,2400000,G969=60000000,4000000),"")</f>
      </c>
      <c r="K969" s="51"/>
      <c r="L969" s="52">
        <v>46245</v>
      </c>
      <c r="M969" s="53">
        <f>IF(L969&gt;0,EDATE(L969,-2),"")</f>
        <v>25569.375</v>
      </c>
      <c r="N969" s="50" t="s">
        <v>155</v>
      </c>
      <c r="O969" s="50" t="s">
        <v>2001</v>
      </c>
      <c r="P969" s="50" t="s">
        <v>2002</v>
      </c>
      <c r="Q969" s="55">
        <v>6202072468518</v>
      </c>
      <c r="R969" s="55">
        <v>75704456</v>
      </c>
      <c r="S969" s="53">
        <f>IF(ISNUMBER(M969), EDATE(M969,36)-1, "")</f>
        <v>25569.375</v>
      </c>
      <c r="T969" s="50"/>
      <c r="U969" s="56"/>
      <c r="V969" s="56" t="s">
        <v>772</v>
      </c>
      <c r="W969" s="56"/>
      <c r="X969" s="56"/>
      <c r="Y969" s="56"/>
      <c r="Z969" s="56"/>
      <c r="AA969" s="56"/>
      <c r="AB969" s="56"/>
    </row>
    <row x14ac:dyDescent="0.25" r="970" customHeight="1" ht="18.75">
      <c r="A970" s="56"/>
      <c r="B970" s="56"/>
      <c r="C970" s="50" t="s">
        <v>16</v>
      </c>
      <c r="D970" s="50" t="s">
        <v>454</v>
      </c>
      <c r="E970" s="50" t="s">
        <v>647</v>
      </c>
      <c r="F970" s="50" t="s">
        <v>2890</v>
      </c>
      <c r="G970" s="51">
        <v>10000000</v>
      </c>
      <c r="H970" s="51"/>
      <c r="I970" s="51"/>
      <c r="J970" s="87">
        <f>IF(G970&gt;0,_xludf.IFS(G970=10000000,1200000,G970=20000000,1800000,G970=30000000,2400000,G970=60000000,4000000),"")</f>
      </c>
      <c r="K970" s="51"/>
      <c r="L970" s="52">
        <v>46245</v>
      </c>
      <c r="M970" s="53">
        <f>IF(L970&gt;0,EDATE(L970,-2),"")</f>
        <v>25569.375</v>
      </c>
      <c r="N970" s="50" t="s">
        <v>155</v>
      </c>
      <c r="O970" s="50" t="s">
        <v>2891</v>
      </c>
      <c r="P970" s="54">
        <f>IF(F970&gt;0,F970,"")</f>
      </c>
      <c r="Q970" s="55">
        <v>7802082691227</v>
      </c>
      <c r="R970" s="55">
        <v>27362968</v>
      </c>
      <c r="S970" s="53">
        <f>IF(ISNUMBER(M970), EDATE(M970,36)-1, "")</f>
        <v>25569.375</v>
      </c>
      <c r="T970" s="50"/>
      <c r="U970" s="50"/>
      <c r="V970" s="56"/>
      <c r="W970" s="56"/>
      <c r="X970" s="56"/>
      <c r="Y970" s="56"/>
      <c r="Z970" s="56"/>
      <c r="AA970" s="56"/>
      <c r="AB970" s="56"/>
    </row>
    <row x14ac:dyDescent="0.25" r="971" customHeight="1" ht="18.75">
      <c r="A971" s="56"/>
      <c r="B971" s="56"/>
      <c r="C971" s="50" t="s">
        <v>16</v>
      </c>
      <c r="D971" s="50" t="s">
        <v>153</v>
      </c>
      <c r="E971" s="50" t="s">
        <v>154</v>
      </c>
      <c r="F971" s="50" t="s">
        <v>731</v>
      </c>
      <c r="G971" s="51">
        <v>10000000</v>
      </c>
      <c r="H971" s="51"/>
      <c r="I971" s="51"/>
      <c r="J971" s="87">
        <f>IF(G971&gt;0,_xludf.IFS(G971=10000000,1200000,G971=20000000,1800000,G971=30000000,2400000,G971=60000000,4000000),"")</f>
      </c>
      <c r="K971" s="51"/>
      <c r="L971" s="52">
        <v>46246</v>
      </c>
      <c r="M971" s="53">
        <f>IF(L971&gt;0,EDATE(L971,-2),"")</f>
        <v>25569.375</v>
      </c>
      <c r="N971" s="50" t="s">
        <v>155</v>
      </c>
      <c r="O971" s="50" t="s">
        <v>732</v>
      </c>
      <c r="P971" s="54">
        <f>IF(F971&gt;0,F971,"")</f>
      </c>
      <c r="Q971" s="55">
        <v>6702072812341</v>
      </c>
      <c r="R971" s="55">
        <v>92836777</v>
      </c>
      <c r="S971" s="53">
        <f>IF(ISNUMBER(M971), EDATE(M971,36)-1, "")</f>
        <v>25569.375</v>
      </c>
      <c r="T971" s="50"/>
      <c r="U971" s="50"/>
      <c r="V971" s="56"/>
      <c r="W971" s="56"/>
      <c r="X971" s="56"/>
      <c r="Y971" s="56"/>
      <c r="Z971" s="56"/>
      <c r="AA971" s="56"/>
      <c r="AB971" s="56"/>
    </row>
    <row x14ac:dyDescent="0.25" r="972" customHeight="1" ht="18.75">
      <c r="A972" s="71" t="s">
        <v>252</v>
      </c>
      <c r="B972" s="71"/>
      <c r="C972" s="72" t="s">
        <v>16</v>
      </c>
      <c r="D972" s="72" t="s">
        <v>143</v>
      </c>
      <c r="E972" s="72" t="s">
        <v>14</v>
      </c>
      <c r="F972" s="72" t="s">
        <v>3190</v>
      </c>
      <c r="G972" s="73"/>
      <c r="H972" s="73"/>
      <c r="I972" s="73"/>
      <c r="J972" s="74"/>
      <c r="K972" s="74"/>
      <c r="L972" s="75" t="s">
        <v>449</v>
      </c>
      <c r="M972" s="76" t="s">
        <v>449</v>
      </c>
      <c r="N972" s="72"/>
      <c r="O972" s="72"/>
      <c r="P972" s="72" t="s">
        <v>3190</v>
      </c>
      <c r="Q972" s="73" t="s">
        <v>1587</v>
      </c>
      <c r="R972" s="73" t="s">
        <v>1588</v>
      </c>
      <c r="S972" s="76" t="s">
        <v>449</v>
      </c>
      <c r="T972" s="72"/>
      <c r="U972" s="72"/>
      <c r="V972" s="71"/>
      <c r="W972" s="56"/>
      <c r="X972" s="56"/>
      <c r="Y972" s="56"/>
      <c r="Z972" s="56"/>
      <c r="AA972" s="56"/>
      <c r="AB972" s="56"/>
    </row>
    <row x14ac:dyDescent="0.25" r="973" customHeight="1" ht="18.75">
      <c r="A973" s="56"/>
      <c r="B973" s="56"/>
      <c r="C973" s="50" t="s">
        <v>16</v>
      </c>
      <c r="D973" s="50" t="s">
        <v>454</v>
      </c>
      <c r="E973" s="50" t="s">
        <v>538</v>
      </c>
      <c r="F973" s="50" t="s">
        <v>2639</v>
      </c>
      <c r="G973" s="51">
        <v>10000000</v>
      </c>
      <c r="H973" s="51"/>
      <c r="I973" s="51"/>
      <c r="J973" s="87">
        <f>IF(G973&gt;0,_xludf.IFS(G973=10000000,1200000,G973=20000000,1800000,G973=30000000,2400000,G973=60000000,4000000),"")</f>
      </c>
      <c r="K973" s="51"/>
      <c r="L973" s="52">
        <v>46246</v>
      </c>
      <c r="M973" s="53">
        <f>IF(L973&gt;0,EDATE(L973,-2),"")</f>
        <v>25569.375</v>
      </c>
      <c r="N973" s="50" t="s">
        <v>155</v>
      </c>
      <c r="O973" s="50" t="s">
        <v>2640</v>
      </c>
      <c r="P973" s="54">
        <f>IF(F973&gt;0,F973,"")</f>
      </c>
      <c r="Q973" s="55">
        <v>7508232917014</v>
      </c>
      <c r="R973" s="55">
        <v>45472007</v>
      </c>
      <c r="S973" s="53">
        <f>IF(ISNUMBER(M973), EDATE(M973,36)-1, "")</f>
        <v>25569.375</v>
      </c>
      <c r="T973" s="50"/>
      <c r="U973" s="50"/>
      <c r="V973" s="56"/>
      <c r="W973" s="56"/>
      <c r="X973" s="56"/>
      <c r="Y973" s="56"/>
      <c r="Z973" s="56"/>
      <c r="AA973" s="56"/>
      <c r="AB973" s="56"/>
    </row>
    <row x14ac:dyDescent="0.25" r="974" customHeight="1" ht="18.75">
      <c r="A974" s="56"/>
      <c r="B974" s="56"/>
      <c r="C974" s="50" t="s">
        <v>16</v>
      </c>
      <c r="D974" s="50" t="s">
        <v>48</v>
      </c>
      <c r="E974" s="50" t="s">
        <v>521</v>
      </c>
      <c r="F974" s="50" t="s">
        <v>522</v>
      </c>
      <c r="G974" s="51">
        <v>10000000</v>
      </c>
      <c r="H974" s="51"/>
      <c r="I974" s="51"/>
      <c r="J974" s="87">
        <f>IF(G974&gt;0,_xludf.IFS(G974=10000000,1200000,G974=20000000,1800000,G974=30000000,2400000,G974=60000000,4000000),"")</f>
      </c>
      <c r="K974" s="51"/>
      <c r="L974" s="52">
        <v>46247</v>
      </c>
      <c r="M974" s="53">
        <f>IF(L974&gt;0,EDATE(L974,-2),"")</f>
        <v>25569.375</v>
      </c>
      <c r="N974" s="50" t="s">
        <v>302</v>
      </c>
      <c r="O974" s="50" t="s">
        <v>523</v>
      </c>
      <c r="P974" s="54">
        <f>IF(F974&gt;0,F974,"")</f>
      </c>
      <c r="Q974" s="55">
        <v>6602062638011</v>
      </c>
      <c r="R974" s="55">
        <v>49237587</v>
      </c>
      <c r="S974" s="53">
        <f>IF(ISNUMBER(M974), EDATE(M974,36)-1, "")</f>
        <v>25569.375</v>
      </c>
      <c r="T974" s="50"/>
      <c r="U974" s="50"/>
      <c r="V974" s="56"/>
      <c r="W974" s="56"/>
      <c r="X974" s="56"/>
      <c r="Y974" s="56"/>
      <c r="Z974" s="56"/>
      <c r="AA974" s="56"/>
      <c r="AB974" s="56"/>
    </row>
    <row x14ac:dyDescent="0.25" r="975" customHeight="1" ht="18.75">
      <c r="A975" s="56"/>
      <c r="B975" s="56"/>
      <c r="C975" s="50" t="s">
        <v>16</v>
      </c>
      <c r="D975" s="50" t="s">
        <v>48</v>
      </c>
      <c r="E975" s="50" t="s">
        <v>521</v>
      </c>
      <c r="F975" s="50" t="s">
        <v>1809</v>
      </c>
      <c r="G975" s="51">
        <v>10000000</v>
      </c>
      <c r="H975" s="51"/>
      <c r="I975" s="51"/>
      <c r="J975" s="87">
        <f>IF(G975&gt;0,_xludf.IFS(G975=10000000,1200000,G975=20000000,1800000,G975=30000000,2400000,G975=60000000,4000000),"")</f>
      </c>
      <c r="K975" s="51"/>
      <c r="L975" s="52">
        <v>46247</v>
      </c>
      <c r="M975" s="53">
        <f>IF(L975&gt;0,EDATE(L975,-2),"")</f>
        <v>25569.375</v>
      </c>
      <c r="N975" s="50" t="s">
        <v>988</v>
      </c>
      <c r="O975" s="50" t="s">
        <v>1810</v>
      </c>
      <c r="P975" s="54">
        <f>IF(F975&gt;0,F975,"")</f>
      </c>
      <c r="Q975" s="55">
        <v>6307102476814</v>
      </c>
      <c r="R975" s="55">
        <v>82328250</v>
      </c>
      <c r="S975" s="53">
        <f>IF(ISNUMBER(M975), EDATE(M975,36)-1, "")</f>
        <v>25569.375</v>
      </c>
      <c r="T975" s="50"/>
      <c r="U975" s="50"/>
      <c r="V975" s="56"/>
      <c r="W975" s="56"/>
      <c r="X975" s="56"/>
      <c r="Y975" s="56"/>
      <c r="Z975" s="56"/>
      <c r="AA975" s="56"/>
      <c r="AB975" s="56"/>
    </row>
    <row x14ac:dyDescent="0.25" r="976" customHeight="1" ht="18.75">
      <c r="A976" s="56"/>
      <c r="B976" s="56"/>
      <c r="C976" s="50" t="s">
        <v>16</v>
      </c>
      <c r="D976" s="50" t="s">
        <v>143</v>
      </c>
      <c r="E976" s="50" t="s">
        <v>14</v>
      </c>
      <c r="F976" s="50" t="s">
        <v>2518</v>
      </c>
      <c r="G976" s="51">
        <v>10000000</v>
      </c>
      <c r="H976" s="51"/>
      <c r="I976" s="51"/>
      <c r="J976" s="87">
        <f>IF(G976&gt;0,_xludf.IFS(G976=10000000,1200000,G976=20000000,1800000,G976=30000000,2400000,G976=60000000,4000000),"")</f>
      </c>
      <c r="K976" s="51"/>
      <c r="L976" s="52">
        <v>46249</v>
      </c>
      <c r="M976" s="53">
        <f>IF(L976&gt;0,EDATE(L976,-2),"")</f>
        <v>25569.375</v>
      </c>
      <c r="N976" s="50" t="s">
        <v>205</v>
      </c>
      <c r="O976" s="50" t="s">
        <v>2519</v>
      </c>
      <c r="P976" s="54">
        <f>IF(F976&gt;0,F976,"")</f>
      </c>
      <c r="Q976" s="55">
        <v>7602121051619</v>
      </c>
      <c r="R976" s="55">
        <v>28741864</v>
      </c>
      <c r="S976" s="53">
        <f>IF(ISNUMBER(M976), EDATE(M976,36)-1, "")</f>
        <v>25569.375</v>
      </c>
      <c r="T976" s="50"/>
      <c r="U976" s="50"/>
      <c r="V976" s="56"/>
      <c r="W976" s="56"/>
      <c r="X976" s="56"/>
      <c r="Y976" s="56"/>
      <c r="Z976" s="56"/>
      <c r="AA976" s="56"/>
      <c r="AB976" s="56"/>
    </row>
    <row x14ac:dyDescent="0.25" r="977" customHeight="1" ht="18.75">
      <c r="A977" s="56"/>
      <c r="B977" s="56"/>
      <c r="C977" s="50" t="s">
        <v>16</v>
      </c>
      <c r="D977" s="50" t="s">
        <v>202</v>
      </c>
      <c r="E977" s="50" t="s">
        <v>203</v>
      </c>
      <c r="F977" s="50" t="s">
        <v>3208</v>
      </c>
      <c r="G977" s="51">
        <v>10000000</v>
      </c>
      <c r="H977" s="51"/>
      <c r="I977" s="51"/>
      <c r="J977" s="51">
        <v>800000</v>
      </c>
      <c r="K977" s="51"/>
      <c r="L977" s="52">
        <v>46073</v>
      </c>
      <c r="M977" s="53">
        <v>46015</v>
      </c>
      <c r="N977" s="50" t="s">
        <v>155</v>
      </c>
      <c r="O977" s="50" t="s">
        <v>3209</v>
      </c>
      <c r="P977" s="54">
        <f>IF(F977&gt;0,F977,"")</f>
      </c>
      <c r="Q977" s="55">
        <v>6907172912814</v>
      </c>
      <c r="R977" s="55">
        <v>85194747</v>
      </c>
      <c r="S977" s="53">
        <f>IF(ISNUMBER(M977), EDATE(M977,36)-1, "")</f>
        <v>25569.375</v>
      </c>
      <c r="T977" s="50"/>
      <c r="U977" s="50"/>
      <c r="V977" s="56"/>
      <c r="W977" s="56"/>
      <c r="X977" s="56"/>
      <c r="Y977" s="56"/>
      <c r="Z977" s="56"/>
      <c r="AA977" s="56"/>
      <c r="AB977" s="56"/>
    </row>
    <row x14ac:dyDescent="0.25" r="978" customHeight="1" ht="18.75">
      <c r="A978" s="56"/>
      <c r="B978" s="56"/>
      <c r="C978" s="50" t="s">
        <v>16</v>
      </c>
      <c r="D978" s="50"/>
      <c r="E978" s="50"/>
      <c r="F978" s="50" t="s">
        <v>3210</v>
      </c>
      <c r="G978" s="55">
        <v>10000000</v>
      </c>
      <c r="H978" s="55"/>
      <c r="I978" s="55"/>
      <c r="J978" s="51">
        <v>800000</v>
      </c>
      <c r="K978" s="51"/>
      <c r="L978" s="52">
        <v>45965</v>
      </c>
      <c r="M978" s="53">
        <v>45904</v>
      </c>
      <c r="N978" s="50" t="s">
        <v>155</v>
      </c>
      <c r="O978" s="50" t="s">
        <v>3211</v>
      </c>
      <c r="P978" s="50" t="s">
        <v>3210</v>
      </c>
      <c r="Q978" s="55" t="s">
        <v>3212</v>
      </c>
      <c r="R978" s="55" t="s">
        <v>3213</v>
      </c>
      <c r="S978" s="53">
        <v>46999</v>
      </c>
      <c r="T978" s="50"/>
      <c r="U978" s="50"/>
      <c r="V978" s="56"/>
      <c r="W978" s="56"/>
      <c r="X978" s="56"/>
      <c r="Y978" s="56"/>
      <c r="Z978" s="56"/>
      <c r="AA978" s="56"/>
      <c r="AB978" s="56"/>
    </row>
    <row x14ac:dyDescent="0.25" r="979" customHeight="1" ht="18.75">
      <c r="A979" s="56"/>
      <c r="B979" s="56"/>
      <c r="C979" s="50" t="s">
        <v>16</v>
      </c>
      <c r="D979" s="50"/>
      <c r="E979" s="50"/>
      <c r="F979" s="50" t="s">
        <v>3214</v>
      </c>
      <c r="G979" s="55">
        <v>10000000</v>
      </c>
      <c r="H979" s="55"/>
      <c r="I979" s="55"/>
      <c r="J979" s="51">
        <v>800000</v>
      </c>
      <c r="K979" s="51"/>
      <c r="L979" s="52">
        <v>46024</v>
      </c>
      <c r="M979" s="53">
        <v>45963</v>
      </c>
      <c r="N979" s="50" t="s">
        <v>217</v>
      </c>
      <c r="O979" s="50" t="s">
        <v>3215</v>
      </c>
      <c r="P979" s="50" t="s">
        <v>3214</v>
      </c>
      <c r="Q979" s="55" t="s">
        <v>3216</v>
      </c>
      <c r="R979" s="55" t="s">
        <v>3217</v>
      </c>
      <c r="S979" s="53">
        <v>47058</v>
      </c>
      <c r="T979" s="50"/>
      <c r="U979" s="50"/>
      <c r="V979" s="56"/>
      <c r="W979" s="56"/>
      <c r="X979" s="56"/>
      <c r="Y979" s="56"/>
      <c r="Z979" s="56"/>
      <c r="AA979" s="56"/>
      <c r="AB979" s="56"/>
    </row>
    <row x14ac:dyDescent="0.25" r="980" customHeight="1" ht="18.75">
      <c r="A980" s="56"/>
      <c r="B980" s="56"/>
      <c r="C980" s="50"/>
      <c r="D980" s="50"/>
      <c r="E980" s="50"/>
      <c r="F980" s="50"/>
      <c r="G980" s="51"/>
      <c r="H980" s="51"/>
      <c r="I980" s="51"/>
      <c r="J980" s="51">
        <f>IF(G980&gt;0,_xludf.IFS(G980=10000000,800000,G980=20000000,1528000,G980=30000000,2028000,G980=60000000,4056000),"")</f>
      </c>
      <c r="K980" s="51"/>
      <c r="L980" s="52"/>
      <c r="M980" s="53">
        <f>IF(L980&gt;0,EDATE(L980,-2),"")</f>
        <v>25569.375</v>
      </c>
      <c r="N980" s="50"/>
      <c r="O980" s="50"/>
      <c r="P980" s="54">
        <f>IF(F980&gt;0,F980,"")</f>
      </c>
      <c r="Q980" s="55"/>
      <c r="R980" s="55"/>
      <c r="S980" s="53">
        <f>IF(ISNUMBER(M980), EDATE(M980,36)-1, "")</f>
        <v>25569.375</v>
      </c>
      <c r="T980" s="50"/>
      <c r="U980" s="50"/>
      <c r="V980" s="56"/>
      <c r="W980" s="56"/>
      <c r="X980" s="56"/>
      <c r="Y980" s="56"/>
      <c r="Z980" s="56"/>
      <c r="AA980" s="56"/>
      <c r="AB980" s="56"/>
    </row>
    <row x14ac:dyDescent="0.25" r="981" customHeight="1" ht="18.75">
      <c r="A981" s="56"/>
      <c r="B981" s="56"/>
      <c r="C981" s="50"/>
      <c r="D981" s="50"/>
      <c r="E981" s="50"/>
      <c r="F981" s="50"/>
      <c r="G981" s="51"/>
      <c r="H981" s="51"/>
      <c r="I981" s="51"/>
      <c r="J981" s="51">
        <f>IF(G981&gt;0,_xludf.IFS(G981=10000000,1200000,G981=20000000,1800000,G981=30000000,2400000,G981=60000000,4000000),"")</f>
      </c>
      <c r="K981" s="51"/>
      <c r="L981" s="52"/>
      <c r="M981" s="53">
        <f>IF(L981&gt;0,EDATE(L981,-2),"")</f>
        <v>25569.375</v>
      </c>
      <c r="N981" s="50"/>
      <c r="O981" s="50"/>
      <c r="P981" s="54">
        <f>IF(F981&gt;0,F981,"")</f>
      </c>
      <c r="Q981" s="55"/>
      <c r="R981" s="55"/>
      <c r="S981" s="53">
        <f>IF(ISNUMBER(M981), EDATE(M981,36)-1, "")</f>
        <v>25569.375</v>
      </c>
      <c r="T981" s="50"/>
      <c r="U981" s="50"/>
      <c r="V981" s="56"/>
      <c r="W981" s="56"/>
      <c r="X981" s="56"/>
      <c r="Y981" s="56"/>
      <c r="Z981" s="56"/>
      <c r="AA981" s="56"/>
      <c r="AB981" s="56"/>
    </row>
    <row x14ac:dyDescent="0.25" r="982" customHeight="1" ht="18.75">
      <c r="A982" s="56"/>
      <c r="B982" s="56"/>
      <c r="C982" s="50"/>
      <c r="D982" s="50"/>
      <c r="E982" s="50"/>
      <c r="F982" s="50"/>
      <c r="G982" s="51"/>
      <c r="H982" s="51"/>
      <c r="I982" s="51"/>
      <c r="J982" s="51">
        <f>IF(G982&gt;0,_xludf.IFS(G982=10000000,1200000,G982=20000000,1800000,G982=30000000,2400000,G982=60000000,4000000),"")</f>
      </c>
      <c r="K982" s="51"/>
      <c r="L982" s="52"/>
      <c r="M982" s="53">
        <f>IF(L982&gt;0,EDATE(L982,-2),"")</f>
        <v>25569.375</v>
      </c>
      <c r="N982" s="50"/>
      <c r="O982" s="50"/>
      <c r="P982" s="54">
        <f>IF(F982&gt;0,F982,"")</f>
      </c>
      <c r="Q982" s="55"/>
      <c r="R982" s="55"/>
      <c r="S982" s="53">
        <f>IF(ISNUMBER(M982), EDATE(M982,36)-1, "")</f>
        <v>25569.375</v>
      </c>
      <c r="T982" s="50"/>
      <c r="U982" s="50"/>
      <c r="V982" s="56"/>
      <c r="W982" s="56"/>
      <c r="X982" s="56"/>
      <c r="Y982" s="56"/>
      <c r="Z982" s="56"/>
      <c r="AA982" s="56"/>
      <c r="AB982" s="56"/>
    </row>
    <row x14ac:dyDescent="0.25" r="983" customHeight="1" ht="18.75">
      <c r="A983" s="56"/>
      <c r="B983" s="56"/>
      <c r="C983" s="50"/>
      <c r="D983" s="50"/>
      <c r="E983" s="50"/>
      <c r="F983" s="50"/>
      <c r="G983" s="51"/>
      <c r="H983" s="51"/>
      <c r="I983" s="51"/>
      <c r="J983" s="51">
        <f>IF(G983&gt;0,_xludf.IFS(G983=10000000,1200000,G983=20000000,1800000,G983=30000000,2400000,G983=60000000,4000000),"")</f>
      </c>
      <c r="K983" s="51"/>
      <c r="L983" s="52"/>
      <c r="M983" s="53">
        <f>IF(L983&gt;0,EDATE(L983,-2),"")</f>
        <v>25569.375</v>
      </c>
      <c r="N983" s="50"/>
      <c r="O983" s="50"/>
      <c r="P983" s="54">
        <f>IF(F983&gt;0,F983,"")</f>
      </c>
      <c r="Q983" s="55"/>
      <c r="R983" s="55"/>
      <c r="S983" s="53">
        <f>IF(ISNUMBER(M983), EDATE(M983,36)-1, "")</f>
        <v>25569.375</v>
      </c>
      <c r="T983" s="50"/>
      <c r="U983" s="50"/>
      <c r="V983" s="56"/>
      <c r="W983" s="56"/>
      <c r="X983" s="56"/>
      <c r="Y983" s="56"/>
      <c r="Z983" s="56"/>
      <c r="AA983" s="56"/>
      <c r="AB983" s="56"/>
    </row>
    <row x14ac:dyDescent="0.25" r="984" customHeight="1" ht="18.75">
      <c r="A984" s="56"/>
      <c r="B984" s="56"/>
      <c r="C984" s="50"/>
      <c r="D984" s="50"/>
      <c r="E984" s="50"/>
      <c r="F984" s="50"/>
      <c r="G984" s="51"/>
      <c r="H984" s="51"/>
      <c r="I984" s="51"/>
      <c r="J984" s="51">
        <f>IF(G984&gt;0,_xludf.IFS(G984=10000000,1200000,G984=20000000,1800000,G984=30000000,2400000,G984=60000000,4000000),"")</f>
      </c>
      <c r="K984" s="51"/>
      <c r="L984" s="52"/>
      <c r="M984" s="53">
        <f>IF(L984&gt;0,EDATE(L984,-2),"")</f>
        <v>25569.375</v>
      </c>
      <c r="N984" s="50"/>
      <c r="O984" s="50"/>
      <c r="P984" s="54">
        <f>IF(F984&gt;0,F984,"")</f>
      </c>
      <c r="Q984" s="55"/>
      <c r="R984" s="55"/>
      <c r="S984" s="53">
        <f>IF(ISNUMBER(M984), EDATE(M984,36)-1, "")</f>
        <v>25569.375</v>
      </c>
      <c r="T984" s="50"/>
      <c r="U984" s="50"/>
      <c r="V984" s="56"/>
      <c r="W984" s="56"/>
      <c r="X984" s="56"/>
      <c r="Y984" s="56"/>
      <c r="Z984" s="56"/>
      <c r="AA984" s="56"/>
      <c r="AB984" s="56"/>
    </row>
    <row x14ac:dyDescent="0.25" r="985" customHeight="1" ht="18.75">
      <c r="A985" s="56"/>
      <c r="B985" s="56"/>
      <c r="C985" s="50"/>
      <c r="D985" s="50"/>
      <c r="E985" s="50"/>
      <c r="F985" s="50"/>
      <c r="G985" s="51"/>
      <c r="H985" s="51"/>
      <c r="I985" s="51"/>
      <c r="J985" s="51">
        <f>IF(G985&gt;0,_xludf.IFS(G985=10000000,1200000,G985=20000000,1800000,G985=30000000,2400000,G985=60000000,4000000),"")</f>
      </c>
      <c r="K985" s="51"/>
      <c r="L985" s="52"/>
      <c r="M985" s="53">
        <f>IF(L985&gt;0,EDATE(L985,-2),"")</f>
        <v>25569.375</v>
      </c>
      <c r="N985" s="50"/>
      <c r="O985" s="50"/>
      <c r="P985" s="54">
        <f>IF(F985&gt;0,F985,"")</f>
      </c>
      <c r="Q985" s="55"/>
      <c r="R985" s="55"/>
      <c r="S985" s="53">
        <f>IF(ISNUMBER(M985), EDATE(M985,36)-1, "")</f>
        <v>25569.375</v>
      </c>
      <c r="T985" s="50"/>
      <c r="U985" s="50"/>
      <c r="V985" s="56"/>
      <c r="W985" s="56"/>
      <c r="X985" s="56"/>
      <c r="Y985" s="56"/>
      <c r="Z985" s="56"/>
      <c r="AA985" s="56"/>
      <c r="AB985" s="56"/>
    </row>
    <row x14ac:dyDescent="0.25" r="986" customHeight="1" ht="18.75">
      <c r="A986" s="56"/>
      <c r="B986" s="56"/>
      <c r="C986" s="50"/>
      <c r="D986" s="50"/>
      <c r="E986" s="50"/>
      <c r="F986" s="50"/>
      <c r="G986" s="51"/>
      <c r="H986" s="51"/>
      <c r="I986" s="51"/>
      <c r="J986" s="51">
        <f>IF(G986&gt;0,_xludf.IFS(G986=10000000,1200000,G986=20000000,1800000,G986=30000000,2400000,G986=60000000,4000000),"")</f>
      </c>
      <c r="K986" s="51"/>
      <c r="L986" s="52"/>
      <c r="M986" s="53">
        <f>IF(L986&gt;0,EDATE(L986,-2),"")</f>
        <v>25569.375</v>
      </c>
      <c r="N986" s="50"/>
      <c r="O986" s="50"/>
      <c r="P986" s="54">
        <f>IF(F986&gt;0,F986,"")</f>
      </c>
      <c r="Q986" s="55"/>
      <c r="R986" s="55"/>
      <c r="S986" s="53">
        <f>IF(ISNUMBER(M986), EDATE(M986,36)-1, "")</f>
        <v>25569.375</v>
      </c>
      <c r="T986" s="50"/>
      <c r="U986" s="50"/>
      <c r="V986" s="56"/>
      <c r="W986" s="56"/>
      <c r="X986" s="56"/>
      <c r="Y986" s="56"/>
      <c r="Z986" s="56"/>
      <c r="AA986" s="56"/>
      <c r="AB986" s="56"/>
    </row>
    <row x14ac:dyDescent="0.25" r="987" customHeight="1" ht="18.75">
      <c r="A987" s="56"/>
      <c r="B987" s="56"/>
      <c r="C987" s="50"/>
      <c r="D987" s="50"/>
      <c r="E987" s="50"/>
      <c r="F987" s="50"/>
      <c r="G987" s="51"/>
      <c r="H987" s="51"/>
      <c r="I987" s="51"/>
      <c r="J987" s="51">
        <f>IF(G987&gt;0,_xludf.IFS(G987=10000000,1200000,G987=20000000,1800000,G987=30000000,2400000,G987=60000000,4000000),"")</f>
      </c>
      <c r="K987" s="51"/>
      <c r="L987" s="52"/>
      <c r="M987" s="53">
        <f>IF(L987&gt;0,EDATE(L987,-2),"")</f>
        <v>25569.375</v>
      </c>
      <c r="N987" s="50"/>
      <c r="O987" s="50"/>
      <c r="P987" s="54">
        <f>IF(F987&gt;0,F987,"")</f>
      </c>
      <c r="Q987" s="55"/>
      <c r="R987" s="55"/>
      <c r="S987" s="53">
        <f>IF(ISNUMBER(M987), EDATE(M987,36)-1, "")</f>
        <v>25569.375</v>
      </c>
      <c r="T987" s="50"/>
      <c r="U987" s="50"/>
      <c r="V987" s="56"/>
      <c r="W987" s="56"/>
      <c r="X987" s="56"/>
      <c r="Y987" s="56"/>
      <c r="Z987" s="56"/>
      <c r="AA987" s="56"/>
      <c r="AB987" s="56"/>
    </row>
    <row x14ac:dyDescent="0.25" r="988" customHeight="1" ht="18.75">
      <c r="A988" s="56"/>
      <c r="B988" s="56"/>
      <c r="C988" s="50"/>
      <c r="D988" s="50"/>
      <c r="E988" s="50"/>
      <c r="F988" s="50"/>
      <c r="G988" s="51"/>
      <c r="H988" s="51"/>
      <c r="I988" s="51"/>
      <c r="J988" s="51">
        <f>IF(G988&gt;0,_xludf.IFS(G988=10000000,1200000,G988=20000000,1800000,G988=30000000,2400000,G988=60000000,4000000),"")</f>
      </c>
      <c r="K988" s="51"/>
      <c r="L988" s="52"/>
      <c r="M988" s="53">
        <f>IF(L988&gt;0,EDATE(L988,-2),"")</f>
        <v>25569.375</v>
      </c>
      <c r="N988" s="50"/>
      <c r="O988" s="50"/>
      <c r="P988" s="54">
        <f>IF(F988&gt;0,F988,"")</f>
      </c>
      <c r="Q988" s="55"/>
      <c r="R988" s="55"/>
      <c r="S988" s="53">
        <f>IF(ISNUMBER(M988), EDATE(M988,36)-1, "")</f>
        <v>25569.375</v>
      </c>
      <c r="T988" s="50"/>
      <c r="U988" s="50"/>
      <c r="V988" s="56"/>
      <c r="W988" s="56"/>
      <c r="X988" s="56"/>
      <c r="Y988" s="56"/>
      <c r="Z988" s="56"/>
      <c r="AA988" s="56"/>
      <c r="AB988" s="56"/>
    </row>
    <row x14ac:dyDescent="0.25" r="989" customHeight="1" ht="18.75">
      <c r="A989" s="56"/>
      <c r="B989" s="56"/>
      <c r="C989" s="50"/>
      <c r="D989" s="50"/>
      <c r="E989" s="50"/>
      <c r="F989" s="50"/>
      <c r="G989" s="51"/>
      <c r="H989" s="51"/>
      <c r="I989" s="51"/>
      <c r="J989" s="51">
        <f>IF(G989&gt;0,_xludf.IFS(G989=10000000,1200000,G989=20000000,1800000,G989=30000000,2400000,G989=60000000,4000000),"")</f>
      </c>
      <c r="K989" s="51"/>
      <c r="L989" s="52"/>
      <c r="M989" s="53">
        <f>IF(L989&gt;0,EDATE(L989,-2),"")</f>
        <v>25569.375</v>
      </c>
      <c r="N989" s="50"/>
      <c r="O989" s="50"/>
      <c r="P989" s="54">
        <f>IF(F989&gt;0,F989,"")</f>
      </c>
      <c r="Q989" s="55"/>
      <c r="R989" s="55"/>
      <c r="S989" s="53">
        <f>IF(ISNUMBER(M989), EDATE(M989,36)-1, "")</f>
        <v>25569.375</v>
      </c>
      <c r="T989" s="50"/>
      <c r="U989" s="50"/>
      <c r="V989" s="56"/>
      <c r="W989" s="56"/>
      <c r="X989" s="56"/>
      <c r="Y989" s="56"/>
      <c r="Z989" s="56"/>
      <c r="AA989" s="56"/>
      <c r="AB989" s="56"/>
    </row>
    <row x14ac:dyDescent="0.25" r="990" customHeight="1" ht="18.75">
      <c r="A990" s="56"/>
      <c r="B990" s="56"/>
      <c r="C990" s="50"/>
      <c r="D990" s="50"/>
      <c r="E990" s="50"/>
      <c r="F990" s="50"/>
      <c r="G990" s="51"/>
      <c r="H990" s="51"/>
      <c r="I990" s="51"/>
      <c r="J990" s="51">
        <f>IF(G990&gt;0,_xludf.IFS(G990=10000000,1200000,G990=20000000,1800000,G990=30000000,2400000,G990=60000000,4000000),"")</f>
      </c>
      <c r="K990" s="51"/>
      <c r="L990" s="52"/>
      <c r="M990" s="53">
        <f>IF(L990&gt;0,EDATE(L990,-2),"")</f>
        <v>25569.375</v>
      </c>
      <c r="N990" s="50"/>
      <c r="O990" s="50"/>
      <c r="P990" s="54">
        <f>IF(F990&gt;0,F990,"")</f>
      </c>
      <c r="Q990" s="55"/>
      <c r="R990" s="55"/>
      <c r="S990" s="53">
        <f>IF(ISNUMBER(M990), EDATE(M990,36)-1, "")</f>
        <v>25569.375</v>
      </c>
      <c r="T990" s="50"/>
      <c r="U990" s="50"/>
      <c r="V990" s="56"/>
      <c r="W990" s="56"/>
      <c r="X990" s="56"/>
      <c r="Y990" s="56"/>
      <c r="Z990" s="56"/>
      <c r="AA990" s="56"/>
      <c r="AB990" s="56"/>
    </row>
    <row x14ac:dyDescent="0.25" r="991" customHeight="1" ht="18.75">
      <c r="A991" s="56"/>
      <c r="B991" s="56"/>
      <c r="C991" s="50"/>
      <c r="D991" s="50"/>
      <c r="E991" s="50"/>
      <c r="F991" s="50"/>
      <c r="G991" s="51"/>
      <c r="H991" s="51"/>
      <c r="I991" s="51"/>
      <c r="J991" s="51">
        <f>IF(G991&gt;0,_xludf.IFS(G991=10000000,1200000,G991=20000000,1800000,G991=30000000,2400000,G991=60000000,4000000),"")</f>
      </c>
      <c r="K991" s="51"/>
      <c r="L991" s="52"/>
      <c r="M991" s="53">
        <f>IF(L991&gt;0,EDATE(L991,-2),"")</f>
        <v>25569.375</v>
      </c>
      <c r="N991" s="50"/>
      <c r="O991" s="50"/>
      <c r="P991" s="54">
        <f>IF(F991&gt;0,F991,"")</f>
      </c>
      <c r="Q991" s="55"/>
      <c r="R991" s="55"/>
      <c r="S991" s="53">
        <f>IF(ISNUMBER(M991), EDATE(M991,36)-1, "")</f>
        <v>25569.375</v>
      </c>
      <c r="T991" s="50"/>
      <c r="U991" s="50"/>
      <c r="V991" s="56"/>
      <c r="W991" s="56"/>
      <c r="X991" s="56"/>
      <c r="Y991" s="56"/>
      <c r="Z991" s="56"/>
      <c r="AA991" s="56"/>
      <c r="AB991" s="56"/>
    </row>
    <row x14ac:dyDescent="0.25" r="992" customHeight="1" ht="18.75">
      <c r="A992" s="56"/>
      <c r="B992" s="56"/>
      <c r="C992" s="50"/>
      <c r="D992" s="50"/>
      <c r="E992" s="50"/>
      <c r="F992" s="50"/>
      <c r="G992" s="51"/>
      <c r="H992" s="51"/>
      <c r="I992" s="51"/>
      <c r="J992" s="51">
        <f>IF(G992&gt;0,_xludf.IFS(G992=10000000,1200000,G992=20000000,1800000,G992=30000000,2400000,G992=60000000,4000000),"")</f>
      </c>
      <c r="K992" s="51"/>
      <c r="L992" s="52"/>
      <c r="M992" s="53">
        <f>IF(L992&gt;0,EDATE(L992,-2),"")</f>
        <v>25569.375</v>
      </c>
      <c r="N992" s="50"/>
      <c r="O992" s="50"/>
      <c r="P992" s="54">
        <f>IF(F992&gt;0,F992,"")</f>
      </c>
      <c r="Q992" s="55"/>
      <c r="R992" s="55"/>
      <c r="S992" s="53">
        <f>IF(ISNUMBER(M992), EDATE(M992,36)-1, "")</f>
        <v>25569.375</v>
      </c>
      <c r="T992" s="50"/>
      <c r="U992" s="50"/>
      <c r="V992" s="56"/>
      <c r="W992" s="56"/>
      <c r="X992" s="56"/>
      <c r="Y992" s="56"/>
      <c r="Z992" s="56"/>
      <c r="AA992" s="56"/>
      <c r="AB992" s="56"/>
    </row>
    <row x14ac:dyDescent="0.25" r="993" customHeight="1" ht="18.75">
      <c r="A993" s="56"/>
      <c r="B993" s="56"/>
      <c r="C993" s="50"/>
      <c r="D993" s="50"/>
      <c r="E993" s="50"/>
      <c r="F993" s="50"/>
      <c r="G993" s="51"/>
      <c r="H993" s="51"/>
      <c r="I993" s="51"/>
      <c r="J993" s="51">
        <f>IF(G993&gt;0,_xludf.IFS(G993=10000000,1200000,G993=20000000,1800000,G993=30000000,2400000,G993=60000000,4000000),"")</f>
      </c>
      <c r="K993" s="51"/>
      <c r="L993" s="52"/>
      <c r="M993" s="53">
        <f>IF(L993&gt;0,EDATE(L993,-2),"")</f>
        <v>25569.375</v>
      </c>
      <c r="N993" s="50"/>
      <c r="O993" s="50"/>
      <c r="P993" s="54">
        <f>IF(F993&gt;0,F993,"")</f>
      </c>
      <c r="Q993" s="55"/>
      <c r="R993" s="55"/>
      <c r="S993" s="53">
        <f>IF(ISNUMBER(M993), EDATE(M993,36)-1, "")</f>
        <v>25569.375</v>
      </c>
      <c r="T993" s="50"/>
      <c r="U993" s="50"/>
      <c r="V993" s="56"/>
      <c r="W993" s="56"/>
      <c r="X993" s="56"/>
      <c r="Y993" s="56"/>
      <c r="Z993" s="56"/>
      <c r="AA993" s="56"/>
      <c r="AB993" s="56"/>
    </row>
    <row x14ac:dyDescent="0.25" r="994" customHeight="1" ht="18.75">
      <c r="A994" s="56"/>
      <c r="B994" s="56"/>
      <c r="C994" s="50"/>
      <c r="D994" s="50"/>
      <c r="E994" s="50"/>
      <c r="F994" s="50"/>
      <c r="G994" s="51"/>
      <c r="H994" s="51"/>
      <c r="I994" s="51"/>
      <c r="J994" s="51">
        <f>IF(G994&gt;0,_xludf.IFS(G994=10000000,1200000,G994=20000000,1800000,G994=30000000,2400000,G994=60000000,4000000),"")</f>
      </c>
      <c r="K994" s="51"/>
      <c r="L994" s="52"/>
      <c r="M994" s="53">
        <f>IF(L994&gt;0,EDATE(L994,-2),"")</f>
        <v>25569.375</v>
      </c>
      <c r="N994" s="50"/>
      <c r="O994" s="50"/>
      <c r="P994" s="54">
        <f>IF(F994&gt;0,F994,"")</f>
      </c>
      <c r="Q994" s="55"/>
      <c r="R994" s="55"/>
      <c r="S994" s="53">
        <f>IF(ISNUMBER(M994), EDATE(M994,36)-1, "")</f>
        <v>25569.375</v>
      </c>
      <c r="T994" s="50"/>
      <c r="U994" s="50"/>
      <c r="V994" s="56"/>
      <c r="W994" s="56"/>
      <c r="X994" s="56"/>
      <c r="Y994" s="56"/>
      <c r="Z994" s="56"/>
      <c r="AA994" s="56"/>
      <c r="AB994" s="56"/>
    </row>
    <row x14ac:dyDescent="0.25" r="995" customHeight="1" ht="18.75">
      <c r="A995" s="56"/>
      <c r="B995" s="56"/>
      <c r="C995" s="50"/>
      <c r="D995" s="50"/>
      <c r="E995" s="50"/>
      <c r="F995" s="50"/>
      <c r="G995" s="51"/>
      <c r="H995" s="51"/>
      <c r="I995" s="51"/>
      <c r="J995" s="51">
        <f>IF(G995&gt;0,_xludf.IFS(G995=10000000,1200000,G995=20000000,1800000,G995=30000000,2400000,G995=60000000,4000000),"")</f>
      </c>
      <c r="K995" s="51"/>
      <c r="L995" s="52"/>
      <c r="M995" s="53">
        <f>IF(L995&gt;0,EDATE(L995,-2),"")</f>
        <v>25569.375</v>
      </c>
      <c r="N995" s="50"/>
      <c r="O995" s="50"/>
      <c r="P995" s="54">
        <f>IF(F995&gt;0,F995,"")</f>
      </c>
      <c r="Q995" s="55"/>
      <c r="R995" s="55"/>
      <c r="S995" s="53">
        <f>IF(ISNUMBER(M995), EDATE(M995,36)-1, "")</f>
        <v>25569.375</v>
      </c>
      <c r="T995" s="50"/>
      <c r="U995" s="50"/>
      <c r="V995" s="56"/>
      <c r="W995" s="56"/>
      <c r="X995" s="56"/>
      <c r="Y995" s="56"/>
      <c r="Z995" s="56"/>
      <c r="AA995" s="56"/>
      <c r="AB995" s="56"/>
    </row>
    <row x14ac:dyDescent="0.25" r="996" customHeight="1" ht="18.75">
      <c r="A996" s="56"/>
      <c r="B996" s="56"/>
      <c r="C996" s="50"/>
      <c r="D996" s="50"/>
      <c r="E996" s="50"/>
      <c r="F996" s="50"/>
      <c r="G996" s="51"/>
      <c r="H996" s="51"/>
      <c r="I996" s="51"/>
      <c r="J996" s="51">
        <f>IF(G996&gt;0,_xludf.IFS(G996=10000000,1200000,G996=20000000,1800000,G996=30000000,2400000,G996=60000000,4000000),"")</f>
      </c>
      <c r="K996" s="51"/>
      <c r="L996" s="52"/>
      <c r="M996" s="53">
        <f>IF(L996&gt;0,EDATE(L996,-2),"")</f>
        <v>25569.375</v>
      </c>
      <c r="N996" s="50"/>
      <c r="O996" s="50"/>
      <c r="P996" s="54">
        <f>IF(F996&gt;0,F996,"")</f>
      </c>
      <c r="Q996" s="55"/>
      <c r="R996" s="55"/>
      <c r="S996" s="53">
        <f>IF(ISNUMBER(M996), EDATE(M996,36)-1, "")</f>
        <v>25569.375</v>
      </c>
      <c r="T996" s="50"/>
      <c r="U996" s="50"/>
      <c r="V996" s="56"/>
      <c r="W996" s="56"/>
      <c r="X996" s="56"/>
      <c r="Y996" s="56"/>
      <c r="Z996" s="56"/>
      <c r="AA996" s="56"/>
      <c r="AB996" s="56"/>
    </row>
    <row x14ac:dyDescent="0.25" r="997" customHeight="1" ht="18.75">
      <c r="A997" s="56"/>
      <c r="B997" s="56"/>
      <c r="C997" s="50"/>
      <c r="D997" s="50"/>
      <c r="E997" s="50"/>
      <c r="F997" s="50"/>
      <c r="G997" s="51"/>
      <c r="H997" s="51"/>
      <c r="I997" s="51"/>
      <c r="J997" s="51">
        <f>IF(G997&gt;0,_xludf.IFS(G997=10000000,1200000,G997=20000000,1800000,G997=30000000,2400000,G997=60000000,4000000),"")</f>
      </c>
      <c r="K997" s="51"/>
      <c r="L997" s="52"/>
      <c r="M997" s="53">
        <f>IF(L997&gt;0,EDATE(L997,-2),"")</f>
        <v>25569.375</v>
      </c>
      <c r="N997" s="50"/>
      <c r="O997" s="50"/>
      <c r="P997" s="54">
        <f>IF(F997&gt;0,F997,"")</f>
      </c>
      <c r="Q997" s="55"/>
      <c r="R997" s="55"/>
      <c r="S997" s="53">
        <f>IF(ISNUMBER(M997), EDATE(M997,36)-1, "")</f>
        <v>25569.375</v>
      </c>
      <c r="T997" s="50"/>
      <c r="U997" s="50"/>
      <c r="V997" s="56"/>
      <c r="W997" s="56"/>
      <c r="X997" s="56"/>
      <c r="Y997" s="56"/>
      <c r="Z997" s="56"/>
      <c r="AA997" s="56"/>
      <c r="AB997" s="56"/>
    </row>
    <row x14ac:dyDescent="0.25" r="998" customHeight="1" ht="18.75">
      <c r="A998" s="56"/>
      <c r="B998" s="56"/>
      <c r="C998" s="50"/>
      <c r="D998" s="50"/>
      <c r="E998" s="50"/>
      <c r="F998" s="50"/>
      <c r="G998" s="51"/>
      <c r="H998" s="51"/>
      <c r="I998" s="51"/>
      <c r="J998" s="51">
        <f>IF(G998&gt;0,_xludf.IFS(G998=10000000,1200000,G998=20000000,1800000,G998=30000000,2400000,G998=60000000,4000000),"")</f>
      </c>
      <c r="K998" s="51"/>
      <c r="L998" s="52"/>
      <c r="M998" s="53">
        <f>IF(L998&gt;0,EDATE(L998,-2),"")</f>
        <v>25569.375</v>
      </c>
      <c r="N998" s="50"/>
      <c r="O998" s="50"/>
      <c r="P998" s="54">
        <f>IF(F998&gt;0,F998,"")</f>
      </c>
      <c r="Q998" s="55"/>
      <c r="R998" s="55"/>
      <c r="S998" s="53">
        <f>IF(ISNUMBER(M998), EDATE(M998,36)-1, "")</f>
        <v>25569.375</v>
      </c>
      <c r="T998" s="50"/>
      <c r="U998" s="50"/>
      <c r="V998" s="56"/>
      <c r="W998" s="56"/>
      <c r="X998" s="56"/>
      <c r="Y998" s="56"/>
      <c r="Z998" s="56"/>
      <c r="AA998" s="56"/>
      <c r="AB998" s="56"/>
    </row>
    <row x14ac:dyDescent="0.25" r="999" customHeight="1" ht="18.75">
      <c r="A999" s="56"/>
      <c r="B999" s="56"/>
      <c r="C999" s="50"/>
      <c r="D999" s="50"/>
      <c r="E999" s="50"/>
      <c r="F999" s="50"/>
      <c r="G999" s="51"/>
      <c r="H999" s="51"/>
      <c r="I999" s="51"/>
      <c r="J999" s="51">
        <f>IF(G999&gt;0,_xludf.IFS(G999=10000000,1200000,G999=20000000,1800000,G999=30000000,2400000,G999=60000000,4000000),"")</f>
      </c>
      <c r="K999" s="51"/>
      <c r="L999" s="52"/>
      <c r="M999" s="53">
        <f>IF(L999&gt;0,EDATE(L999,-2),"")</f>
        <v>25569.375</v>
      </c>
      <c r="N999" s="50"/>
      <c r="O999" s="50"/>
      <c r="P999" s="54">
        <f>IF(F999&gt;0,F999,"")</f>
      </c>
      <c r="Q999" s="55"/>
      <c r="R999" s="55"/>
      <c r="S999" s="53">
        <f>IF(ISNUMBER(M999), EDATE(M999,36)-1, "")</f>
        <v>25569.375</v>
      </c>
      <c r="T999" s="50"/>
      <c r="U999" s="50"/>
      <c r="V999" s="56"/>
      <c r="W999" s="56"/>
      <c r="X999" s="56"/>
      <c r="Y999" s="56"/>
      <c r="Z999" s="56"/>
      <c r="AA999" s="56"/>
      <c r="AB999" s="56"/>
    </row>
    <row x14ac:dyDescent="0.25" r="1000" customHeight="1" ht="18.75">
      <c r="A1000" s="56"/>
      <c r="B1000" s="56"/>
      <c r="C1000" s="50"/>
      <c r="D1000" s="50"/>
      <c r="E1000" s="50"/>
      <c r="F1000" s="50"/>
      <c r="G1000" s="55"/>
      <c r="H1000" s="55"/>
      <c r="I1000" s="53"/>
      <c r="J1000" s="51">
        <f>IF(G1000&gt;0,_xludf.IFS(G1000=10000000,1200000,G1000=20000000,1800000,G1000=30000000,2400000,G1000=60000000,4000000),"")</f>
      </c>
      <c r="K1000" s="51"/>
      <c r="L1000" s="52"/>
      <c r="M1000" s="53"/>
      <c r="N1000" s="50"/>
      <c r="O1000" s="50"/>
      <c r="P1000" s="54">
        <f>IF(F1000&gt;0,F1000,"")</f>
      </c>
      <c r="Q1000" s="55"/>
      <c r="R1000" s="55"/>
      <c r="S1000" s="53">
        <f>IF(M1000&gt;0,EDATE(M1000,36)-1,"")</f>
        <v>25569.375</v>
      </c>
      <c r="T1000" s="50"/>
      <c r="U1000" s="50"/>
      <c r="V1000" s="56"/>
      <c r="W1000" s="56"/>
      <c r="X1000" s="56"/>
      <c r="Y1000" s="56"/>
      <c r="Z1000" s="56"/>
      <c r="AA1000" s="56"/>
      <c r="AB1000" s="56"/>
    </row>
    <row x14ac:dyDescent="0.25" r="1001" customHeight="1" ht="18.75">
      <c r="A1001" s="56"/>
      <c r="B1001" s="56"/>
      <c r="C1001" s="50"/>
      <c r="D1001" s="50"/>
      <c r="E1001" s="50"/>
      <c r="F1001" s="50"/>
      <c r="G1001" s="55"/>
      <c r="H1001" s="55"/>
      <c r="I1001" s="53"/>
      <c r="J1001" s="51">
        <f>IF(G1001&gt;0,_xludf.IFS(G1001=10000000,1200000,G1001=20000000,1800000,G1001=30000000,2400000,G1001=60000000,4000000),"")</f>
      </c>
      <c r="K1001" s="51"/>
      <c r="L1001" s="52"/>
      <c r="M1001" s="53"/>
      <c r="N1001" s="50"/>
      <c r="O1001" s="50"/>
      <c r="P1001" s="50"/>
      <c r="Q1001" s="55"/>
      <c r="R1001" s="55"/>
      <c r="S1001" s="53"/>
      <c r="T1001" s="50"/>
      <c r="U1001" s="50"/>
      <c r="V1001" s="56"/>
      <c r="W1001" s="56"/>
      <c r="X1001" s="56"/>
      <c r="Y1001" s="56"/>
      <c r="Z1001" s="56"/>
      <c r="AA1001" s="56"/>
      <c r="AB1001" s="56"/>
    </row>
    <row x14ac:dyDescent="0.25" r="1002" customHeight="1" ht="18.75">
      <c r="A1002" s="56"/>
      <c r="B1002" s="56"/>
      <c r="C1002" s="50"/>
      <c r="D1002" s="50"/>
      <c r="E1002" s="50"/>
      <c r="F1002" s="50"/>
      <c r="G1002" s="55"/>
      <c r="H1002" s="55"/>
      <c r="I1002" s="53"/>
      <c r="J1002" s="51">
        <f>IF(G1002&gt;0,_xludf.IFS(G1002=10000000,1200000,G1002=20000000,1800000,G1002=30000000,2400000,G1002=60000000,4000000),"")</f>
      </c>
      <c r="K1002" s="51"/>
      <c r="L1002" s="52"/>
      <c r="M1002" s="53"/>
      <c r="N1002" s="50"/>
      <c r="O1002" s="50"/>
      <c r="P1002" s="50"/>
      <c r="Q1002" s="55"/>
      <c r="R1002" s="55"/>
      <c r="S1002" s="53"/>
      <c r="T1002" s="50"/>
      <c r="U1002" s="50"/>
      <c r="V1002" s="56"/>
      <c r="W1002" s="56"/>
      <c r="X1002" s="56"/>
      <c r="Y1002" s="56"/>
      <c r="Z1002" s="56"/>
      <c r="AA1002" s="56"/>
      <c r="AB1002" s="56"/>
    </row>
    <row x14ac:dyDescent="0.25" r="1003" customHeight="1" ht="18.75">
      <c r="A1003" s="56"/>
      <c r="B1003" s="56"/>
      <c r="C1003" s="50"/>
      <c r="D1003" s="50"/>
      <c r="E1003" s="50"/>
      <c r="F1003" s="50"/>
      <c r="G1003" s="55"/>
      <c r="H1003" s="55"/>
      <c r="I1003" s="53"/>
      <c r="J1003" s="51">
        <f>IF(G1003&gt;0,_xludf.IFS(G1003=10000000,1200000,G1003=20000000,1800000,G1003=30000000,2400000,G1003=60000000,4000000),"")</f>
      </c>
      <c r="K1003" s="51"/>
      <c r="L1003" s="52"/>
      <c r="M1003" s="53"/>
      <c r="N1003" s="50"/>
      <c r="O1003" s="50"/>
      <c r="P1003" s="50"/>
      <c r="Q1003" s="55"/>
      <c r="R1003" s="55"/>
      <c r="S1003" s="53"/>
      <c r="T1003" s="50"/>
      <c r="U1003" s="50"/>
      <c r="V1003" s="56"/>
      <c r="W1003" s="56"/>
      <c r="X1003" s="56"/>
      <c r="Y1003" s="56"/>
      <c r="Z1003" s="56"/>
      <c r="AA1003" s="56"/>
      <c r="AB1003" s="56"/>
    </row>
    <row x14ac:dyDescent="0.25" r="1004" customHeight="1" ht="18.75">
      <c r="A1004" s="56"/>
      <c r="B1004" s="56"/>
      <c r="C1004" s="50"/>
      <c r="D1004" s="50"/>
      <c r="E1004" s="50"/>
      <c r="F1004" s="50"/>
      <c r="G1004" s="55"/>
      <c r="H1004" s="55"/>
      <c r="I1004" s="53"/>
      <c r="J1004" s="51">
        <f>IF(G1004&gt;0,_xludf.IFS(G1004=10000000,1200000,G1004=20000000,1800000,G1004=30000000,2400000,G1004=60000000,4000000),"")</f>
      </c>
      <c r="K1004" s="51"/>
      <c r="L1004" s="52"/>
      <c r="M1004" s="53"/>
      <c r="N1004" s="50"/>
      <c r="O1004" s="50"/>
      <c r="P1004" s="50"/>
      <c r="Q1004" s="55"/>
      <c r="R1004" s="55"/>
      <c r="S1004" s="53"/>
      <c r="T1004" s="50"/>
      <c r="U1004" s="50"/>
      <c r="V1004" s="56"/>
      <c r="W1004" s="56"/>
      <c r="X1004" s="56"/>
      <c r="Y1004" s="56"/>
      <c r="Z1004" s="56"/>
      <c r="AA1004" s="56"/>
      <c r="AB1004" s="56"/>
    </row>
    <row x14ac:dyDescent="0.25" r="1005" customHeight="1" ht="18.75">
      <c r="A1005" s="56"/>
      <c r="B1005" s="56"/>
      <c r="C1005" s="50"/>
      <c r="D1005" s="50"/>
      <c r="E1005" s="50"/>
      <c r="F1005" s="50"/>
      <c r="G1005" s="55"/>
      <c r="H1005" s="55"/>
      <c r="I1005" s="53"/>
      <c r="J1005" s="51">
        <f>IF(G1005&gt;0,_xludf.IFS(G1005=10000000,1200000,G1005=20000000,1800000,G1005=30000000,2400000,G1005=60000000,4000000),"")</f>
      </c>
      <c r="K1005" s="51"/>
      <c r="L1005" s="52"/>
      <c r="M1005" s="53"/>
      <c r="N1005" s="50"/>
      <c r="O1005" s="50"/>
      <c r="P1005" s="50"/>
      <c r="Q1005" s="55"/>
      <c r="R1005" s="55"/>
      <c r="S1005" s="53"/>
      <c r="T1005" s="50"/>
      <c r="U1005" s="50"/>
      <c r="V1005" s="56"/>
      <c r="W1005" s="56"/>
      <c r="X1005" s="56"/>
      <c r="Y1005" s="56"/>
      <c r="Z1005" s="56"/>
      <c r="AA1005" s="56"/>
      <c r="AB1005" s="56"/>
    </row>
    <row x14ac:dyDescent="0.25" r="1006" customHeight="1" ht="18.75">
      <c r="A1006" s="56"/>
      <c r="B1006" s="56"/>
      <c r="C1006" s="50"/>
      <c r="D1006" s="50"/>
      <c r="E1006" s="50"/>
      <c r="F1006" s="50"/>
      <c r="G1006" s="55"/>
      <c r="H1006" s="55"/>
      <c r="I1006" s="53"/>
      <c r="J1006" s="51">
        <f>IF(G1006&gt;0,_xludf.IFS(G1006=10000000,1200000,G1006=20000000,1800000,G1006=30000000,2400000,G1006=60000000,4000000),"")</f>
      </c>
      <c r="K1006" s="51"/>
      <c r="L1006" s="52"/>
      <c r="M1006" s="53"/>
      <c r="N1006" s="50"/>
      <c r="O1006" s="50"/>
      <c r="P1006" s="50"/>
      <c r="Q1006" s="55"/>
      <c r="R1006" s="55"/>
      <c r="S1006" s="53"/>
      <c r="T1006" s="50"/>
      <c r="U1006" s="50"/>
      <c r="V1006" s="56"/>
      <c r="W1006" s="56"/>
      <c r="X1006" s="56"/>
      <c r="Y1006" s="56"/>
      <c r="Z1006" s="56"/>
      <c r="AA1006" s="56"/>
      <c r="AB1006" s="56"/>
    </row>
    <row x14ac:dyDescent="0.25" r="1007" customHeight="1" ht="18.75">
      <c r="A1007" s="56"/>
      <c r="B1007" s="56"/>
      <c r="C1007" s="50"/>
      <c r="D1007" s="50"/>
      <c r="E1007" s="50"/>
      <c r="F1007" s="50"/>
      <c r="G1007" s="55"/>
      <c r="H1007" s="55"/>
      <c r="I1007" s="53"/>
      <c r="J1007" s="51">
        <f>IF(G1007&gt;0,_xludf.IFS(G1007=10000000,1200000,G1007=20000000,1800000,G1007=30000000,2400000,G1007=60000000,4000000),"")</f>
      </c>
      <c r="K1007" s="51"/>
      <c r="L1007" s="52"/>
      <c r="M1007" s="53"/>
      <c r="N1007" s="50"/>
      <c r="O1007" s="50"/>
      <c r="P1007" s="50"/>
      <c r="Q1007" s="55"/>
      <c r="R1007" s="55"/>
      <c r="S1007" s="53"/>
      <c r="T1007" s="50"/>
      <c r="U1007" s="50"/>
      <c r="V1007" s="56"/>
      <c r="W1007" s="56"/>
      <c r="X1007" s="56"/>
      <c r="Y1007" s="56"/>
      <c r="Z1007" s="56"/>
      <c r="AA1007" s="56"/>
      <c r="AB1007" s="56"/>
    </row>
    <row x14ac:dyDescent="0.25" r="1008" customHeight="1" ht="18.75">
      <c r="A1008" s="56"/>
      <c r="B1008" s="56"/>
      <c r="C1008" s="50"/>
      <c r="D1008" s="50"/>
      <c r="E1008" s="50"/>
      <c r="F1008" s="50"/>
      <c r="G1008" s="55"/>
      <c r="H1008" s="55"/>
      <c r="I1008" s="53"/>
      <c r="J1008" s="51">
        <f>IF(G1008&gt;0,_xludf.IFS(G1008=10000000,1200000,G1008=20000000,1800000,G1008=30000000,2400000,G1008=60000000,4000000),"")</f>
      </c>
      <c r="K1008" s="51"/>
      <c r="L1008" s="52"/>
      <c r="M1008" s="53"/>
      <c r="N1008" s="50"/>
      <c r="O1008" s="50"/>
      <c r="P1008" s="50"/>
      <c r="Q1008" s="55"/>
      <c r="R1008" s="55"/>
      <c r="S1008" s="53"/>
      <c r="T1008" s="50"/>
      <c r="U1008" s="50"/>
      <c r="V1008" s="56"/>
      <c r="W1008" s="56"/>
      <c r="X1008" s="56"/>
      <c r="Y1008" s="56"/>
      <c r="Z1008" s="56"/>
      <c r="AA1008" s="56"/>
      <c r="AB1008" s="56"/>
    </row>
    <row x14ac:dyDescent="0.25" r="1009" customHeight="1" ht="18.75">
      <c r="A1009" s="56"/>
      <c r="B1009" s="56"/>
      <c r="C1009" s="50"/>
      <c r="D1009" s="50"/>
      <c r="E1009" s="50"/>
      <c r="F1009" s="50"/>
      <c r="G1009" s="55"/>
      <c r="H1009" s="55"/>
      <c r="I1009" s="53"/>
      <c r="J1009" s="51">
        <f>IF(G1009&gt;0,_xludf.IFS(G1009=10000000,1200000,G1009=20000000,1800000,G1009=30000000,2400000,G1009=60000000,4000000),"")</f>
      </c>
      <c r="K1009" s="51"/>
      <c r="L1009" s="52"/>
      <c r="M1009" s="53"/>
      <c r="N1009" s="50"/>
      <c r="O1009" s="50"/>
      <c r="P1009" s="50"/>
      <c r="Q1009" s="55"/>
      <c r="R1009" s="55"/>
      <c r="S1009" s="53"/>
      <c r="T1009" s="50"/>
      <c r="U1009" s="50"/>
      <c r="V1009" s="56"/>
      <c r="W1009" s="56"/>
      <c r="X1009" s="56"/>
      <c r="Y1009" s="56"/>
      <c r="Z1009" s="56"/>
      <c r="AA1009" s="56"/>
      <c r="AB1009" s="56"/>
    </row>
    <row x14ac:dyDescent="0.25" r="1010" customHeight="1" ht="18.75">
      <c r="A1010" s="56"/>
      <c r="B1010" s="56"/>
      <c r="C1010" s="50"/>
      <c r="D1010" s="50"/>
      <c r="E1010" s="50"/>
      <c r="F1010" s="50"/>
      <c r="G1010" s="55"/>
      <c r="H1010" s="55"/>
      <c r="I1010" s="53"/>
      <c r="J1010" s="51">
        <f>IF(G1010&gt;0,_xludf.IFS(G1010=10000000,1200000,G1010=20000000,1800000,G1010=30000000,2400000,G1010=60000000,4000000),"")</f>
      </c>
      <c r="K1010" s="51"/>
      <c r="L1010" s="52"/>
      <c r="M1010" s="53"/>
      <c r="N1010" s="50"/>
      <c r="O1010" s="50"/>
      <c r="P1010" s="50"/>
      <c r="Q1010" s="55"/>
      <c r="R1010" s="55"/>
      <c r="S1010" s="53"/>
      <c r="T1010" s="50"/>
      <c r="U1010" s="50"/>
      <c r="V1010" s="56"/>
      <c r="W1010" s="56"/>
      <c r="X1010" s="56"/>
      <c r="Y1010" s="56"/>
      <c r="Z1010" s="56"/>
      <c r="AA1010" s="56"/>
      <c r="AB1010" s="56"/>
    </row>
    <row x14ac:dyDescent="0.25" r="1011" customHeight="1" ht="18.75">
      <c r="A1011" s="56"/>
      <c r="B1011" s="56"/>
      <c r="C1011" s="50"/>
      <c r="D1011" s="50"/>
      <c r="E1011" s="50"/>
      <c r="F1011" s="50"/>
      <c r="G1011" s="55"/>
      <c r="H1011" s="55"/>
      <c r="I1011" s="53"/>
      <c r="J1011" s="51">
        <f>IF(G1011&gt;0,_xludf.IFS(G1011=10000000,1200000,G1011=20000000,1800000,G1011=30000000,2400000,G1011=60000000,4000000),"")</f>
      </c>
      <c r="K1011" s="51"/>
      <c r="L1011" s="52"/>
      <c r="M1011" s="53"/>
      <c r="N1011" s="50"/>
      <c r="O1011" s="50"/>
      <c r="P1011" s="50"/>
      <c r="Q1011" s="55"/>
      <c r="R1011" s="55"/>
      <c r="S1011" s="53"/>
      <c r="T1011" s="50"/>
      <c r="U1011" s="50"/>
      <c r="V1011" s="56"/>
      <c r="W1011" s="56"/>
      <c r="X1011" s="56"/>
      <c r="Y1011" s="56"/>
      <c r="Z1011" s="56"/>
      <c r="AA1011" s="56"/>
      <c r="AB1011" s="56"/>
    </row>
    <row x14ac:dyDescent="0.25" r="1012" customHeight="1" ht="18.75">
      <c r="A1012" s="56"/>
      <c r="B1012" s="56"/>
      <c r="C1012" s="50"/>
      <c r="D1012" s="50"/>
      <c r="E1012" s="50"/>
      <c r="F1012" s="50"/>
      <c r="G1012" s="55"/>
      <c r="H1012" s="55"/>
      <c r="I1012" s="53"/>
      <c r="J1012" s="51">
        <f>IF(G1012&gt;0,_xludf.IFS(G1012=10000000,1200000,G1012=20000000,1800000,G1012=30000000,2400000,G1012=60000000,4000000),"")</f>
      </c>
      <c r="K1012" s="51"/>
      <c r="L1012" s="52"/>
      <c r="M1012" s="53"/>
      <c r="N1012" s="50"/>
      <c r="O1012" s="50"/>
      <c r="P1012" s="50"/>
      <c r="Q1012" s="55"/>
      <c r="R1012" s="55"/>
      <c r="S1012" s="53"/>
      <c r="T1012" s="50"/>
      <c r="U1012" s="50"/>
      <c r="V1012" s="56"/>
      <c r="W1012" s="56"/>
      <c r="X1012" s="56"/>
      <c r="Y1012" s="56"/>
      <c r="Z1012" s="56"/>
      <c r="AA1012" s="56"/>
      <c r="AB1012" s="56"/>
    </row>
    <row x14ac:dyDescent="0.25" r="1013" customHeight="1" ht="18.75">
      <c r="A1013" s="56"/>
      <c r="B1013" s="56"/>
      <c r="C1013" s="50"/>
      <c r="D1013" s="50"/>
      <c r="E1013" s="50"/>
      <c r="F1013" s="50"/>
      <c r="G1013" s="55"/>
      <c r="H1013" s="55"/>
      <c r="I1013" s="53"/>
      <c r="J1013" s="51">
        <f>IF(G1013&gt;0,_xludf.IFS(G1013=10000000,1200000,G1013=20000000,1800000,G1013=30000000,2400000,G1013=60000000,4000000),"")</f>
      </c>
      <c r="K1013" s="51"/>
      <c r="L1013" s="52"/>
      <c r="M1013" s="53"/>
      <c r="N1013" s="50"/>
      <c r="O1013" s="50"/>
      <c r="P1013" s="50"/>
      <c r="Q1013" s="55"/>
      <c r="R1013" s="55"/>
      <c r="S1013" s="53"/>
      <c r="T1013" s="50"/>
      <c r="U1013" s="50"/>
      <c r="V1013" s="56"/>
      <c r="W1013" s="56"/>
      <c r="X1013" s="56"/>
      <c r="Y1013" s="56"/>
      <c r="Z1013" s="56"/>
      <c r="AA1013" s="56"/>
      <c r="AB1013" s="56"/>
    </row>
    <row x14ac:dyDescent="0.25" r="1014" customHeight="1" ht="18.75">
      <c r="A1014" s="56"/>
      <c r="B1014" s="56"/>
      <c r="C1014" s="50"/>
      <c r="D1014" s="50"/>
      <c r="E1014" s="50"/>
      <c r="F1014" s="50"/>
      <c r="G1014" s="55"/>
      <c r="H1014" s="55"/>
      <c r="I1014" s="53"/>
      <c r="J1014" s="87"/>
      <c r="K1014" s="87"/>
      <c r="L1014" s="52"/>
      <c r="M1014" s="53"/>
      <c r="N1014" s="50"/>
      <c r="O1014" s="50"/>
      <c r="P1014" s="50"/>
      <c r="Q1014" s="55"/>
      <c r="R1014" s="55"/>
      <c r="S1014" s="53"/>
      <c r="T1014" s="50"/>
      <c r="U1014" s="50"/>
      <c r="V1014" s="56"/>
      <c r="W1014" s="56"/>
      <c r="X1014" s="56"/>
      <c r="Y1014" s="56"/>
      <c r="Z1014" s="56"/>
      <c r="AA1014" s="56"/>
      <c r="AB1014" s="56"/>
    </row>
    <row x14ac:dyDescent="0.25" r="1015" customHeight="1" ht="18.75">
      <c r="A1015" s="56"/>
      <c r="B1015" s="56"/>
      <c r="C1015" s="50"/>
      <c r="D1015" s="50"/>
      <c r="E1015" s="50"/>
      <c r="F1015" s="50"/>
      <c r="G1015" s="55"/>
      <c r="H1015" s="55"/>
      <c r="I1015" s="53"/>
      <c r="J1015" s="87"/>
      <c r="K1015" s="87"/>
      <c r="L1015" s="52"/>
      <c r="M1015" s="53"/>
      <c r="N1015" s="50"/>
      <c r="O1015" s="50"/>
      <c r="P1015" s="50"/>
      <c r="Q1015" s="55"/>
      <c r="R1015" s="55"/>
      <c r="S1015" s="53"/>
      <c r="T1015" s="50"/>
      <c r="U1015" s="50"/>
      <c r="V1015" s="56"/>
      <c r="W1015" s="56"/>
      <c r="X1015" s="56"/>
      <c r="Y1015" s="56"/>
      <c r="Z1015" s="56"/>
      <c r="AA1015" s="56"/>
      <c r="AB1015" s="56"/>
    </row>
    <row x14ac:dyDescent="0.25" r="1016" customHeight="1" ht="18.75">
      <c r="A1016" s="56"/>
      <c r="B1016" s="56"/>
      <c r="C1016" s="50"/>
      <c r="D1016" s="50"/>
      <c r="E1016" s="50"/>
      <c r="F1016" s="50"/>
      <c r="G1016" s="55"/>
      <c r="H1016" s="55"/>
      <c r="I1016" s="53"/>
      <c r="J1016" s="87"/>
      <c r="K1016" s="87"/>
      <c r="L1016" s="52"/>
      <c r="M1016" s="53"/>
      <c r="N1016" s="50"/>
      <c r="O1016" s="50"/>
      <c r="P1016" s="50"/>
      <c r="Q1016" s="55"/>
      <c r="R1016" s="55"/>
      <c r="S1016" s="53"/>
      <c r="T1016" s="50"/>
      <c r="U1016" s="50"/>
      <c r="V1016" s="56"/>
      <c r="W1016" s="56"/>
      <c r="X1016" s="56"/>
      <c r="Y1016" s="56"/>
      <c r="Z1016" s="56"/>
      <c r="AA1016" s="56"/>
      <c r="AB1016" s="56"/>
    </row>
    <row x14ac:dyDescent="0.25" r="1017" customHeight="1" ht="18.75">
      <c r="A1017" s="56"/>
      <c r="B1017" s="56"/>
      <c r="C1017" s="50"/>
      <c r="D1017" s="50"/>
      <c r="E1017" s="50"/>
      <c r="F1017" s="50"/>
      <c r="G1017" s="55"/>
      <c r="H1017" s="55"/>
      <c r="I1017" s="53"/>
      <c r="J1017" s="87"/>
      <c r="K1017" s="87"/>
      <c r="L1017" s="52"/>
      <c r="M1017" s="53"/>
      <c r="N1017" s="50"/>
      <c r="O1017" s="50"/>
      <c r="P1017" s="50"/>
      <c r="Q1017" s="55"/>
      <c r="R1017" s="55"/>
      <c r="S1017" s="53"/>
      <c r="T1017" s="50"/>
      <c r="U1017" s="50"/>
      <c r="V1017" s="56"/>
      <c r="W1017" s="56"/>
      <c r="X1017" s="56"/>
      <c r="Y1017" s="56"/>
      <c r="Z1017" s="56"/>
      <c r="AA1017" s="56"/>
      <c r="AB1017" s="56"/>
    </row>
    <row x14ac:dyDescent="0.25" r="1018" customHeight="1" ht="18.75">
      <c r="A1018" s="56"/>
      <c r="B1018" s="56"/>
      <c r="C1018" s="50"/>
      <c r="D1018" s="50"/>
      <c r="E1018" s="50"/>
      <c r="F1018" s="50"/>
      <c r="G1018" s="55"/>
      <c r="H1018" s="55"/>
      <c r="I1018" s="53"/>
      <c r="J1018" s="87"/>
      <c r="K1018" s="87"/>
      <c r="L1018" s="52"/>
      <c r="M1018" s="53"/>
      <c r="N1018" s="50"/>
      <c r="O1018" s="50"/>
      <c r="P1018" s="50"/>
      <c r="Q1018" s="55"/>
      <c r="R1018" s="55"/>
      <c r="S1018" s="53"/>
      <c r="T1018" s="50"/>
      <c r="U1018" s="50"/>
      <c r="V1018" s="56"/>
      <c r="W1018" s="56"/>
      <c r="X1018" s="56"/>
      <c r="Y1018" s="56"/>
      <c r="Z1018" s="56"/>
      <c r="AA1018" s="56"/>
      <c r="AB1018" s="56"/>
    </row>
    <row x14ac:dyDescent="0.25" r="1019" customHeight="1" ht="18.75">
      <c r="A1019" s="56"/>
      <c r="B1019" s="56"/>
      <c r="C1019" s="50"/>
      <c r="D1019" s="50"/>
      <c r="E1019" s="50"/>
      <c r="F1019" s="50"/>
      <c r="G1019" s="55"/>
      <c r="H1019" s="55"/>
      <c r="I1019" s="53"/>
      <c r="J1019" s="87"/>
      <c r="K1019" s="87"/>
      <c r="L1019" s="52"/>
      <c r="M1019" s="53"/>
      <c r="N1019" s="50"/>
      <c r="O1019" s="50"/>
      <c r="P1019" s="50"/>
      <c r="Q1019" s="55"/>
      <c r="R1019" s="55"/>
      <c r="S1019" s="53"/>
      <c r="T1019" s="50"/>
      <c r="U1019" s="50"/>
      <c r="V1019" s="56"/>
      <c r="W1019" s="56"/>
      <c r="X1019" s="56"/>
      <c r="Y1019" s="56"/>
      <c r="Z1019" s="56"/>
      <c r="AA1019" s="56"/>
      <c r="AB1019" s="56"/>
    </row>
    <row x14ac:dyDescent="0.25" r="1020" customHeight="1" ht="18.75">
      <c r="A1020" s="56"/>
      <c r="B1020" s="56"/>
      <c r="C1020" s="50"/>
      <c r="D1020" s="50"/>
      <c r="E1020" s="50"/>
      <c r="F1020" s="50"/>
      <c r="G1020" s="55"/>
      <c r="H1020" s="55"/>
      <c r="I1020" s="53"/>
      <c r="J1020" s="87"/>
      <c r="K1020" s="87"/>
      <c r="L1020" s="52"/>
      <c r="M1020" s="53"/>
      <c r="N1020" s="50"/>
      <c r="O1020" s="50"/>
      <c r="P1020" s="50"/>
      <c r="Q1020" s="55"/>
      <c r="R1020" s="55"/>
      <c r="S1020" s="53"/>
      <c r="T1020" s="50"/>
      <c r="U1020" s="50"/>
      <c r="V1020" s="56"/>
      <c r="W1020" s="56"/>
      <c r="X1020" s="56"/>
      <c r="Y1020" s="56"/>
      <c r="Z1020" s="56"/>
      <c r="AA1020" s="56"/>
      <c r="AB1020" s="56"/>
    </row>
    <row x14ac:dyDescent="0.25" r="1021" customHeight="1" ht="18.75">
      <c r="A1021" s="56"/>
      <c r="B1021" s="56"/>
      <c r="C1021" s="50"/>
      <c r="D1021" s="50"/>
      <c r="E1021" s="50"/>
      <c r="F1021" s="50"/>
      <c r="G1021" s="55"/>
      <c r="H1021" s="55"/>
      <c r="I1021" s="53"/>
      <c r="J1021" s="87"/>
      <c r="K1021" s="87"/>
      <c r="L1021" s="52"/>
      <c r="M1021" s="53"/>
      <c r="N1021" s="50"/>
      <c r="O1021" s="50"/>
      <c r="P1021" s="50"/>
      <c r="Q1021" s="55"/>
      <c r="R1021" s="55"/>
      <c r="S1021" s="53"/>
      <c r="T1021" s="50"/>
      <c r="U1021" s="50"/>
      <c r="V1021" s="56"/>
      <c r="W1021" s="56"/>
      <c r="X1021" s="56"/>
      <c r="Y1021" s="56"/>
      <c r="Z1021" s="56"/>
      <c r="AA1021" s="56"/>
      <c r="AB1021" s="56"/>
    </row>
    <row x14ac:dyDescent="0.25" r="1022" customHeight="1" ht="18.75">
      <c r="A1022" s="56"/>
      <c r="B1022" s="56"/>
      <c r="C1022" s="50"/>
      <c r="D1022" s="50"/>
      <c r="E1022" s="50"/>
      <c r="F1022" s="50"/>
      <c r="G1022" s="55"/>
      <c r="H1022" s="55"/>
      <c r="I1022" s="53"/>
      <c r="J1022" s="87"/>
      <c r="K1022" s="87"/>
      <c r="L1022" s="52"/>
      <c r="M1022" s="53"/>
      <c r="N1022" s="50"/>
      <c r="O1022" s="50"/>
      <c r="P1022" s="50"/>
      <c r="Q1022" s="55"/>
      <c r="R1022" s="55"/>
      <c r="S1022" s="53"/>
      <c r="T1022" s="50"/>
      <c r="U1022" s="50"/>
      <c r="V1022" s="56"/>
      <c r="W1022" s="56"/>
      <c r="X1022" s="56"/>
      <c r="Y1022" s="56"/>
      <c r="Z1022" s="56"/>
      <c r="AA1022" s="56"/>
      <c r="AB1022" s="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02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2" width="6.147857142857143" customWidth="1" bestFit="1"/>
    <col min="2" max="2" style="12" width="6.147857142857143" customWidth="1" bestFit="1"/>
    <col min="3" max="3" style="39" width="12.147857142857141" customWidth="1" bestFit="1"/>
    <col min="4" max="4" style="39" width="6.862142857142857" customWidth="1" bestFit="1"/>
    <col min="5" max="5" style="39" width="6.862142857142857" customWidth="1" bestFit="1"/>
    <col min="6" max="6" style="39" width="6.862142857142857" customWidth="1" bestFit="1"/>
    <col min="7" max="7" style="40" width="12.862142857142858" customWidth="1" bestFit="1"/>
    <col min="8" max="8" style="40" width="12.862142857142858" customWidth="1" bestFit="1"/>
    <col min="9" max="9" style="42" width="10.862142857142858" customWidth="1" bestFit="1"/>
    <col min="10" max="10" style="11" width="11.005" customWidth="1" bestFit="1"/>
    <col min="11" max="11" style="11" width="8.576428571428572" customWidth="1" bestFit="1"/>
    <col min="12" max="12" style="41" width="14.147857142857141" customWidth="1" bestFit="1"/>
    <col min="13" max="13" style="42" width="12.147857142857141" customWidth="1" bestFit="1"/>
    <col min="14" max="14" style="39" width="9.147857142857141" customWidth="1" bestFit="1"/>
    <col min="15" max="15" style="39" width="16.005" customWidth="1" bestFit="1"/>
    <col min="16" max="16" style="39" width="9.147857142857141" customWidth="1" bestFit="1"/>
    <col min="17" max="17" style="40" width="15.290714285714287" customWidth="1" bestFit="1"/>
    <col min="18" max="18" style="40" width="12.862142857142858" customWidth="1" bestFit="1"/>
    <col min="19" max="19" style="42" width="11.005" customWidth="1" bestFit="1"/>
    <col min="20" max="20" style="39" width="14.290714285714287" customWidth="1" bestFit="1"/>
    <col min="21" max="21" style="39" width="9.147857142857141" customWidth="1" bestFit="1"/>
    <col min="22" max="22" style="12" width="29.14785714285714" customWidth="1" bestFit="1"/>
    <col min="23" max="23" style="39" width="6.862142857142857" customWidth="1" bestFit="1"/>
    <col min="24" max="24" style="39" width="6.862142857142857" customWidth="1" bestFit="1"/>
    <col min="25" max="25" style="12" width="6.862142857142857" customWidth="1" bestFit="1"/>
    <col min="26" max="26" style="12" width="6.862142857142857" customWidth="1" bestFit="1"/>
    <col min="27" max="27" style="12" width="6.862142857142857" customWidth="1" bestFit="1"/>
    <col min="28" max="28" style="12" width="6.862142857142857" customWidth="1" bestFit="1"/>
    <col min="29" max="29" style="12" width="6.862142857142857" customWidth="1" bestFit="1"/>
    <col min="30" max="30" style="12" width="6.862142857142857" customWidth="1" bestFit="1"/>
  </cols>
  <sheetData>
    <row x14ac:dyDescent="0.25" r="1" customHeight="1" ht="18.75">
      <c r="A1" s="43"/>
      <c r="B1" s="43"/>
      <c r="C1" s="43" t="s">
        <v>1</v>
      </c>
      <c r="D1" s="43" t="s">
        <v>2</v>
      </c>
      <c r="E1" s="43" t="s">
        <v>3</v>
      </c>
      <c r="F1" s="43" t="s">
        <v>4</v>
      </c>
      <c r="G1" s="44" t="s">
        <v>5</v>
      </c>
      <c r="H1" s="44" t="s">
        <v>3218</v>
      </c>
      <c r="I1" s="45" t="s">
        <v>3219</v>
      </c>
      <c r="J1" s="44" t="s">
        <v>6</v>
      </c>
      <c r="K1" s="44" t="s">
        <v>3220</v>
      </c>
      <c r="L1" s="46" t="s">
        <v>7</v>
      </c>
      <c r="M1" s="45" t="s">
        <v>8</v>
      </c>
      <c r="N1" s="43" t="s">
        <v>146</v>
      </c>
      <c r="O1" s="43" t="s">
        <v>147</v>
      </c>
      <c r="P1" s="43" t="s">
        <v>148</v>
      </c>
      <c r="Q1" s="44" t="s">
        <v>149</v>
      </c>
      <c r="R1" s="44" t="s">
        <v>150</v>
      </c>
      <c r="S1" s="45" t="s">
        <v>9</v>
      </c>
      <c r="T1" s="43" t="s">
        <v>10</v>
      </c>
      <c r="U1" s="43" t="s">
        <v>151</v>
      </c>
      <c r="V1" s="43" t="s">
        <v>11</v>
      </c>
      <c r="W1" s="47" t="s">
        <v>3221</v>
      </c>
      <c r="X1" s="47" t="s">
        <v>3222</v>
      </c>
      <c r="Y1" s="47"/>
      <c r="Z1" s="47"/>
      <c r="AA1" s="47"/>
      <c r="AB1" s="47"/>
      <c r="AC1" s="47"/>
      <c r="AD1" s="47"/>
    </row>
    <row x14ac:dyDescent="0.25" r="2" customHeight="1" ht="18.75" hidden="1">
      <c r="A2" s="48" t="s">
        <v>152</v>
      </c>
      <c r="B2" s="48"/>
      <c r="C2" s="49" t="s">
        <v>16</v>
      </c>
      <c r="D2" s="50" t="s">
        <v>153</v>
      </c>
      <c r="E2" s="50" t="s">
        <v>154</v>
      </c>
      <c r="F2" s="50" t="s">
        <v>154</v>
      </c>
      <c r="G2" s="51">
        <v>10000000</v>
      </c>
      <c r="H2" s="51"/>
      <c r="I2" s="51"/>
      <c r="J2" s="51"/>
      <c r="K2" s="51"/>
      <c r="L2" s="52">
        <v>46122</v>
      </c>
      <c r="M2" s="53">
        <f>IF(L2&gt;0,EDATE(L2,-2),"")</f>
        <v>25569.375</v>
      </c>
      <c r="N2" s="50" t="s">
        <v>155</v>
      </c>
      <c r="O2" s="50" t="s">
        <v>156</v>
      </c>
      <c r="P2" s="54">
        <f>IF(F2&gt;0,F2,"")</f>
      </c>
      <c r="Q2" s="55" t="s">
        <v>157</v>
      </c>
      <c r="R2" s="55">
        <v>40079533</v>
      </c>
      <c r="S2" s="53">
        <f>IF(ISNUMBER(M2), EDATE(M2,36)-1, "")</f>
        <v>25569.375</v>
      </c>
      <c r="T2" s="50"/>
      <c r="U2" s="50"/>
      <c r="V2" s="48" t="s">
        <v>3223</v>
      </c>
      <c r="W2" s="50"/>
      <c r="X2" s="50"/>
      <c r="Y2" s="56"/>
      <c r="Z2" s="56"/>
      <c r="AA2" s="56"/>
      <c r="AB2" s="56"/>
      <c r="AC2" s="56"/>
      <c r="AD2" s="56"/>
    </row>
    <row x14ac:dyDescent="0.25" r="3" customHeight="1" ht="18.75" hidden="1">
      <c r="A3" s="56" t="s">
        <v>152</v>
      </c>
      <c r="B3" s="56"/>
      <c r="C3" s="50" t="s">
        <v>16</v>
      </c>
      <c r="D3" s="50"/>
      <c r="E3" s="50"/>
      <c r="F3" s="50" t="s">
        <v>154</v>
      </c>
      <c r="G3" s="51">
        <v>20000000</v>
      </c>
      <c r="H3" s="51"/>
      <c r="I3" s="51"/>
      <c r="J3" s="51">
        <v>1528000</v>
      </c>
      <c r="K3" s="51"/>
      <c r="L3" s="52">
        <v>46156</v>
      </c>
      <c r="M3" s="53">
        <f>IF(S1013&gt;0,_xludf.IFS(S1013=10000000,1200000,S1013=20000000,1800000,S1013=30000000,2400000,S1013=60000000,4000000),"")</f>
        <v>25569.375</v>
      </c>
      <c r="N3" s="50" t="s">
        <v>155</v>
      </c>
      <c r="O3" s="50" t="s">
        <v>156</v>
      </c>
      <c r="P3" s="54">
        <f>IF(F3&gt;0,F3,"")</f>
      </c>
      <c r="Q3" s="55" t="s">
        <v>157</v>
      </c>
      <c r="R3" s="55">
        <v>40079533</v>
      </c>
      <c r="S3" s="53">
        <f>IF(ISNUMBER(M3), EDATE(M3,36)-1, "")</f>
        <v>25569.375</v>
      </c>
      <c r="T3" s="50"/>
      <c r="U3" s="50"/>
      <c r="V3" s="56" t="s">
        <v>159</v>
      </c>
      <c r="W3" s="50"/>
      <c r="X3" s="50"/>
      <c r="Y3" s="56"/>
      <c r="Z3" s="56"/>
      <c r="AA3" s="56"/>
      <c r="AB3" s="56"/>
      <c r="AC3" s="56"/>
      <c r="AD3" s="56"/>
    </row>
    <row x14ac:dyDescent="0.25" r="4" customHeight="1" ht="18.75">
      <c r="A4" s="57" t="s">
        <v>708</v>
      </c>
      <c r="B4" s="57" t="s">
        <v>3224</v>
      </c>
      <c r="C4" s="58" t="s">
        <v>16</v>
      </c>
      <c r="D4" s="58" t="s">
        <v>318</v>
      </c>
      <c r="E4" s="58"/>
      <c r="F4" s="58" t="s">
        <v>288</v>
      </c>
      <c r="G4" s="59"/>
      <c r="H4" s="59">
        <v>3000000</v>
      </c>
      <c r="I4" s="60">
        <v>46109</v>
      </c>
      <c r="J4" s="61"/>
      <c r="K4" s="61"/>
      <c r="L4" s="60">
        <v>46174</v>
      </c>
      <c r="M4" s="60">
        <v>46113</v>
      </c>
      <c r="N4" s="58" t="s">
        <v>289</v>
      </c>
      <c r="O4" s="58" t="s">
        <v>290</v>
      </c>
      <c r="P4" s="58" t="s">
        <v>288</v>
      </c>
      <c r="Q4" s="59" t="s">
        <v>291</v>
      </c>
      <c r="R4" s="59" t="s">
        <v>292</v>
      </c>
      <c r="S4" s="60">
        <v>47208</v>
      </c>
      <c r="T4" s="58"/>
      <c r="U4" s="58" t="s">
        <v>293</v>
      </c>
      <c r="V4" s="57"/>
      <c r="W4" s="58"/>
      <c r="X4" s="58"/>
      <c r="Y4" s="57"/>
      <c r="Z4" s="57"/>
      <c r="AA4" s="57"/>
      <c r="AB4" s="57"/>
      <c r="AC4" s="57"/>
      <c r="AD4" s="57"/>
    </row>
    <row x14ac:dyDescent="0.25" r="5" customHeight="1" ht="18.75">
      <c r="A5" s="57" t="s">
        <v>708</v>
      </c>
      <c r="B5" s="57" t="s">
        <v>3224</v>
      </c>
      <c r="C5" s="58" t="s">
        <v>16</v>
      </c>
      <c r="D5" s="58" t="s">
        <v>318</v>
      </c>
      <c r="E5" s="58"/>
      <c r="F5" s="58" t="s">
        <v>288</v>
      </c>
      <c r="G5" s="59"/>
      <c r="H5" s="59">
        <v>2000000</v>
      </c>
      <c r="I5" s="60">
        <v>46109</v>
      </c>
      <c r="J5" s="61"/>
      <c r="K5" s="61"/>
      <c r="L5" s="60">
        <v>46174</v>
      </c>
      <c r="M5" s="60">
        <v>46113</v>
      </c>
      <c r="N5" s="58" t="s">
        <v>289</v>
      </c>
      <c r="O5" s="58" t="s">
        <v>290</v>
      </c>
      <c r="P5" s="58" t="s">
        <v>288</v>
      </c>
      <c r="Q5" s="59" t="s">
        <v>291</v>
      </c>
      <c r="R5" s="59" t="s">
        <v>292</v>
      </c>
      <c r="S5" s="60">
        <v>47208</v>
      </c>
      <c r="T5" s="58"/>
      <c r="U5" s="58" t="s">
        <v>293</v>
      </c>
      <c r="V5" s="57"/>
      <c r="W5" s="58"/>
      <c r="X5" s="58"/>
      <c r="Y5" s="57"/>
      <c r="Z5" s="57"/>
      <c r="AA5" s="57"/>
      <c r="AB5" s="57"/>
      <c r="AC5" s="57"/>
      <c r="AD5" s="57"/>
    </row>
    <row x14ac:dyDescent="0.25" r="6" customHeight="1" ht="18.75">
      <c r="A6" s="57" t="s">
        <v>708</v>
      </c>
      <c r="B6" s="57" t="s">
        <v>3224</v>
      </c>
      <c r="C6" s="58" t="s">
        <v>16</v>
      </c>
      <c r="D6" s="58" t="s">
        <v>318</v>
      </c>
      <c r="E6" s="58"/>
      <c r="F6" s="58" t="s">
        <v>288</v>
      </c>
      <c r="G6" s="59"/>
      <c r="H6" s="59">
        <v>5000000</v>
      </c>
      <c r="I6" s="60">
        <v>46109</v>
      </c>
      <c r="J6" s="61"/>
      <c r="K6" s="61"/>
      <c r="L6" s="60">
        <v>46174</v>
      </c>
      <c r="M6" s="60">
        <v>46113</v>
      </c>
      <c r="N6" s="58" t="s">
        <v>289</v>
      </c>
      <c r="O6" s="58" t="s">
        <v>290</v>
      </c>
      <c r="P6" s="58" t="s">
        <v>288</v>
      </c>
      <c r="Q6" s="59" t="s">
        <v>291</v>
      </c>
      <c r="R6" s="59" t="s">
        <v>292</v>
      </c>
      <c r="S6" s="60">
        <v>47208</v>
      </c>
      <c r="T6" s="58"/>
      <c r="U6" s="58" t="s">
        <v>293</v>
      </c>
      <c r="V6" s="57"/>
      <c r="W6" s="58"/>
      <c r="X6" s="58"/>
      <c r="Y6" s="57"/>
      <c r="Z6" s="57"/>
      <c r="AA6" s="57"/>
      <c r="AB6" s="57"/>
      <c r="AC6" s="57"/>
      <c r="AD6" s="57"/>
    </row>
    <row x14ac:dyDescent="0.25" r="7" customHeight="1" ht="18.75">
      <c r="A7" s="57" t="s">
        <v>708</v>
      </c>
      <c r="B7" s="57" t="s">
        <v>3224</v>
      </c>
      <c r="C7" s="58" t="s">
        <v>16</v>
      </c>
      <c r="D7" s="58" t="s">
        <v>318</v>
      </c>
      <c r="E7" s="58"/>
      <c r="F7" s="58" t="s">
        <v>288</v>
      </c>
      <c r="G7" s="59"/>
      <c r="H7" s="59">
        <v>250000</v>
      </c>
      <c r="I7" s="60">
        <v>46109</v>
      </c>
      <c r="J7" s="61"/>
      <c r="K7" s="61"/>
      <c r="L7" s="60">
        <v>46174</v>
      </c>
      <c r="M7" s="60">
        <v>46113</v>
      </c>
      <c r="N7" s="58" t="s">
        <v>289</v>
      </c>
      <c r="O7" s="58" t="s">
        <v>290</v>
      </c>
      <c r="P7" s="58" t="s">
        <v>288</v>
      </c>
      <c r="Q7" s="59" t="s">
        <v>291</v>
      </c>
      <c r="R7" s="59" t="s">
        <v>292</v>
      </c>
      <c r="S7" s="60">
        <v>47208</v>
      </c>
      <c r="T7" s="58"/>
      <c r="U7" s="58" t="s">
        <v>3225</v>
      </c>
      <c r="V7" s="57"/>
      <c r="W7" s="58"/>
      <c r="X7" s="58"/>
      <c r="Y7" s="57"/>
      <c r="Z7" s="57"/>
      <c r="AA7" s="57"/>
      <c r="AB7" s="57"/>
      <c r="AC7" s="57"/>
      <c r="AD7" s="57"/>
    </row>
    <row x14ac:dyDescent="0.25" r="8" customHeight="1" ht="18.75">
      <c r="A8" s="57" t="s">
        <v>708</v>
      </c>
      <c r="B8" s="57" t="s">
        <v>3224</v>
      </c>
      <c r="C8" s="58" t="s">
        <v>16</v>
      </c>
      <c r="D8" s="58" t="s">
        <v>318</v>
      </c>
      <c r="E8" s="58"/>
      <c r="F8" s="58" t="s">
        <v>288</v>
      </c>
      <c r="G8" s="59">
        <v>10000000</v>
      </c>
      <c r="H8" s="59">
        <v>10000000</v>
      </c>
      <c r="I8" s="60">
        <v>46109</v>
      </c>
      <c r="J8" s="61">
        <v>800000</v>
      </c>
      <c r="K8" s="61">
        <v>1</v>
      </c>
      <c r="L8" s="60">
        <v>46174</v>
      </c>
      <c r="M8" s="60">
        <v>46113</v>
      </c>
      <c r="N8" s="58" t="s">
        <v>289</v>
      </c>
      <c r="O8" s="58" t="s">
        <v>290</v>
      </c>
      <c r="P8" s="58" t="s">
        <v>288</v>
      </c>
      <c r="Q8" s="59" t="s">
        <v>291</v>
      </c>
      <c r="R8" s="59" t="s">
        <v>292</v>
      </c>
      <c r="S8" s="60">
        <v>47208</v>
      </c>
      <c r="T8" s="58"/>
      <c r="U8" s="58" t="s">
        <v>293</v>
      </c>
      <c r="V8" s="57"/>
      <c r="W8" s="58"/>
      <c r="X8" s="58"/>
      <c r="Y8" s="57"/>
      <c r="Z8" s="57"/>
      <c r="AA8" s="57"/>
      <c r="AB8" s="57"/>
      <c r="AC8" s="57"/>
      <c r="AD8" s="57"/>
    </row>
    <row x14ac:dyDescent="0.25" r="9" customHeight="1" ht="18.75" hidden="1">
      <c r="A9" s="56"/>
      <c r="B9" s="56"/>
      <c r="C9" s="50" t="s">
        <v>16</v>
      </c>
      <c r="D9" s="50"/>
      <c r="E9" s="50"/>
      <c r="F9" s="50" t="s">
        <v>167</v>
      </c>
      <c r="G9" s="55">
        <v>20000000</v>
      </c>
      <c r="H9" s="55"/>
      <c r="I9" s="55"/>
      <c r="J9" s="51">
        <v>1528000</v>
      </c>
      <c r="K9" s="51"/>
      <c r="L9" s="52">
        <v>46081</v>
      </c>
      <c r="M9" s="53">
        <v>46022</v>
      </c>
      <c r="N9" s="50" t="s">
        <v>168</v>
      </c>
      <c r="O9" s="50" t="s">
        <v>169</v>
      </c>
      <c r="P9" s="50" t="s">
        <v>167</v>
      </c>
      <c r="Q9" s="55" t="s">
        <v>170</v>
      </c>
      <c r="R9" s="55" t="s">
        <v>171</v>
      </c>
      <c r="S9" s="53">
        <v>47117</v>
      </c>
      <c r="T9" s="50"/>
      <c r="U9" s="50"/>
      <c r="V9" s="56"/>
      <c r="W9" s="50"/>
      <c r="X9" s="50"/>
      <c r="Y9" s="56"/>
      <c r="Z9" s="56"/>
      <c r="AA9" s="56"/>
      <c r="AB9" s="56"/>
      <c r="AC9" s="56"/>
      <c r="AD9" s="56"/>
    </row>
    <row x14ac:dyDescent="0.25" r="10" customHeight="1" ht="18.75">
      <c r="A10" s="57" t="s">
        <v>708</v>
      </c>
      <c r="B10" s="57" t="s">
        <v>3224</v>
      </c>
      <c r="C10" s="58" t="s">
        <v>16</v>
      </c>
      <c r="D10" s="58" t="s">
        <v>14</v>
      </c>
      <c r="E10" s="58"/>
      <c r="F10" s="58" t="s">
        <v>996</v>
      </c>
      <c r="G10" s="59">
        <v>10000000</v>
      </c>
      <c r="H10" s="59">
        <v>10000000</v>
      </c>
      <c r="I10" s="60">
        <v>46113</v>
      </c>
      <c r="J10" s="61">
        <v>800000</v>
      </c>
      <c r="K10" s="61">
        <v>1</v>
      </c>
      <c r="L10" s="60">
        <v>46174</v>
      </c>
      <c r="M10" s="60">
        <v>46113</v>
      </c>
      <c r="N10" s="58" t="s">
        <v>212</v>
      </c>
      <c r="O10" s="58" t="s">
        <v>1002</v>
      </c>
      <c r="P10" s="58" t="s">
        <v>996</v>
      </c>
      <c r="Q10" s="59" t="s">
        <v>998</v>
      </c>
      <c r="R10" s="59" t="s">
        <v>999</v>
      </c>
      <c r="S10" s="60">
        <v>47208</v>
      </c>
      <c r="T10" s="58" t="s">
        <v>1000</v>
      </c>
      <c r="U10" s="58" t="s">
        <v>166</v>
      </c>
      <c r="V10" s="62"/>
      <c r="W10" s="58"/>
      <c r="X10" s="58"/>
      <c r="Y10" s="57"/>
      <c r="Z10" s="57"/>
      <c r="AA10" s="57"/>
      <c r="AB10" s="57"/>
      <c r="AC10" s="57"/>
      <c r="AD10" s="57"/>
    </row>
    <row x14ac:dyDescent="0.25" r="11" customHeight="1" ht="18.75" hidden="1">
      <c r="A11" s="56" t="s">
        <v>708</v>
      </c>
      <c r="B11" s="56"/>
      <c r="C11" s="50" t="s">
        <v>16</v>
      </c>
      <c r="D11" s="50"/>
      <c r="E11" s="50"/>
      <c r="F11" s="50" t="s">
        <v>181</v>
      </c>
      <c r="G11" s="55">
        <v>10000000</v>
      </c>
      <c r="H11" s="55"/>
      <c r="I11" s="55"/>
      <c r="J11" s="51">
        <v>800000</v>
      </c>
      <c r="K11" s="51"/>
      <c r="L11" s="52">
        <v>46133</v>
      </c>
      <c r="M11" s="53">
        <v>46074</v>
      </c>
      <c r="N11" s="50" t="s">
        <v>182</v>
      </c>
      <c r="O11" s="50" t="s">
        <v>183</v>
      </c>
      <c r="P11" s="50" t="s">
        <v>181</v>
      </c>
      <c r="Q11" s="55" t="s">
        <v>184</v>
      </c>
      <c r="R11" s="55" t="s">
        <v>185</v>
      </c>
      <c r="S11" s="53">
        <v>47169</v>
      </c>
      <c r="T11" s="50" t="s">
        <v>186</v>
      </c>
      <c r="U11" s="50" t="s">
        <v>166</v>
      </c>
      <c r="V11" s="56"/>
      <c r="W11" s="50"/>
      <c r="X11" s="50"/>
      <c r="Y11" s="56"/>
      <c r="Z11" s="56"/>
      <c r="AA11" s="56"/>
      <c r="AB11" s="56"/>
      <c r="AC11" s="56"/>
      <c r="AD11" s="56"/>
    </row>
    <row x14ac:dyDescent="0.25" r="12" customHeight="1" ht="18.75" hidden="1">
      <c r="A12" s="56" t="s">
        <v>708</v>
      </c>
      <c r="B12" s="56"/>
      <c r="C12" s="50" t="s">
        <v>16</v>
      </c>
      <c r="D12" s="50" t="s">
        <v>143</v>
      </c>
      <c r="E12" s="50" t="s">
        <v>22</v>
      </c>
      <c r="F12" s="50" t="s">
        <v>187</v>
      </c>
      <c r="G12" s="55">
        <v>30000000</v>
      </c>
      <c r="H12" s="55"/>
      <c r="I12" s="55"/>
      <c r="J12" s="51">
        <v>2028000</v>
      </c>
      <c r="K12" s="51"/>
      <c r="L12" s="52">
        <v>46150</v>
      </c>
      <c r="M12" s="53">
        <v>46089</v>
      </c>
      <c r="N12" s="50" t="s">
        <v>168</v>
      </c>
      <c r="O12" s="50" t="s">
        <v>188</v>
      </c>
      <c r="P12" s="50" t="s">
        <v>187</v>
      </c>
      <c r="Q12" s="55" t="s">
        <v>189</v>
      </c>
      <c r="R12" s="55" t="s">
        <v>190</v>
      </c>
      <c r="S12" s="53">
        <v>47184</v>
      </c>
      <c r="T12" s="50" t="s">
        <v>191</v>
      </c>
      <c r="U12" s="50" t="s">
        <v>166</v>
      </c>
      <c r="V12" s="48" t="s">
        <v>192</v>
      </c>
      <c r="W12" s="50"/>
      <c r="X12" s="50"/>
      <c r="Y12" s="56"/>
      <c r="Z12" s="56"/>
      <c r="AA12" s="56"/>
      <c r="AB12" s="56"/>
      <c r="AC12" s="56"/>
      <c r="AD12" s="56"/>
    </row>
    <row x14ac:dyDescent="0.25" r="13" customHeight="1" ht="18.75" hidden="1">
      <c r="A13" s="63" t="s">
        <v>708</v>
      </c>
      <c r="B13" s="63"/>
      <c r="C13" s="49" t="s">
        <v>16</v>
      </c>
      <c r="D13" s="49"/>
      <c r="E13" s="49" t="s">
        <v>126</v>
      </c>
      <c r="F13" s="49" t="s">
        <v>193</v>
      </c>
      <c r="G13" s="64">
        <v>20000000</v>
      </c>
      <c r="H13" s="64"/>
      <c r="I13" s="64"/>
      <c r="J13" s="65">
        <f>IF(G13&gt;0,_xludf.IFS(G13=10000000,800000,G13=20000000,1528000,G13=30000000,2028000,G13=60000000,4056000),"")</f>
      </c>
      <c r="K13" s="64"/>
      <c r="L13" s="66">
        <v>46058</v>
      </c>
      <c r="M13" s="67">
        <f>IF(L13&gt;0,EDATE(L13,-2),"")</f>
        <v>25569.375</v>
      </c>
      <c r="N13" s="49" t="s">
        <v>168</v>
      </c>
      <c r="O13" s="49" t="s">
        <v>194</v>
      </c>
      <c r="P13" s="68">
        <f>IF(F13&gt;0,F13,"")</f>
      </c>
      <c r="Q13" s="69" t="s">
        <v>195</v>
      </c>
      <c r="R13" s="69">
        <v>32404004</v>
      </c>
      <c r="S13" s="67">
        <f>IF(ISNUMBER(M13), EDATE(M13,36)-1, "")</f>
        <v>25569.375</v>
      </c>
      <c r="T13" s="49"/>
      <c r="U13" s="49"/>
      <c r="V13" s="63" t="s">
        <v>196</v>
      </c>
      <c r="W13" s="50"/>
      <c r="X13" s="50"/>
      <c r="Y13" s="56"/>
      <c r="Z13" s="56"/>
      <c r="AA13" s="56"/>
      <c r="AB13" s="56"/>
      <c r="AC13" s="56"/>
      <c r="AD13" s="56"/>
    </row>
    <row x14ac:dyDescent="0.25" r="14" customHeight="1" ht="18.75">
      <c r="A14" s="57" t="s">
        <v>708</v>
      </c>
      <c r="B14" s="57" t="s">
        <v>3224</v>
      </c>
      <c r="C14" s="58" t="s">
        <v>16</v>
      </c>
      <c r="D14" s="58" t="s">
        <v>75</v>
      </c>
      <c r="E14" s="58"/>
      <c r="F14" s="58" t="s">
        <v>2314</v>
      </c>
      <c r="G14" s="59">
        <v>10000000</v>
      </c>
      <c r="H14" s="59">
        <v>10000000</v>
      </c>
      <c r="I14" s="60">
        <v>46113</v>
      </c>
      <c r="J14" s="61">
        <v>500000</v>
      </c>
      <c r="K14" s="61">
        <v>1</v>
      </c>
      <c r="L14" s="60">
        <v>46174</v>
      </c>
      <c r="M14" s="60">
        <v>46113</v>
      </c>
      <c r="N14" s="58" t="s">
        <v>570</v>
      </c>
      <c r="O14" s="58" t="s">
        <v>2315</v>
      </c>
      <c r="P14" s="58" t="s">
        <v>2314</v>
      </c>
      <c r="Q14" s="59" t="s">
        <v>2316</v>
      </c>
      <c r="R14" s="59" t="s">
        <v>2317</v>
      </c>
      <c r="S14" s="60">
        <v>47208</v>
      </c>
      <c r="T14" s="58" t="s">
        <v>2318</v>
      </c>
      <c r="U14" s="58" t="s">
        <v>166</v>
      </c>
      <c r="V14" s="57"/>
      <c r="W14" s="58"/>
      <c r="X14" s="58"/>
      <c r="Y14" s="57"/>
      <c r="Z14" s="57"/>
      <c r="AA14" s="57"/>
      <c r="AB14" s="57"/>
      <c r="AC14" s="57"/>
      <c r="AD14" s="57"/>
    </row>
    <row x14ac:dyDescent="0.25" r="15" customHeight="1" ht="18.75" hidden="1">
      <c r="A15" s="56" t="s">
        <v>708</v>
      </c>
      <c r="B15" s="56"/>
      <c r="C15" s="50" t="s">
        <v>16</v>
      </c>
      <c r="D15" s="50"/>
      <c r="E15" s="50"/>
      <c r="F15" s="50" t="s">
        <v>204</v>
      </c>
      <c r="G15" s="55">
        <v>60000000</v>
      </c>
      <c r="H15" s="55"/>
      <c r="I15" s="55"/>
      <c r="J15" s="51">
        <v>4056000</v>
      </c>
      <c r="K15" s="51"/>
      <c r="L15" s="52">
        <v>45952</v>
      </c>
      <c r="M15" s="53">
        <v>45889</v>
      </c>
      <c r="N15" s="50" t="s">
        <v>205</v>
      </c>
      <c r="O15" s="50" t="s">
        <v>206</v>
      </c>
      <c r="P15" s="50" t="s">
        <v>204</v>
      </c>
      <c r="Q15" s="55" t="s">
        <v>207</v>
      </c>
      <c r="R15" s="55" t="s">
        <v>208</v>
      </c>
      <c r="S15" s="53">
        <v>46984</v>
      </c>
      <c r="T15" s="50"/>
      <c r="U15" s="50"/>
      <c r="V15" s="56"/>
      <c r="W15" s="50"/>
      <c r="X15" s="50"/>
      <c r="Y15" s="56"/>
      <c r="Z15" s="56"/>
      <c r="AA15" s="56"/>
      <c r="AB15" s="56"/>
      <c r="AC15" s="56"/>
      <c r="AD15" s="56"/>
    </row>
    <row x14ac:dyDescent="0.25" r="16" customHeight="1" ht="18.75" hidden="1">
      <c r="A16" s="56" t="s">
        <v>708</v>
      </c>
      <c r="B16" s="56"/>
      <c r="C16" s="50" t="s">
        <v>16</v>
      </c>
      <c r="D16" s="50"/>
      <c r="E16" s="50"/>
      <c r="F16" s="50" t="s">
        <v>204</v>
      </c>
      <c r="G16" s="55">
        <v>60000000</v>
      </c>
      <c r="H16" s="55"/>
      <c r="I16" s="55"/>
      <c r="J16" s="51">
        <v>4056000</v>
      </c>
      <c r="K16" s="51"/>
      <c r="L16" s="52">
        <v>45977</v>
      </c>
      <c r="M16" s="53">
        <v>45916</v>
      </c>
      <c r="N16" s="50" t="s">
        <v>205</v>
      </c>
      <c r="O16" s="50" t="s">
        <v>206</v>
      </c>
      <c r="P16" s="50" t="s">
        <v>204</v>
      </c>
      <c r="Q16" s="55" t="s">
        <v>209</v>
      </c>
      <c r="R16" s="55" t="s">
        <v>210</v>
      </c>
      <c r="S16" s="53">
        <v>47011</v>
      </c>
      <c r="T16" s="50"/>
      <c r="U16" s="50"/>
      <c r="V16" s="56"/>
      <c r="W16" s="50"/>
      <c r="X16" s="50"/>
      <c r="Y16" s="56"/>
      <c r="Z16" s="56"/>
      <c r="AA16" s="56"/>
      <c r="AB16" s="56"/>
      <c r="AC16" s="56"/>
      <c r="AD16" s="56"/>
    </row>
    <row x14ac:dyDescent="0.25" r="17" customHeight="1" ht="18.75" hidden="1">
      <c r="A17" s="56" t="s">
        <v>708</v>
      </c>
      <c r="B17" s="56"/>
      <c r="C17" s="50" t="s">
        <v>16</v>
      </c>
      <c r="D17" s="50"/>
      <c r="E17" s="50"/>
      <c r="F17" s="50" t="s">
        <v>211</v>
      </c>
      <c r="G17" s="55">
        <v>60000000</v>
      </c>
      <c r="H17" s="55"/>
      <c r="I17" s="55"/>
      <c r="J17" s="51">
        <v>4056000</v>
      </c>
      <c r="K17" s="51"/>
      <c r="L17" s="52">
        <v>46046</v>
      </c>
      <c r="M17" s="53">
        <v>45985</v>
      </c>
      <c r="N17" s="50" t="s">
        <v>212</v>
      </c>
      <c r="O17" s="50" t="s">
        <v>213</v>
      </c>
      <c r="P17" s="50" t="s">
        <v>211</v>
      </c>
      <c r="Q17" s="55" t="s">
        <v>214</v>
      </c>
      <c r="R17" s="55" t="s">
        <v>215</v>
      </c>
      <c r="S17" s="53">
        <v>47080</v>
      </c>
      <c r="T17" s="50"/>
      <c r="U17" s="50"/>
      <c r="V17" s="56"/>
      <c r="W17" s="50"/>
      <c r="X17" s="50"/>
      <c r="Y17" s="56"/>
      <c r="Z17" s="56"/>
      <c r="AA17" s="56"/>
      <c r="AB17" s="56"/>
      <c r="AC17" s="56"/>
      <c r="AD17" s="56"/>
    </row>
    <row x14ac:dyDescent="0.25" r="18" customHeight="1" ht="18.75" hidden="1">
      <c r="A18" s="48" t="s">
        <v>708</v>
      </c>
      <c r="B18" s="48"/>
      <c r="C18" s="50" t="s">
        <v>113</v>
      </c>
      <c r="D18" s="50"/>
      <c r="E18" s="50"/>
      <c r="F18" s="70" t="s">
        <v>14</v>
      </c>
      <c r="G18" s="55">
        <v>60000000</v>
      </c>
      <c r="H18" s="55"/>
      <c r="I18" s="55"/>
      <c r="J18" s="51">
        <v>6000000</v>
      </c>
      <c r="K18" s="51"/>
      <c r="L18" s="52">
        <v>45657</v>
      </c>
      <c r="M18" s="53">
        <v>45596</v>
      </c>
      <c r="N18" s="50" t="s">
        <v>217</v>
      </c>
      <c r="O18" s="50" t="s">
        <v>218</v>
      </c>
      <c r="P18" s="50" t="s">
        <v>14</v>
      </c>
      <c r="Q18" s="55" t="s">
        <v>219</v>
      </c>
      <c r="R18" s="55" t="s">
        <v>220</v>
      </c>
      <c r="S18" s="53">
        <v>47421</v>
      </c>
      <c r="T18" s="50"/>
      <c r="U18" s="50"/>
      <c r="V18" s="56"/>
      <c r="W18" s="50"/>
      <c r="X18" s="50"/>
      <c r="Y18" s="56"/>
      <c r="Z18" s="56"/>
      <c r="AA18" s="56"/>
      <c r="AB18" s="56"/>
      <c r="AC18" s="56"/>
      <c r="AD18" s="56"/>
    </row>
    <row x14ac:dyDescent="0.25" r="19" customHeight="1" ht="18.75" hidden="1">
      <c r="A19" s="56" t="s">
        <v>708</v>
      </c>
      <c r="B19" s="56"/>
      <c r="C19" s="50" t="s">
        <v>13</v>
      </c>
      <c r="D19" s="50"/>
      <c r="E19" s="50"/>
      <c r="F19" s="70" t="s">
        <v>14</v>
      </c>
      <c r="G19" s="55">
        <v>10000000</v>
      </c>
      <c r="H19" s="55"/>
      <c r="I19" s="55"/>
      <c r="J19" s="51">
        <v>900000</v>
      </c>
      <c r="K19" s="51"/>
      <c r="L19" s="52">
        <v>45791</v>
      </c>
      <c r="M19" s="53">
        <v>45730</v>
      </c>
      <c r="N19" s="50" t="s">
        <v>217</v>
      </c>
      <c r="O19" s="50" t="s">
        <v>218</v>
      </c>
      <c r="P19" s="50" t="s">
        <v>14</v>
      </c>
      <c r="Q19" s="55" t="s">
        <v>221</v>
      </c>
      <c r="R19" s="55" t="s">
        <v>220</v>
      </c>
      <c r="S19" s="53">
        <v>46825</v>
      </c>
      <c r="T19" s="50"/>
      <c r="U19" s="50"/>
      <c r="V19" s="56"/>
      <c r="W19" s="50"/>
      <c r="X19" s="50"/>
      <c r="Y19" s="56"/>
      <c r="Z19" s="56"/>
      <c r="AA19" s="56"/>
      <c r="AB19" s="56"/>
      <c r="AC19" s="56"/>
      <c r="AD19" s="56"/>
    </row>
    <row x14ac:dyDescent="0.25" r="20" customHeight="1" ht="18.75" hidden="1">
      <c r="A20" s="56" t="s">
        <v>708</v>
      </c>
      <c r="B20" s="56"/>
      <c r="C20" s="50" t="s">
        <v>16</v>
      </c>
      <c r="D20" s="50"/>
      <c r="E20" s="50"/>
      <c r="F20" s="70" t="s">
        <v>14</v>
      </c>
      <c r="G20" s="55">
        <v>60000000</v>
      </c>
      <c r="H20" s="55"/>
      <c r="I20" s="55"/>
      <c r="J20" s="51">
        <v>4800000</v>
      </c>
      <c r="K20" s="51"/>
      <c r="L20" s="52">
        <v>45901</v>
      </c>
      <c r="M20" s="53">
        <v>45839</v>
      </c>
      <c r="N20" s="50" t="s">
        <v>222</v>
      </c>
      <c r="O20" s="50" t="s">
        <v>223</v>
      </c>
      <c r="P20" s="50" t="s">
        <v>14</v>
      </c>
      <c r="Q20" s="55" t="s">
        <v>221</v>
      </c>
      <c r="R20" s="55" t="s">
        <v>220</v>
      </c>
      <c r="S20" s="53">
        <v>46934</v>
      </c>
      <c r="T20" s="50"/>
      <c r="U20" s="50"/>
      <c r="V20" s="56"/>
      <c r="W20" s="50"/>
      <c r="X20" s="50"/>
      <c r="Y20" s="56"/>
      <c r="Z20" s="56"/>
      <c r="AA20" s="56"/>
      <c r="AB20" s="56"/>
      <c r="AC20" s="56"/>
      <c r="AD20" s="56"/>
    </row>
    <row x14ac:dyDescent="0.25" r="21" customHeight="1" ht="18.75" hidden="1">
      <c r="A21" s="71" t="s">
        <v>708</v>
      </c>
      <c r="B21" s="71"/>
      <c r="C21" s="72" t="s">
        <v>16</v>
      </c>
      <c r="D21" s="72"/>
      <c r="E21" s="72"/>
      <c r="F21" s="72" t="s">
        <v>224</v>
      </c>
      <c r="G21" s="73">
        <v>50000000</v>
      </c>
      <c r="H21" s="73"/>
      <c r="I21" s="73"/>
      <c r="J21" s="74"/>
      <c r="K21" s="74"/>
      <c r="L21" s="75">
        <v>45911</v>
      </c>
      <c r="M21" s="76">
        <v>45849</v>
      </c>
      <c r="N21" s="72" t="s">
        <v>225</v>
      </c>
      <c r="O21" s="72" t="s">
        <v>226</v>
      </c>
      <c r="P21" s="72" t="s">
        <v>224</v>
      </c>
      <c r="Q21" s="73" t="s">
        <v>227</v>
      </c>
      <c r="R21" s="73" t="s">
        <v>228</v>
      </c>
      <c r="S21" s="76">
        <v>46944</v>
      </c>
      <c r="T21" s="72"/>
      <c r="U21" s="72"/>
      <c r="V21" s="71"/>
      <c r="W21" s="50"/>
      <c r="X21" s="50"/>
      <c r="Y21" s="56"/>
      <c r="Z21" s="56"/>
      <c r="AA21" s="56"/>
      <c r="AB21" s="56"/>
      <c r="AC21" s="56"/>
      <c r="AD21" s="56"/>
    </row>
    <row x14ac:dyDescent="0.25" r="22" customHeight="1" ht="18.75" hidden="1">
      <c r="A22" s="56" t="s">
        <v>708</v>
      </c>
      <c r="B22" s="56"/>
      <c r="C22" s="50" t="s">
        <v>16</v>
      </c>
      <c r="D22" s="50"/>
      <c r="E22" s="50"/>
      <c r="F22" s="50" t="s">
        <v>229</v>
      </c>
      <c r="G22" s="55">
        <v>20000000</v>
      </c>
      <c r="H22" s="55"/>
      <c r="I22" s="55"/>
      <c r="J22" s="51">
        <v>1528000</v>
      </c>
      <c r="K22" s="51"/>
      <c r="L22" s="52">
        <v>46081</v>
      </c>
      <c r="M22" s="53">
        <v>46022</v>
      </c>
      <c r="N22" s="50" t="s">
        <v>217</v>
      </c>
      <c r="O22" s="50" t="s">
        <v>230</v>
      </c>
      <c r="P22" s="50" t="s">
        <v>229</v>
      </c>
      <c r="Q22" s="55" t="s">
        <v>231</v>
      </c>
      <c r="R22" s="55" t="s">
        <v>232</v>
      </c>
      <c r="S22" s="53">
        <v>47117</v>
      </c>
      <c r="T22" s="50"/>
      <c r="U22" s="50"/>
      <c r="V22" s="56"/>
      <c r="W22" s="50"/>
      <c r="X22" s="50"/>
      <c r="Y22" s="56"/>
      <c r="Z22" s="56"/>
      <c r="AA22" s="56"/>
      <c r="AB22" s="56"/>
      <c r="AC22" s="56"/>
      <c r="AD22" s="56"/>
    </row>
    <row x14ac:dyDescent="0.25" r="23" customHeight="1" ht="18.75" hidden="1">
      <c r="A23" s="56" t="s">
        <v>708</v>
      </c>
      <c r="B23" s="56"/>
      <c r="C23" s="50" t="s">
        <v>16</v>
      </c>
      <c r="D23" s="50"/>
      <c r="E23" s="50"/>
      <c r="F23" s="50" t="s">
        <v>233</v>
      </c>
      <c r="G23" s="51">
        <v>10000000</v>
      </c>
      <c r="H23" s="51"/>
      <c r="I23" s="51"/>
      <c r="J23" s="51">
        <v>800000</v>
      </c>
      <c r="K23" s="51"/>
      <c r="L23" s="52">
        <v>46103</v>
      </c>
      <c r="M23" s="53">
        <f>IF(L23&gt;0,EDATE(L23,-2),"")</f>
        <v>25569.375</v>
      </c>
      <c r="N23" s="50" t="s">
        <v>234</v>
      </c>
      <c r="O23" s="50" t="s">
        <v>235</v>
      </c>
      <c r="P23" s="50" t="s">
        <v>233</v>
      </c>
      <c r="Q23" s="55">
        <v>6806031720916</v>
      </c>
      <c r="R23" s="55">
        <v>86020733</v>
      </c>
      <c r="S23" s="53">
        <f>IF(ISNUMBER(M23), EDATE(M23,36)-1, "")</f>
        <v>25569.375</v>
      </c>
      <c r="T23" s="50"/>
      <c r="U23" s="50"/>
      <c r="V23" s="48" t="s">
        <v>237</v>
      </c>
      <c r="W23" s="50"/>
      <c r="X23" s="50"/>
      <c r="Y23" s="56"/>
      <c r="Z23" s="56"/>
      <c r="AA23" s="56"/>
      <c r="AB23" s="56"/>
      <c r="AC23" s="56"/>
      <c r="AD23" s="56"/>
    </row>
    <row x14ac:dyDescent="0.25" r="24" customHeight="1" ht="18.75" hidden="1">
      <c r="A24" s="56" t="s">
        <v>708</v>
      </c>
      <c r="B24" s="56"/>
      <c r="C24" s="50" t="s">
        <v>16</v>
      </c>
      <c r="D24" s="50"/>
      <c r="E24" s="50"/>
      <c r="F24" s="50" t="s">
        <v>238</v>
      </c>
      <c r="G24" s="55">
        <v>10000000</v>
      </c>
      <c r="H24" s="55"/>
      <c r="I24" s="55"/>
      <c r="J24" s="51">
        <v>800000</v>
      </c>
      <c r="K24" s="51"/>
      <c r="L24" s="52">
        <v>46145</v>
      </c>
      <c r="M24" s="53">
        <v>46084</v>
      </c>
      <c r="N24" s="50" t="s">
        <v>239</v>
      </c>
      <c r="O24" s="50" t="s">
        <v>240</v>
      </c>
      <c r="P24" s="50" t="s">
        <v>238</v>
      </c>
      <c r="Q24" s="55" t="s">
        <v>241</v>
      </c>
      <c r="R24" s="55" t="s">
        <v>242</v>
      </c>
      <c r="S24" s="53">
        <v>47179</v>
      </c>
      <c r="T24" s="50" t="s">
        <v>243</v>
      </c>
      <c r="U24" s="50" t="s">
        <v>166</v>
      </c>
      <c r="V24" s="56"/>
      <c r="W24" s="50"/>
      <c r="X24" s="50"/>
      <c r="Y24" s="56"/>
      <c r="Z24" s="56"/>
      <c r="AA24" s="56"/>
      <c r="AB24" s="56"/>
      <c r="AC24" s="56"/>
      <c r="AD24" s="56"/>
    </row>
    <row x14ac:dyDescent="0.25" r="25" customHeight="1" ht="18.75">
      <c r="A25" s="57" t="s">
        <v>708</v>
      </c>
      <c r="B25" s="57" t="s">
        <v>3224</v>
      </c>
      <c r="C25" s="58" t="s">
        <v>16</v>
      </c>
      <c r="D25" s="58" t="s">
        <v>97</v>
      </c>
      <c r="E25" s="58" t="s">
        <v>596</v>
      </c>
      <c r="F25" s="58" t="s">
        <v>2808</v>
      </c>
      <c r="G25" s="59">
        <v>10000000</v>
      </c>
      <c r="H25" s="59">
        <v>10000000</v>
      </c>
      <c r="I25" s="60">
        <v>46113</v>
      </c>
      <c r="J25" s="61">
        <v>1200000</v>
      </c>
      <c r="K25" s="61">
        <v>1</v>
      </c>
      <c r="L25" s="60">
        <v>46174</v>
      </c>
      <c r="M25" s="60">
        <v>46113</v>
      </c>
      <c r="N25" s="58" t="s">
        <v>155</v>
      </c>
      <c r="O25" s="58" t="s">
        <v>2812</v>
      </c>
      <c r="P25" s="58" t="s">
        <v>2808</v>
      </c>
      <c r="Q25" s="59" t="s">
        <v>2813</v>
      </c>
      <c r="R25" s="59" t="s">
        <v>2814</v>
      </c>
      <c r="S25" s="60">
        <v>47208</v>
      </c>
      <c r="T25" s="58" t="s">
        <v>2815</v>
      </c>
      <c r="U25" s="58" t="s">
        <v>166</v>
      </c>
      <c r="V25" s="77" t="s">
        <v>3226</v>
      </c>
      <c r="W25" s="58"/>
      <c r="X25" s="58"/>
      <c r="Y25" s="57"/>
      <c r="Z25" s="57"/>
      <c r="AA25" s="57"/>
      <c r="AB25" s="57"/>
      <c r="AC25" s="57"/>
      <c r="AD25" s="57"/>
    </row>
    <row x14ac:dyDescent="0.25" r="26" customHeight="1" ht="18.75" hidden="1">
      <c r="A26" s="56" t="s">
        <v>708</v>
      </c>
      <c r="B26" s="56"/>
      <c r="C26" s="50" t="s">
        <v>16</v>
      </c>
      <c r="D26" s="50"/>
      <c r="E26" s="50"/>
      <c r="F26" s="50" t="s">
        <v>244</v>
      </c>
      <c r="G26" s="55">
        <v>10000000</v>
      </c>
      <c r="H26" s="55"/>
      <c r="I26" s="55"/>
      <c r="J26" s="51">
        <v>800000</v>
      </c>
      <c r="K26" s="51"/>
      <c r="L26" s="52">
        <v>45957</v>
      </c>
      <c r="M26" s="53">
        <v>45957</v>
      </c>
      <c r="N26" s="50" t="s">
        <v>212</v>
      </c>
      <c r="O26" s="50" t="s">
        <v>245</v>
      </c>
      <c r="P26" s="50" t="s">
        <v>244</v>
      </c>
      <c r="Q26" s="55" t="s">
        <v>246</v>
      </c>
      <c r="R26" s="55" t="s">
        <v>247</v>
      </c>
      <c r="S26" s="53">
        <v>47052</v>
      </c>
      <c r="T26" s="50"/>
      <c r="U26" s="50"/>
      <c r="V26" s="56"/>
      <c r="W26" s="50"/>
      <c r="X26" s="50"/>
      <c r="Y26" s="56"/>
      <c r="Z26" s="56"/>
      <c r="AA26" s="56"/>
      <c r="AB26" s="56"/>
      <c r="AC26" s="56"/>
      <c r="AD26" s="56"/>
    </row>
    <row x14ac:dyDescent="0.25" r="27" customHeight="1" ht="18.75" hidden="1">
      <c r="A27" s="56" t="s">
        <v>708</v>
      </c>
      <c r="B27" s="56"/>
      <c r="C27" s="50" t="s">
        <v>16</v>
      </c>
      <c r="D27" s="50"/>
      <c r="E27" s="50" t="s">
        <v>244</v>
      </c>
      <c r="F27" s="50" t="s">
        <v>248</v>
      </c>
      <c r="G27" s="55">
        <v>10000000</v>
      </c>
      <c r="H27" s="55"/>
      <c r="I27" s="55"/>
      <c r="J27" s="51">
        <v>800000</v>
      </c>
      <c r="K27" s="51"/>
      <c r="L27" s="52">
        <v>46144</v>
      </c>
      <c r="M27" s="53">
        <v>46083</v>
      </c>
      <c r="N27" s="50" t="s">
        <v>212</v>
      </c>
      <c r="O27" s="50" t="s">
        <v>249</v>
      </c>
      <c r="P27" s="50" t="s">
        <v>248</v>
      </c>
      <c r="Q27" s="55" t="s">
        <v>250</v>
      </c>
      <c r="R27" s="55" t="s">
        <v>247</v>
      </c>
      <c r="S27" s="53">
        <v>47178</v>
      </c>
      <c r="T27" s="50" t="s">
        <v>251</v>
      </c>
      <c r="U27" s="50" t="s">
        <v>166</v>
      </c>
      <c r="V27" s="56"/>
      <c r="W27" s="50"/>
      <c r="X27" s="50"/>
      <c r="Y27" s="56"/>
      <c r="Z27" s="56"/>
      <c r="AA27" s="56"/>
      <c r="AB27" s="56"/>
      <c r="AC27" s="56"/>
      <c r="AD27" s="56"/>
    </row>
    <row x14ac:dyDescent="0.25" r="28" customHeight="1" ht="18.75" hidden="1">
      <c r="A28" s="48" t="s">
        <v>708</v>
      </c>
      <c r="B28" s="48"/>
      <c r="C28" s="50" t="s">
        <v>16</v>
      </c>
      <c r="D28" s="50"/>
      <c r="E28" s="50"/>
      <c r="F28" s="50" t="s">
        <v>253</v>
      </c>
      <c r="G28" s="55">
        <v>30000000</v>
      </c>
      <c r="H28" s="55"/>
      <c r="I28" s="55"/>
      <c r="J28" s="51">
        <v>2028000</v>
      </c>
      <c r="K28" s="51"/>
      <c r="L28" s="52">
        <v>46065</v>
      </c>
      <c r="M28" s="53">
        <v>46003</v>
      </c>
      <c r="N28" s="50" t="s">
        <v>155</v>
      </c>
      <c r="O28" s="50" t="s">
        <v>254</v>
      </c>
      <c r="P28" s="50" t="s">
        <v>255</v>
      </c>
      <c r="Q28" s="55" t="s">
        <v>256</v>
      </c>
      <c r="R28" s="55" t="s">
        <v>257</v>
      </c>
      <c r="S28" s="53">
        <v>47098</v>
      </c>
      <c r="T28" s="50"/>
      <c r="U28" s="50"/>
      <c r="V28" s="56"/>
      <c r="W28" s="50"/>
      <c r="X28" s="50"/>
      <c r="Y28" s="56"/>
      <c r="Z28" s="56"/>
      <c r="AA28" s="56"/>
      <c r="AB28" s="56"/>
      <c r="AC28" s="56"/>
      <c r="AD28" s="56"/>
    </row>
    <row x14ac:dyDescent="0.25" r="29" customHeight="1" ht="18.75" hidden="1">
      <c r="A29" s="63" t="s">
        <v>708</v>
      </c>
      <c r="B29" s="63"/>
      <c r="C29" s="49" t="s">
        <v>16</v>
      </c>
      <c r="D29" s="49" t="s">
        <v>88</v>
      </c>
      <c r="E29" s="49" t="s">
        <v>14</v>
      </c>
      <c r="F29" s="49" t="s">
        <v>253</v>
      </c>
      <c r="G29" s="64">
        <v>120000000</v>
      </c>
      <c r="H29" s="64"/>
      <c r="I29" s="64"/>
      <c r="J29" s="64">
        <v>9600000</v>
      </c>
      <c r="K29" s="64"/>
      <c r="L29" s="66">
        <v>45969</v>
      </c>
      <c r="M29" s="67">
        <f>IF(L29&gt;0,EDATE(L29,-2),"")</f>
        <v>25569.375</v>
      </c>
      <c r="N29" s="49" t="s">
        <v>155</v>
      </c>
      <c r="O29" s="49" t="s">
        <v>258</v>
      </c>
      <c r="P29" s="68">
        <f>IF(F29&gt;0,F29,"")</f>
      </c>
      <c r="Q29" s="69" t="s">
        <v>256</v>
      </c>
      <c r="R29" s="69">
        <v>37595831</v>
      </c>
      <c r="S29" s="67">
        <f>IF(ISNUMBER(M29), EDATE(M29,36)-1, "")</f>
        <v>25569.375</v>
      </c>
      <c r="T29" s="49"/>
      <c r="U29" s="49"/>
      <c r="V29" s="63" t="s">
        <v>259</v>
      </c>
      <c r="W29" s="50"/>
      <c r="X29" s="50"/>
      <c r="Y29" s="56"/>
      <c r="Z29" s="56"/>
      <c r="AA29" s="56"/>
      <c r="AB29" s="56"/>
      <c r="AC29" s="56"/>
      <c r="AD29" s="56"/>
    </row>
    <row x14ac:dyDescent="0.25" r="30" customHeight="1" ht="18.75" hidden="1">
      <c r="A30" s="56" t="s">
        <v>708</v>
      </c>
      <c r="B30" s="56"/>
      <c r="C30" s="50" t="s">
        <v>16</v>
      </c>
      <c r="D30" s="50"/>
      <c r="E30" s="50"/>
      <c r="F30" s="50" t="s">
        <v>260</v>
      </c>
      <c r="G30" s="55">
        <v>10000000</v>
      </c>
      <c r="H30" s="55"/>
      <c r="I30" s="55"/>
      <c r="J30" s="51">
        <v>800000</v>
      </c>
      <c r="K30" s="51"/>
      <c r="L30" s="52">
        <v>46130</v>
      </c>
      <c r="M30" s="53">
        <v>46071</v>
      </c>
      <c r="N30" s="50" t="s">
        <v>261</v>
      </c>
      <c r="O30" s="50" t="s">
        <v>262</v>
      </c>
      <c r="P30" s="50" t="s">
        <v>260</v>
      </c>
      <c r="Q30" s="55" t="s">
        <v>263</v>
      </c>
      <c r="R30" s="55" t="s">
        <v>264</v>
      </c>
      <c r="S30" s="53">
        <v>47166</v>
      </c>
      <c r="T30" s="50" t="s">
        <v>265</v>
      </c>
      <c r="U30" s="50" t="s">
        <v>166</v>
      </c>
      <c r="V30" s="56"/>
      <c r="W30" s="50"/>
      <c r="X30" s="50"/>
      <c r="Y30" s="56"/>
      <c r="Z30" s="56"/>
      <c r="AA30" s="56"/>
      <c r="AB30" s="56"/>
      <c r="AC30" s="56"/>
      <c r="AD30" s="56"/>
    </row>
    <row x14ac:dyDescent="0.25" r="31" customHeight="1" ht="18.75" hidden="1">
      <c r="A31" s="56" t="s">
        <v>708</v>
      </c>
      <c r="B31" s="56"/>
      <c r="C31" s="50" t="s">
        <v>16</v>
      </c>
      <c r="D31" s="50" t="s">
        <v>55</v>
      </c>
      <c r="E31" s="50" t="s">
        <v>56</v>
      </c>
      <c r="F31" s="50" t="s">
        <v>266</v>
      </c>
      <c r="G31" s="55">
        <v>60000000</v>
      </c>
      <c r="H31" s="55"/>
      <c r="I31" s="55"/>
      <c r="J31" s="51">
        <v>4056000</v>
      </c>
      <c r="K31" s="51"/>
      <c r="L31" s="52">
        <v>46122</v>
      </c>
      <c r="M31" s="53">
        <v>46063</v>
      </c>
      <c r="N31" s="50" t="s">
        <v>205</v>
      </c>
      <c r="O31" s="50" t="s">
        <v>267</v>
      </c>
      <c r="P31" s="50" t="s">
        <v>266</v>
      </c>
      <c r="Q31" s="55" t="s">
        <v>268</v>
      </c>
      <c r="R31" s="55" t="s">
        <v>269</v>
      </c>
      <c r="S31" s="53">
        <v>47158</v>
      </c>
      <c r="T31" s="50" t="s">
        <v>270</v>
      </c>
      <c r="U31" s="50" t="s">
        <v>166</v>
      </c>
      <c r="V31" s="56"/>
      <c r="W31" s="50"/>
      <c r="X31" s="50"/>
      <c r="Y31" s="56"/>
      <c r="Z31" s="56"/>
      <c r="AA31" s="56"/>
      <c r="AB31" s="56"/>
      <c r="AC31" s="56"/>
      <c r="AD31" s="56"/>
    </row>
    <row x14ac:dyDescent="0.25" r="32" customHeight="1" ht="18.75">
      <c r="A32" s="57" t="s">
        <v>708</v>
      </c>
      <c r="B32" s="57" t="s">
        <v>3224</v>
      </c>
      <c r="C32" s="58" t="s">
        <v>16</v>
      </c>
      <c r="D32" s="58" t="s">
        <v>14</v>
      </c>
      <c r="E32" s="58" t="s">
        <v>14</v>
      </c>
      <c r="F32" s="58" t="s">
        <v>2935</v>
      </c>
      <c r="G32" s="59">
        <v>10000000</v>
      </c>
      <c r="H32" s="59">
        <v>10000000</v>
      </c>
      <c r="I32" s="60">
        <v>46113</v>
      </c>
      <c r="J32" s="61">
        <v>500000</v>
      </c>
      <c r="K32" s="61">
        <v>1</v>
      </c>
      <c r="L32" s="60">
        <v>46174</v>
      </c>
      <c r="M32" s="60">
        <v>46113</v>
      </c>
      <c r="N32" s="58" t="s">
        <v>940</v>
      </c>
      <c r="O32" s="58" t="s">
        <v>2937</v>
      </c>
      <c r="P32" s="58" t="s">
        <v>2935</v>
      </c>
      <c r="Q32" s="59" t="s">
        <v>2936</v>
      </c>
      <c r="R32" s="59" t="s">
        <v>2937</v>
      </c>
      <c r="S32" s="60">
        <v>47208</v>
      </c>
      <c r="T32" s="58" t="s">
        <v>2938</v>
      </c>
      <c r="U32" s="58" t="s">
        <v>166</v>
      </c>
      <c r="V32" s="57" t="s">
        <v>3227</v>
      </c>
      <c r="W32" s="58"/>
      <c r="X32" s="58"/>
      <c r="Y32" s="57"/>
      <c r="Z32" s="57"/>
      <c r="AA32" s="57"/>
      <c r="AB32" s="57"/>
      <c r="AC32" s="57"/>
      <c r="AD32" s="57"/>
    </row>
    <row x14ac:dyDescent="0.25" r="33" customHeight="1" ht="18.75" hidden="1">
      <c r="A33" s="63" t="s">
        <v>275</v>
      </c>
      <c r="B33" s="63"/>
      <c r="C33" s="49" t="s">
        <v>16</v>
      </c>
      <c r="D33" s="49" t="s">
        <v>153</v>
      </c>
      <c r="E33" s="49" t="s">
        <v>276</v>
      </c>
      <c r="F33" s="49" t="s">
        <v>277</v>
      </c>
      <c r="G33" s="64">
        <v>10000000</v>
      </c>
      <c r="H33" s="64"/>
      <c r="I33" s="64"/>
      <c r="J33" s="65">
        <f>IF(G33&gt;0,_xludf.IFS(G33=10000000,800000,G33=20000000,1528000,G33=30000000,2028000,G33=60000000,4056000),"")</f>
      </c>
      <c r="K33" s="64"/>
      <c r="L33" s="66">
        <v>46170</v>
      </c>
      <c r="M33" s="67">
        <f>IF(L33&gt;0,EDATE(L33,-2),"")</f>
        <v>25569.375</v>
      </c>
      <c r="N33" s="49" t="s">
        <v>239</v>
      </c>
      <c r="O33" s="49" t="s">
        <v>278</v>
      </c>
      <c r="P33" s="68">
        <f>IF(F33&gt;0,F33,"")</f>
      </c>
      <c r="Q33" s="69" t="s">
        <v>279</v>
      </c>
      <c r="R33" s="69">
        <v>95803367</v>
      </c>
      <c r="S33" s="67">
        <f>IF(ISNUMBER(M33), EDATE(M33,36)-1, "")</f>
        <v>25569.375</v>
      </c>
      <c r="T33" s="49"/>
      <c r="U33" s="49"/>
      <c r="V33" s="63" t="s">
        <v>3228</v>
      </c>
      <c r="W33" s="50"/>
      <c r="X33" s="50"/>
      <c r="Y33" s="56"/>
      <c r="Z33" s="56"/>
      <c r="AA33" s="56"/>
      <c r="AB33" s="56"/>
      <c r="AC33" s="56"/>
      <c r="AD33" s="56"/>
    </row>
    <row x14ac:dyDescent="0.25" r="34" customHeight="1" ht="18.75" hidden="1">
      <c r="A34" s="56" t="s">
        <v>275</v>
      </c>
      <c r="B34" s="56"/>
      <c r="C34" s="50" t="s">
        <v>16</v>
      </c>
      <c r="D34" s="50"/>
      <c r="E34" s="50"/>
      <c r="F34" s="50" t="s">
        <v>281</v>
      </c>
      <c r="G34" s="55">
        <v>10000000</v>
      </c>
      <c r="H34" s="55"/>
      <c r="I34" s="55"/>
      <c r="J34" s="51">
        <v>800000</v>
      </c>
      <c r="K34" s="51"/>
      <c r="L34" s="52">
        <v>46122</v>
      </c>
      <c r="M34" s="53">
        <v>46063</v>
      </c>
      <c r="N34" s="50" t="s">
        <v>282</v>
      </c>
      <c r="O34" s="50" t="s">
        <v>283</v>
      </c>
      <c r="P34" s="50" t="s">
        <v>281</v>
      </c>
      <c r="Q34" s="55" t="s">
        <v>284</v>
      </c>
      <c r="R34" s="55" t="s">
        <v>285</v>
      </c>
      <c r="S34" s="53">
        <v>47158</v>
      </c>
      <c r="T34" s="50" t="s">
        <v>286</v>
      </c>
      <c r="U34" s="50" t="s">
        <v>166</v>
      </c>
      <c r="V34" s="56" t="s">
        <v>3229</v>
      </c>
      <c r="W34" s="50"/>
      <c r="X34" s="50"/>
      <c r="Y34" s="56"/>
      <c r="Z34" s="56"/>
      <c r="AA34" s="56"/>
      <c r="AB34" s="56"/>
      <c r="AC34" s="56"/>
      <c r="AD34" s="56"/>
    </row>
    <row x14ac:dyDescent="0.25" r="35" customHeight="1" ht="18.75" hidden="1">
      <c r="A35" s="71" t="s">
        <v>275</v>
      </c>
      <c r="B35" s="71"/>
      <c r="C35" s="72" t="s">
        <v>16</v>
      </c>
      <c r="D35" s="72"/>
      <c r="E35" s="72"/>
      <c r="F35" s="72" t="s">
        <v>281</v>
      </c>
      <c r="G35" s="73">
        <v>10000000</v>
      </c>
      <c r="H35" s="73"/>
      <c r="I35" s="73"/>
      <c r="J35" s="51">
        <v>800000</v>
      </c>
      <c r="K35" s="51"/>
      <c r="L35" s="75">
        <v>46156</v>
      </c>
      <c r="M35" s="76">
        <v>46095</v>
      </c>
      <c r="N35" s="72" t="s">
        <v>168</v>
      </c>
      <c r="O35" s="72" t="s">
        <v>283</v>
      </c>
      <c r="P35" s="72" t="s">
        <v>281</v>
      </c>
      <c r="Q35" s="73" t="s">
        <v>284</v>
      </c>
      <c r="R35" s="73" t="s">
        <v>285</v>
      </c>
      <c r="S35" s="76">
        <v>47190</v>
      </c>
      <c r="T35" s="72" t="s">
        <v>287</v>
      </c>
      <c r="U35" s="72" t="s">
        <v>166</v>
      </c>
      <c r="V35" s="56" t="s">
        <v>3229</v>
      </c>
      <c r="W35" s="50"/>
      <c r="X35" s="50"/>
      <c r="Y35" s="56"/>
      <c r="Z35" s="56"/>
      <c r="AA35" s="56"/>
      <c r="AB35" s="56"/>
      <c r="AC35" s="56"/>
      <c r="AD35" s="56"/>
    </row>
    <row x14ac:dyDescent="0.25" r="36" customHeight="1" ht="18.75">
      <c r="A36" s="77" t="s">
        <v>152</v>
      </c>
      <c r="B36" s="57" t="s">
        <v>3224</v>
      </c>
      <c r="C36" s="58" t="s">
        <v>16</v>
      </c>
      <c r="D36" s="58" t="s">
        <v>56</v>
      </c>
      <c r="E36" s="58" t="s">
        <v>1425</v>
      </c>
      <c r="F36" s="58" t="s">
        <v>497</v>
      </c>
      <c r="G36" s="61"/>
      <c r="H36" s="59">
        <v>1000000</v>
      </c>
      <c r="I36" s="60">
        <v>46113</v>
      </c>
      <c r="J36" s="61">
        <v>1528000</v>
      </c>
      <c r="K36" s="61"/>
      <c r="L36" s="60">
        <v>46175</v>
      </c>
      <c r="M36" s="60">
        <v>46114</v>
      </c>
      <c r="N36" s="58" t="s">
        <v>239</v>
      </c>
      <c r="O36" s="58" t="s">
        <v>498</v>
      </c>
      <c r="P36" s="78">
        <f>IF(F36&gt;0,F36,"")</f>
      </c>
      <c r="Q36" s="59">
        <v>8510031008913</v>
      </c>
      <c r="R36" s="59">
        <v>72707613</v>
      </c>
      <c r="S36" s="60">
        <f>IF(ISNUMBER(M36), EDATE(M36,36)-1, "")</f>
        <v>25569.375</v>
      </c>
      <c r="T36" s="58"/>
      <c r="U36" s="58" t="s">
        <v>166</v>
      </c>
      <c r="V36" s="57" t="s">
        <v>499</v>
      </c>
      <c r="W36" s="58"/>
      <c r="X36" s="58"/>
      <c r="Y36" s="57"/>
      <c r="Z36" s="57"/>
      <c r="AA36" s="57"/>
      <c r="AB36" s="57"/>
      <c r="AC36" s="57"/>
      <c r="AD36" s="57"/>
    </row>
    <row x14ac:dyDescent="0.25" r="37" customHeight="1" ht="18.75">
      <c r="A37" s="77" t="s">
        <v>152</v>
      </c>
      <c r="B37" s="57" t="s">
        <v>3224</v>
      </c>
      <c r="C37" s="58" t="s">
        <v>16</v>
      </c>
      <c r="D37" s="58" t="s">
        <v>56</v>
      </c>
      <c r="E37" s="58" t="s">
        <v>1425</v>
      </c>
      <c r="F37" s="58" t="s">
        <v>497</v>
      </c>
      <c r="G37" s="61"/>
      <c r="H37" s="59">
        <v>9000000</v>
      </c>
      <c r="I37" s="60">
        <v>46114</v>
      </c>
      <c r="J37" s="61">
        <v>1528000</v>
      </c>
      <c r="K37" s="61"/>
      <c r="L37" s="60">
        <v>46175</v>
      </c>
      <c r="M37" s="60">
        <v>46114</v>
      </c>
      <c r="N37" s="58" t="s">
        <v>239</v>
      </c>
      <c r="O37" s="58" t="s">
        <v>498</v>
      </c>
      <c r="P37" s="78">
        <f>IF(F37&gt;0,F37,"")</f>
      </c>
      <c r="Q37" s="59">
        <v>8510031008913</v>
      </c>
      <c r="R37" s="59">
        <v>72707613</v>
      </c>
      <c r="S37" s="60">
        <f>IF(ISNUMBER(M37), EDATE(M37,36)-1, "")</f>
        <v>25569.375</v>
      </c>
      <c r="T37" s="58"/>
      <c r="U37" s="58" t="s">
        <v>166</v>
      </c>
      <c r="V37" s="57" t="s">
        <v>499</v>
      </c>
      <c r="W37" s="58"/>
      <c r="X37" s="58"/>
      <c r="Y37" s="57"/>
      <c r="Z37" s="57"/>
      <c r="AA37" s="57"/>
      <c r="AB37" s="57"/>
      <c r="AC37" s="57"/>
      <c r="AD37" s="57"/>
    </row>
    <row x14ac:dyDescent="0.25" r="38" customHeight="1" ht="18.75">
      <c r="A38" s="77" t="s">
        <v>152</v>
      </c>
      <c r="B38" s="57" t="s">
        <v>3224</v>
      </c>
      <c r="C38" s="58" t="s">
        <v>16</v>
      </c>
      <c r="D38" s="58" t="s">
        <v>56</v>
      </c>
      <c r="E38" s="58" t="s">
        <v>1425</v>
      </c>
      <c r="F38" s="58" t="s">
        <v>497</v>
      </c>
      <c r="G38" s="61"/>
      <c r="H38" s="59">
        <v>10000000</v>
      </c>
      <c r="I38" s="60">
        <v>46122</v>
      </c>
      <c r="J38" s="61">
        <v>1528000</v>
      </c>
      <c r="K38" s="61"/>
      <c r="L38" s="60">
        <v>46183</v>
      </c>
      <c r="M38" s="60">
        <v>46114</v>
      </c>
      <c r="N38" s="58" t="s">
        <v>239</v>
      </c>
      <c r="O38" s="58" t="s">
        <v>498</v>
      </c>
      <c r="P38" s="78">
        <f>IF(F38&gt;0,F38,"")</f>
      </c>
      <c r="Q38" s="59">
        <v>8510031008913</v>
      </c>
      <c r="R38" s="59">
        <v>72707613</v>
      </c>
      <c r="S38" s="60">
        <f>IF(ISNUMBER(M38), EDATE(M38,36)-1, "")</f>
        <v>25569.375</v>
      </c>
      <c r="T38" s="58"/>
      <c r="U38" s="58" t="s">
        <v>166</v>
      </c>
      <c r="V38" s="57" t="s">
        <v>499</v>
      </c>
      <c r="W38" s="58"/>
      <c r="X38" s="58"/>
      <c r="Y38" s="57"/>
      <c r="Z38" s="57"/>
      <c r="AA38" s="57"/>
      <c r="AB38" s="57"/>
      <c r="AC38" s="57"/>
      <c r="AD38" s="57"/>
    </row>
    <row x14ac:dyDescent="0.25" r="39" customHeight="1" ht="18.75">
      <c r="A39" s="77" t="s">
        <v>152</v>
      </c>
      <c r="B39" s="57" t="s">
        <v>3224</v>
      </c>
      <c r="C39" s="58" t="s">
        <v>16</v>
      </c>
      <c r="D39" s="58" t="s">
        <v>56</v>
      </c>
      <c r="E39" s="58" t="s">
        <v>1425</v>
      </c>
      <c r="F39" s="58" t="s">
        <v>497</v>
      </c>
      <c r="G39" s="61">
        <v>20000000</v>
      </c>
      <c r="H39" s="59">
        <v>20000000</v>
      </c>
      <c r="I39" s="60">
        <v>46118</v>
      </c>
      <c r="J39" s="61">
        <v>1528000</v>
      </c>
      <c r="K39" s="61">
        <v>6</v>
      </c>
      <c r="L39" s="60">
        <v>46179</v>
      </c>
      <c r="M39" s="60">
        <v>46114</v>
      </c>
      <c r="N39" s="58" t="s">
        <v>239</v>
      </c>
      <c r="O39" s="58" t="s">
        <v>498</v>
      </c>
      <c r="P39" s="78">
        <f>IF(F39&gt;0,F39,"")</f>
      </c>
      <c r="Q39" s="59">
        <v>8510031008913</v>
      </c>
      <c r="R39" s="59">
        <v>72707613</v>
      </c>
      <c r="S39" s="60">
        <f>IF(ISNUMBER(M39), EDATE(M39,36)-1, "")</f>
        <v>25569.375</v>
      </c>
      <c r="T39" s="58"/>
      <c r="U39" s="58" t="s">
        <v>166</v>
      </c>
      <c r="V39" s="57" t="s">
        <v>499</v>
      </c>
      <c r="W39" s="58"/>
      <c r="X39" s="58"/>
      <c r="Y39" s="57"/>
      <c r="Z39" s="57"/>
      <c r="AA39" s="57"/>
      <c r="AB39" s="57"/>
      <c r="AC39" s="57"/>
      <c r="AD39" s="57"/>
    </row>
    <row x14ac:dyDescent="0.25" r="40" customHeight="1" ht="18.75" hidden="1">
      <c r="A40" s="56"/>
      <c r="B40" s="56"/>
      <c r="C40" s="50" t="s">
        <v>16</v>
      </c>
      <c r="D40" s="50"/>
      <c r="E40" s="50"/>
      <c r="F40" s="50" t="s">
        <v>294</v>
      </c>
      <c r="G40" s="55">
        <v>30000000</v>
      </c>
      <c r="H40" s="55"/>
      <c r="I40" s="55"/>
      <c r="J40" s="51">
        <v>2028000</v>
      </c>
      <c r="K40" s="51"/>
      <c r="L40" s="52">
        <v>46043</v>
      </c>
      <c r="M40" s="53">
        <v>45982</v>
      </c>
      <c r="N40" s="50" t="s">
        <v>155</v>
      </c>
      <c r="O40" s="50" t="s">
        <v>295</v>
      </c>
      <c r="P40" s="50" t="s">
        <v>114</v>
      </c>
      <c r="Q40" s="55" t="s">
        <v>296</v>
      </c>
      <c r="R40" s="55" t="s">
        <v>297</v>
      </c>
      <c r="S40" s="53">
        <v>47077</v>
      </c>
      <c r="T40" s="50"/>
      <c r="U40" s="50"/>
      <c r="V40" s="56"/>
      <c r="W40" s="50"/>
      <c r="X40" s="50"/>
      <c r="Y40" s="56"/>
      <c r="Z40" s="56"/>
      <c r="AA40" s="56"/>
      <c r="AB40" s="56"/>
      <c r="AC40" s="56"/>
      <c r="AD40" s="56"/>
    </row>
    <row x14ac:dyDescent="0.25" r="41" customHeight="1" ht="18.75" hidden="1">
      <c r="A41" s="56"/>
      <c r="B41" s="56"/>
      <c r="C41" s="50" t="s">
        <v>13</v>
      </c>
      <c r="D41" s="50"/>
      <c r="E41" s="50"/>
      <c r="F41" s="50" t="s">
        <v>298</v>
      </c>
      <c r="G41" s="55">
        <v>60000000</v>
      </c>
      <c r="H41" s="55"/>
      <c r="I41" s="55"/>
      <c r="J41" s="51">
        <v>4800000</v>
      </c>
      <c r="K41" s="51"/>
      <c r="L41" s="52">
        <v>45778</v>
      </c>
      <c r="M41" s="53">
        <v>45717</v>
      </c>
      <c r="N41" s="50" t="s">
        <v>239</v>
      </c>
      <c r="O41" s="50" t="s">
        <v>299</v>
      </c>
      <c r="P41" s="50" t="s">
        <v>298</v>
      </c>
      <c r="Q41" s="55" t="s">
        <v>300</v>
      </c>
      <c r="R41" s="55" t="s">
        <v>301</v>
      </c>
      <c r="S41" s="53">
        <v>46812</v>
      </c>
      <c r="T41" s="50"/>
      <c r="U41" s="50"/>
      <c r="V41" s="56"/>
      <c r="W41" s="50"/>
      <c r="X41" s="50"/>
      <c r="Y41" s="56"/>
      <c r="Z41" s="56"/>
      <c r="AA41" s="56"/>
      <c r="AB41" s="56"/>
      <c r="AC41" s="56"/>
      <c r="AD41" s="56"/>
    </row>
    <row x14ac:dyDescent="0.25" r="42" customHeight="1" ht="18.75" hidden="1">
      <c r="A42" s="56"/>
      <c r="B42" s="56"/>
      <c r="C42" s="50" t="s">
        <v>16</v>
      </c>
      <c r="D42" s="50"/>
      <c r="E42" s="50"/>
      <c r="F42" s="50" t="s">
        <v>298</v>
      </c>
      <c r="G42" s="55">
        <v>60000000</v>
      </c>
      <c r="H42" s="55"/>
      <c r="I42" s="55"/>
      <c r="J42" s="51">
        <v>4800000</v>
      </c>
      <c r="K42" s="51"/>
      <c r="L42" s="52">
        <v>45884</v>
      </c>
      <c r="M42" s="53">
        <v>45823</v>
      </c>
      <c r="N42" s="50" t="s">
        <v>239</v>
      </c>
      <c r="O42" s="50" t="s">
        <v>299</v>
      </c>
      <c r="P42" s="50" t="s">
        <v>298</v>
      </c>
      <c r="Q42" s="55" t="s">
        <v>300</v>
      </c>
      <c r="R42" s="55" t="s">
        <v>301</v>
      </c>
      <c r="S42" s="53">
        <v>46918</v>
      </c>
      <c r="T42" s="50"/>
      <c r="U42" s="50"/>
      <c r="V42" s="56"/>
      <c r="W42" s="50"/>
      <c r="X42" s="50"/>
      <c r="Y42" s="56"/>
      <c r="Z42" s="56"/>
      <c r="AA42" s="56"/>
      <c r="AB42" s="56"/>
      <c r="AC42" s="56"/>
      <c r="AD42" s="56"/>
    </row>
    <row x14ac:dyDescent="0.25" r="43" customHeight="1" ht="18.75" hidden="1">
      <c r="A43" s="48" t="s">
        <v>3230</v>
      </c>
      <c r="B43" s="48"/>
      <c r="C43" s="50" t="s">
        <v>16</v>
      </c>
      <c r="D43" s="50"/>
      <c r="E43" s="50"/>
      <c r="F43" s="50" t="s">
        <v>298</v>
      </c>
      <c r="G43" s="55">
        <v>60000000</v>
      </c>
      <c r="H43" s="55"/>
      <c r="I43" s="55"/>
      <c r="J43" s="51">
        <v>4800000</v>
      </c>
      <c r="K43" s="51"/>
      <c r="L43" s="52">
        <v>45910</v>
      </c>
      <c r="M43" s="53">
        <v>45848</v>
      </c>
      <c r="N43" s="50" t="s">
        <v>302</v>
      </c>
      <c r="O43" s="50" t="s">
        <v>303</v>
      </c>
      <c r="P43" s="50" t="s">
        <v>298</v>
      </c>
      <c r="Q43" s="55" t="s">
        <v>300</v>
      </c>
      <c r="R43" s="55" t="s">
        <v>301</v>
      </c>
      <c r="S43" s="53">
        <v>46943</v>
      </c>
      <c r="T43" s="50"/>
      <c r="U43" s="50"/>
      <c r="V43" s="56"/>
      <c r="W43" s="50"/>
      <c r="X43" s="50"/>
      <c r="Y43" s="56"/>
      <c r="Z43" s="56"/>
      <c r="AA43" s="56"/>
      <c r="AB43" s="56"/>
      <c r="AC43" s="56"/>
      <c r="AD43" s="56"/>
    </row>
    <row x14ac:dyDescent="0.25" r="44" customHeight="1" ht="18.75" hidden="1">
      <c r="A44" s="56"/>
      <c r="B44" s="56"/>
      <c r="C44" s="50" t="s">
        <v>16</v>
      </c>
      <c r="D44" s="50"/>
      <c r="E44" s="50"/>
      <c r="F44" s="50" t="s">
        <v>305</v>
      </c>
      <c r="G44" s="55">
        <v>20000000</v>
      </c>
      <c r="H44" s="55"/>
      <c r="I44" s="55"/>
      <c r="J44" s="51">
        <v>1528000</v>
      </c>
      <c r="K44" s="51"/>
      <c r="L44" s="52">
        <v>46018</v>
      </c>
      <c r="M44" s="53">
        <v>45957</v>
      </c>
      <c r="N44" s="50" t="s">
        <v>306</v>
      </c>
      <c r="O44" s="50" t="s">
        <v>307</v>
      </c>
      <c r="P44" s="50" t="s">
        <v>305</v>
      </c>
      <c r="Q44" s="55" t="s">
        <v>308</v>
      </c>
      <c r="R44" s="55" t="s">
        <v>309</v>
      </c>
      <c r="S44" s="53">
        <v>47052</v>
      </c>
      <c r="T44" s="50"/>
      <c r="U44" s="50"/>
      <c r="V44" s="56"/>
      <c r="W44" s="50"/>
      <c r="X44" s="50"/>
      <c r="Y44" s="56"/>
      <c r="Z44" s="56"/>
      <c r="AA44" s="56"/>
      <c r="AB44" s="56"/>
      <c r="AC44" s="56"/>
      <c r="AD44" s="56"/>
    </row>
    <row x14ac:dyDescent="0.25" r="45" customHeight="1" ht="18.75" hidden="1">
      <c r="A45" s="56"/>
      <c r="B45" s="56"/>
      <c r="C45" s="50" t="s">
        <v>16</v>
      </c>
      <c r="D45" s="50"/>
      <c r="E45" s="50"/>
      <c r="F45" s="50" t="s">
        <v>310</v>
      </c>
      <c r="G45" s="55">
        <v>20000000</v>
      </c>
      <c r="H45" s="55"/>
      <c r="I45" s="55"/>
      <c r="J45" s="51">
        <v>1528000</v>
      </c>
      <c r="K45" s="51"/>
      <c r="L45" s="52">
        <v>46022</v>
      </c>
      <c r="M45" s="53">
        <v>45961</v>
      </c>
      <c r="N45" s="50" t="s">
        <v>306</v>
      </c>
      <c r="O45" s="50" t="s">
        <v>311</v>
      </c>
      <c r="P45" s="50" t="s">
        <v>310</v>
      </c>
      <c r="Q45" s="55" t="s">
        <v>312</v>
      </c>
      <c r="R45" s="55" t="s">
        <v>313</v>
      </c>
      <c r="S45" s="53">
        <v>47056</v>
      </c>
      <c r="T45" s="50"/>
      <c r="U45" s="50"/>
      <c r="V45" s="56"/>
      <c r="W45" s="50"/>
      <c r="X45" s="50"/>
      <c r="Y45" s="56"/>
      <c r="Z45" s="56"/>
      <c r="AA45" s="56"/>
      <c r="AB45" s="56"/>
      <c r="AC45" s="56"/>
      <c r="AD45" s="56"/>
    </row>
    <row x14ac:dyDescent="0.25" r="46" customHeight="1" ht="18.75" hidden="1">
      <c r="A46" s="56"/>
      <c r="B46" s="56"/>
      <c r="C46" s="50" t="s">
        <v>16</v>
      </c>
      <c r="D46" s="50"/>
      <c r="E46" s="50"/>
      <c r="F46" s="50" t="s">
        <v>314</v>
      </c>
      <c r="G46" s="55">
        <v>30000000</v>
      </c>
      <c r="H46" s="55"/>
      <c r="I46" s="55"/>
      <c r="J46" s="51">
        <v>2028000</v>
      </c>
      <c r="K46" s="51"/>
      <c r="L46" s="52">
        <v>46006</v>
      </c>
      <c r="M46" s="53">
        <v>45945</v>
      </c>
      <c r="N46" s="50"/>
      <c r="O46" s="50" t="s">
        <v>315</v>
      </c>
      <c r="P46" s="50" t="s">
        <v>314</v>
      </c>
      <c r="Q46" s="55" t="s">
        <v>316</v>
      </c>
      <c r="R46" s="55" t="s">
        <v>317</v>
      </c>
      <c r="S46" s="53">
        <v>47040</v>
      </c>
      <c r="T46" s="50"/>
      <c r="U46" s="50"/>
      <c r="V46" s="56"/>
      <c r="W46" s="50"/>
      <c r="X46" s="50"/>
      <c r="Y46" s="56"/>
      <c r="Z46" s="56"/>
      <c r="AA46" s="56"/>
      <c r="AB46" s="56"/>
      <c r="AC46" s="56"/>
      <c r="AD46" s="56"/>
    </row>
    <row x14ac:dyDescent="0.25" r="47" customHeight="1" ht="18.75" hidden="1">
      <c r="A47" s="56"/>
      <c r="B47" s="56"/>
      <c r="C47" s="50" t="s">
        <v>16</v>
      </c>
      <c r="D47" s="50" t="s">
        <v>153</v>
      </c>
      <c r="E47" s="50"/>
      <c r="F47" s="50" t="s">
        <v>319</v>
      </c>
      <c r="G47" s="55">
        <v>10000000</v>
      </c>
      <c r="H47" s="55"/>
      <c r="I47" s="55"/>
      <c r="J47" s="51">
        <v>800000</v>
      </c>
      <c r="K47" s="51"/>
      <c r="L47" s="52">
        <v>46148</v>
      </c>
      <c r="M47" s="53">
        <v>46087</v>
      </c>
      <c r="N47" s="50" t="s">
        <v>161</v>
      </c>
      <c r="O47" s="50" t="s">
        <v>1520</v>
      </c>
      <c r="P47" s="50" t="s">
        <v>319</v>
      </c>
      <c r="Q47" s="55" t="s">
        <v>321</v>
      </c>
      <c r="R47" s="55" t="s">
        <v>322</v>
      </c>
      <c r="S47" s="53">
        <v>47182</v>
      </c>
      <c r="T47" s="50"/>
      <c r="U47" s="50" t="s">
        <v>166</v>
      </c>
      <c r="V47" s="56"/>
      <c r="W47" s="50"/>
      <c r="X47" s="50"/>
      <c r="Y47" s="56"/>
      <c r="Z47" s="56"/>
      <c r="AA47" s="56"/>
      <c r="AB47" s="56"/>
      <c r="AC47" s="56"/>
      <c r="AD47" s="56"/>
    </row>
    <row x14ac:dyDescent="0.25" r="48" customHeight="1" ht="18.75" hidden="1">
      <c r="A48" s="63"/>
      <c r="B48" s="63"/>
      <c r="C48" s="49" t="s">
        <v>16</v>
      </c>
      <c r="D48" s="49" t="s">
        <v>153</v>
      </c>
      <c r="E48" s="49" t="s">
        <v>318</v>
      </c>
      <c r="F48" s="49" t="s">
        <v>319</v>
      </c>
      <c r="G48" s="64">
        <v>10000000</v>
      </c>
      <c r="H48" s="64"/>
      <c r="I48" s="64"/>
      <c r="J48" s="65">
        <f>IF(G48&gt;0,_xludf.IFS(G48=10000000,800000,G48=20000000,1528000,G48=30000000,2028000,G48=60000000,4056000),"")</f>
      </c>
      <c r="K48" s="64"/>
      <c r="L48" s="66">
        <v>46148</v>
      </c>
      <c r="M48" s="67">
        <f>IF(L48&gt;0,EDATE(L48,-2),"")</f>
        <v>25569.375</v>
      </c>
      <c r="N48" s="49" t="s">
        <v>234</v>
      </c>
      <c r="O48" s="49" t="s">
        <v>320</v>
      </c>
      <c r="P48" s="68">
        <f>IF(F48&gt;0,F48,"")</f>
      </c>
      <c r="Q48" s="69" t="s">
        <v>321</v>
      </c>
      <c r="R48" s="69">
        <v>54883177</v>
      </c>
      <c r="S48" s="67">
        <f>IF(ISNUMBER(M48), EDATE(M48,36)-1, "")</f>
        <v>25569.375</v>
      </c>
      <c r="T48" s="49"/>
      <c r="U48" s="49"/>
      <c r="V48" s="63" t="s">
        <v>3231</v>
      </c>
      <c r="W48" s="50"/>
      <c r="X48" s="50"/>
      <c r="Y48" s="56"/>
      <c r="Z48" s="56"/>
      <c r="AA48" s="56"/>
      <c r="AB48" s="56"/>
      <c r="AC48" s="56"/>
      <c r="AD48" s="56"/>
    </row>
    <row x14ac:dyDescent="0.25" r="49" customHeight="1" ht="18.75">
      <c r="A49" s="79"/>
      <c r="B49" s="79"/>
      <c r="C49" s="80" t="s">
        <v>16</v>
      </c>
      <c r="D49" s="80" t="s">
        <v>114</v>
      </c>
      <c r="E49" s="80" t="s">
        <v>114</v>
      </c>
      <c r="F49" s="80" t="s">
        <v>817</v>
      </c>
      <c r="G49" s="81"/>
      <c r="H49" s="81"/>
      <c r="I49" s="81"/>
      <c r="J49" s="82"/>
      <c r="K49" s="82"/>
      <c r="L49" s="83">
        <v>46175</v>
      </c>
      <c r="M49" s="83">
        <v>46114</v>
      </c>
      <c r="N49" s="80" t="s">
        <v>239</v>
      </c>
      <c r="O49" s="80" t="s">
        <v>818</v>
      </c>
      <c r="P49" s="80" t="s">
        <v>817</v>
      </c>
      <c r="Q49" s="81" t="s">
        <v>819</v>
      </c>
      <c r="R49" s="81" t="s">
        <v>820</v>
      </c>
      <c r="S49" s="83">
        <v>47209</v>
      </c>
      <c r="T49" s="80" t="s">
        <v>821</v>
      </c>
      <c r="U49" s="80" t="s">
        <v>166</v>
      </c>
      <c r="V49" s="79"/>
      <c r="W49" s="80"/>
      <c r="X49" s="80"/>
      <c r="Y49" s="79"/>
      <c r="Z49" s="79"/>
      <c r="AA49" s="79"/>
      <c r="AB49" s="79"/>
      <c r="AC49" s="79"/>
      <c r="AD49" s="79"/>
    </row>
    <row x14ac:dyDescent="0.25" r="50" customHeight="1" ht="18.75" hidden="1">
      <c r="A50" s="56"/>
      <c r="B50" s="56"/>
      <c r="C50" s="50" t="s">
        <v>16</v>
      </c>
      <c r="D50" s="50"/>
      <c r="E50" s="50" t="s">
        <v>327</v>
      </c>
      <c r="F50" s="50" t="s">
        <v>328</v>
      </c>
      <c r="G50" s="55">
        <v>10000000</v>
      </c>
      <c r="H50" s="55"/>
      <c r="I50" s="55"/>
      <c r="J50" s="51">
        <v>800000</v>
      </c>
      <c r="K50" s="51"/>
      <c r="L50" s="52">
        <v>46113</v>
      </c>
      <c r="M50" s="53">
        <v>46054</v>
      </c>
      <c r="N50" s="50" t="s">
        <v>155</v>
      </c>
      <c r="O50" s="50" t="s">
        <v>329</v>
      </c>
      <c r="P50" s="50" t="s">
        <v>328</v>
      </c>
      <c r="Q50" s="55" t="s">
        <v>330</v>
      </c>
      <c r="R50" s="55" t="s">
        <v>331</v>
      </c>
      <c r="S50" s="53">
        <v>47149</v>
      </c>
      <c r="T50" s="50"/>
      <c r="U50" s="50" t="s">
        <v>332</v>
      </c>
      <c r="V50" s="48" t="s">
        <v>333</v>
      </c>
      <c r="W50" s="50"/>
      <c r="X50" s="50"/>
      <c r="Y50" s="56"/>
      <c r="Z50" s="56"/>
      <c r="AA50" s="56"/>
      <c r="AB50" s="56"/>
      <c r="AC50" s="56"/>
      <c r="AD50" s="56"/>
    </row>
    <row x14ac:dyDescent="0.25" r="51" customHeight="1" ht="18.75" hidden="1">
      <c r="A51" s="63" t="s">
        <v>152</v>
      </c>
      <c r="B51" s="63"/>
      <c r="C51" s="49" t="s">
        <v>16</v>
      </c>
      <c r="D51" s="49" t="s">
        <v>116</v>
      </c>
      <c r="E51" s="49" t="s">
        <v>117</v>
      </c>
      <c r="F51" s="49" t="s">
        <v>334</v>
      </c>
      <c r="G51" s="64">
        <v>10000000</v>
      </c>
      <c r="H51" s="64"/>
      <c r="I51" s="64"/>
      <c r="J51" s="65">
        <f>IF(G51&gt;0,_xludf.IFS(G51=10000000,800000,G51=20000000,1528000,G51=30000000,2028000,G51=60000000,4056000),"")</f>
      </c>
      <c r="K51" s="64"/>
      <c r="L51" s="66">
        <v>46161</v>
      </c>
      <c r="M51" s="67">
        <f>IF(L51&gt;0,EDATE(L51,-2),"")</f>
        <v>25569.375</v>
      </c>
      <c r="N51" s="49" t="s">
        <v>168</v>
      </c>
      <c r="O51" s="49" t="s">
        <v>335</v>
      </c>
      <c r="P51" s="68">
        <f>IF(F51&gt;0,F51,"")</f>
      </c>
      <c r="Q51" s="69" t="s">
        <v>336</v>
      </c>
      <c r="R51" s="69">
        <v>27108234</v>
      </c>
      <c r="S51" s="67">
        <f>IF(ISNUMBER(M51), EDATE(M51,36)-1, "")</f>
        <v>25569.375</v>
      </c>
      <c r="T51" s="49"/>
      <c r="U51" s="49"/>
      <c r="V51" s="63" t="s">
        <v>337</v>
      </c>
      <c r="W51" s="50"/>
      <c r="X51" s="50"/>
      <c r="Y51" s="56"/>
      <c r="Z51" s="56"/>
      <c r="AA51" s="56"/>
      <c r="AB51" s="56"/>
      <c r="AC51" s="56"/>
      <c r="AD51" s="56"/>
    </row>
    <row x14ac:dyDescent="0.25" r="52" customHeight="1" ht="18.75">
      <c r="A52" s="79" t="s">
        <v>152</v>
      </c>
      <c r="B52" s="79"/>
      <c r="C52" s="80" t="s">
        <v>16</v>
      </c>
      <c r="D52" s="80" t="s">
        <v>114</v>
      </c>
      <c r="E52" s="80" t="s">
        <v>114</v>
      </c>
      <c r="F52" s="80" t="s">
        <v>817</v>
      </c>
      <c r="G52" s="82">
        <v>20000000</v>
      </c>
      <c r="H52" s="82"/>
      <c r="I52" s="82"/>
      <c r="J52" s="82">
        <v>1000000</v>
      </c>
      <c r="K52" s="82"/>
      <c r="L52" s="83">
        <v>46175</v>
      </c>
      <c r="M52" s="83">
        <f>IF(L52&gt;0,EDATE(L52,-2),"")</f>
        <v>25569.375</v>
      </c>
      <c r="N52" s="80" t="s">
        <v>155</v>
      </c>
      <c r="O52" s="80" t="s">
        <v>823</v>
      </c>
      <c r="P52" s="84">
        <f>IF(F52&gt;0,F52,"")</f>
      </c>
      <c r="Q52" s="81">
        <v>7206041548312</v>
      </c>
      <c r="R52" s="81">
        <v>31523764</v>
      </c>
      <c r="S52" s="83">
        <f>IF(ISNUMBER(M52), EDATE(M52,36)-1, "")</f>
        <v>25569.375</v>
      </c>
      <c r="T52" s="80"/>
      <c r="U52" s="80"/>
      <c r="V52" s="79"/>
      <c r="W52" s="80"/>
      <c r="X52" s="80"/>
      <c r="Y52" s="79"/>
      <c r="Z52" s="79"/>
      <c r="AA52" s="79"/>
      <c r="AB52" s="79"/>
      <c r="AC52" s="79"/>
      <c r="AD52" s="79"/>
    </row>
    <row x14ac:dyDescent="0.25" r="53" customHeight="1" ht="18.75" hidden="1">
      <c r="A53" s="56"/>
      <c r="B53" s="56"/>
      <c r="C53" s="50" t="s">
        <v>16</v>
      </c>
      <c r="D53" s="50"/>
      <c r="E53" s="50"/>
      <c r="F53" s="50" t="s">
        <v>338</v>
      </c>
      <c r="G53" s="55">
        <v>20000000</v>
      </c>
      <c r="H53" s="55"/>
      <c r="I53" s="55"/>
      <c r="J53" s="51">
        <v>1528000</v>
      </c>
      <c r="K53" s="51"/>
      <c r="L53" s="52">
        <v>45971</v>
      </c>
      <c r="M53" s="53">
        <v>45913</v>
      </c>
      <c r="N53" s="50" t="s">
        <v>155</v>
      </c>
      <c r="O53" s="50" t="s">
        <v>339</v>
      </c>
      <c r="P53" s="50" t="s">
        <v>338</v>
      </c>
      <c r="Q53" s="55" t="s">
        <v>340</v>
      </c>
      <c r="R53" s="55" t="s">
        <v>341</v>
      </c>
      <c r="S53" s="53">
        <v>47005</v>
      </c>
      <c r="T53" s="50"/>
      <c r="U53" s="50"/>
      <c r="V53" s="56"/>
      <c r="W53" s="50"/>
      <c r="X53" s="50"/>
      <c r="Y53" s="56"/>
      <c r="Z53" s="56"/>
      <c r="AA53" s="56"/>
      <c r="AB53" s="56"/>
      <c r="AC53" s="56"/>
      <c r="AD53" s="56"/>
    </row>
    <row x14ac:dyDescent="0.25" r="54" customHeight="1" ht="18.75">
      <c r="A54" s="79"/>
      <c r="B54" s="79"/>
      <c r="C54" s="80" t="s">
        <v>16</v>
      </c>
      <c r="D54" s="80" t="s">
        <v>114</v>
      </c>
      <c r="E54" s="80" t="s">
        <v>114</v>
      </c>
      <c r="F54" s="80" t="s">
        <v>980</v>
      </c>
      <c r="G54" s="81">
        <v>20000000</v>
      </c>
      <c r="H54" s="81"/>
      <c r="I54" s="81"/>
      <c r="J54" s="82"/>
      <c r="K54" s="82"/>
      <c r="L54" s="83">
        <v>46175</v>
      </c>
      <c r="M54" s="83">
        <v>46114</v>
      </c>
      <c r="N54" s="80" t="s">
        <v>239</v>
      </c>
      <c r="O54" s="80" t="s">
        <v>818</v>
      </c>
      <c r="P54" s="80" t="s">
        <v>980</v>
      </c>
      <c r="Q54" s="81" t="s">
        <v>981</v>
      </c>
      <c r="R54" s="81" t="s">
        <v>820</v>
      </c>
      <c r="S54" s="83">
        <v>47209</v>
      </c>
      <c r="T54" s="80" t="s">
        <v>982</v>
      </c>
      <c r="U54" s="80" t="s">
        <v>166</v>
      </c>
      <c r="V54" s="79"/>
      <c r="W54" s="80"/>
      <c r="X54" s="80"/>
      <c r="Y54" s="79"/>
      <c r="Z54" s="79"/>
      <c r="AA54" s="79"/>
      <c r="AB54" s="79"/>
      <c r="AC54" s="79"/>
      <c r="AD54" s="79"/>
    </row>
    <row x14ac:dyDescent="0.25" r="55" customHeight="1" ht="18.75" hidden="1">
      <c r="A55" s="48" t="s">
        <v>347</v>
      </c>
      <c r="B55" s="48"/>
      <c r="C55" s="50" t="s">
        <v>16</v>
      </c>
      <c r="D55" s="50" t="s">
        <v>114</v>
      </c>
      <c r="E55" s="50" t="s">
        <v>114</v>
      </c>
      <c r="F55" s="50" t="s">
        <v>348</v>
      </c>
      <c r="G55" s="55">
        <v>30000000</v>
      </c>
      <c r="H55" s="55"/>
      <c r="I55" s="55"/>
      <c r="J55" s="51">
        <v>2028000</v>
      </c>
      <c r="K55" s="51"/>
      <c r="L55" s="52">
        <v>46158</v>
      </c>
      <c r="M55" s="53">
        <v>46097</v>
      </c>
      <c r="N55" s="50" t="s">
        <v>212</v>
      </c>
      <c r="O55" s="50" t="s">
        <v>349</v>
      </c>
      <c r="P55" s="50" t="s">
        <v>348</v>
      </c>
      <c r="Q55" s="55" t="s">
        <v>350</v>
      </c>
      <c r="R55" s="55" t="s">
        <v>351</v>
      </c>
      <c r="S55" s="53">
        <v>47192</v>
      </c>
      <c r="T55" s="50"/>
      <c r="U55" s="50" t="s">
        <v>166</v>
      </c>
      <c r="V55" s="48" t="s">
        <v>352</v>
      </c>
      <c r="W55" s="50"/>
      <c r="X55" s="50"/>
      <c r="Y55" s="56"/>
      <c r="Z55" s="56"/>
      <c r="AA55" s="56"/>
      <c r="AB55" s="56"/>
      <c r="AC55" s="56"/>
      <c r="AD55" s="56"/>
    </row>
    <row x14ac:dyDescent="0.25" r="56" customHeight="1" ht="18.75" hidden="1">
      <c r="A56" s="48" t="s">
        <v>3232</v>
      </c>
      <c r="B56" s="48"/>
      <c r="C56" s="50" t="s">
        <v>16</v>
      </c>
      <c r="D56" s="50" t="s">
        <v>114</v>
      </c>
      <c r="E56" s="50" t="s">
        <v>114</v>
      </c>
      <c r="F56" s="50" t="s">
        <v>348</v>
      </c>
      <c r="G56" s="55">
        <v>30000000</v>
      </c>
      <c r="H56" s="55"/>
      <c r="I56" s="55"/>
      <c r="J56" s="51">
        <v>2028000</v>
      </c>
      <c r="K56" s="51"/>
      <c r="L56" s="52">
        <v>46158</v>
      </c>
      <c r="M56" s="53">
        <v>46097</v>
      </c>
      <c r="N56" s="50" t="s">
        <v>212</v>
      </c>
      <c r="O56" s="50" t="s">
        <v>349</v>
      </c>
      <c r="P56" s="50" t="s">
        <v>348</v>
      </c>
      <c r="Q56" s="55" t="s">
        <v>350</v>
      </c>
      <c r="R56" s="55" t="s">
        <v>351</v>
      </c>
      <c r="S56" s="53">
        <v>47192</v>
      </c>
      <c r="T56" s="50"/>
      <c r="U56" s="50" t="s">
        <v>166</v>
      </c>
      <c r="V56" s="48" t="s">
        <v>3233</v>
      </c>
      <c r="W56" s="50"/>
      <c r="X56" s="50"/>
      <c r="Y56" s="56"/>
      <c r="Z56" s="56"/>
      <c r="AA56" s="56"/>
      <c r="AB56" s="56"/>
      <c r="AC56" s="56"/>
      <c r="AD56" s="56"/>
    </row>
    <row x14ac:dyDescent="0.25" r="57" customHeight="1" ht="18.75" hidden="1">
      <c r="A57" s="56"/>
      <c r="B57" s="56"/>
      <c r="C57" s="50" t="s">
        <v>16</v>
      </c>
      <c r="D57" s="50" t="s">
        <v>114</v>
      </c>
      <c r="E57" s="50" t="s">
        <v>114</v>
      </c>
      <c r="F57" s="50" t="s">
        <v>353</v>
      </c>
      <c r="G57" s="55">
        <v>30000000</v>
      </c>
      <c r="H57" s="55"/>
      <c r="I57" s="55"/>
      <c r="J57" s="51">
        <v>2400000</v>
      </c>
      <c r="K57" s="51"/>
      <c r="L57" s="52">
        <v>45907</v>
      </c>
      <c r="M57" s="53">
        <v>45845</v>
      </c>
      <c r="N57" s="50" t="s">
        <v>168</v>
      </c>
      <c r="O57" s="50" t="s">
        <v>354</v>
      </c>
      <c r="P57" s="50" t="s">
        <v>353</v>
      </c>
      <c r="Q57" s="55" t="s">
        <v>355</v>
      </c>
      <c r="R57" s="55" t="s">
        <v>356</v>
      </c>
      <c r="S57" s="53">
        <v>46940</v>
      </c>
      <c r="T57" s="50"/>
      <c r="U57" s="50" t="s">
        <v>293</v>
      </c>
      <c r="V57" s="56"/>
      <c r="W57" s="50"/>
      <c r="X57" s="50"/>
      <c r="Y57" s="56"/>
      <c r="Z57" s="56"/>
      <c r="AA57" s="56"/>
      <c r="AB57" s="56"/>
      <c r="AC57" s="56"/>
      <c r="AD57" s="56"/>
    </row>
    <row x14ac:dyDescent="0.25" r="58" customHeight="1" ht="18.75">
      <c r="A58" s="79"/>
      <c r="B58" s="79"/>
      <c r="C58" s="80" t="s">
        <v>16</v>
      </c>
      <c r="D58" s="80" t="s">
        <v>114</v>
      </c>
      <c r="E58" s="80" t="s">
        <v>114</v>
      </c>
      <c r="F58" s="80" t="s">
        <v>1008</v>
      </c>
      <c r="G58" s="81">
        <v>20000000</v>
      </c>
      <c r="H58" s="81"/>
      <c r="I58" s="81"/>
      <c r="J58" s="82">
        <v>1528000</v>
      </c>
      <c r="K58" s="82"/>
      <c r="L58" s="83">
        <v>46175</v>
      </c>
      <c r="M58" s="83">
        <v>46114</v>
      </c>
      <c r="N58" s="80" t="s">
        <v>239</v>
      </c>
      <c r="O58" s="80" t="s">
        <v>818</v>
      </c>
      <c r="P58" s="80" t="s">
        <v>1008</v>
      </c>
      <c r="Q58" s="81" t="s">
        <v>1009</v>
      </c>
      <c r="R58" s="81" t="s">
        <v>820</v>
      </c>
      <c r="S58" s="83">
        <v>47209</v>
      </c>
      <c r="T58" s="80" t="s">
        <v>1010</v>
      </c>
      <c r="U58" s="80" t="s">
        <v>166</v>
      </c>
      <c r="V58" s="79"/>
      <c r="W58" s="80"/>
      <c r="X58" s="80"/>
      <c r="Y58" s="79"/>
      <c r="Z58" s="79"/>
      <c r="AA58" s="79"/>
      <c r="AB58" s="79"/>
      <c r="AC58" s="79"/>
      <c r="AD58" s="79"/>
    </row>
    <row x14ac:dyDescent="0.25" r="59" customHeight="1" ht="18.75" hidden="1">
      <c r="A59" s="56"/>
      <c r="B59" s="56"/>
      <c r="C59" s="50" t="s">
        <v>16</v>
      </c>
      <c r="D59" s="50"/>
      <c r="E59" s="50"/>
      <c r="F59" s="50" t="s">
        <v>363</v>
      </c>
      <c r="G59" s="55">
        <v>30000000</v>
      </c>
      <c r="H59" s="55"/>
      <c r="I59" s="55"/>
      <c r="J59" s="51">
        <v>4056000</v>
      </c>
      <c r="K59" s="51"/>
      <c r="L59" s="52">
        <v>46140</v>
      </c>
      <c r="M59" s="53">
        <v>46081</v>
      </c>
      <c r="N59" s="50" t="s">
        <v>306</v>
      </c>
      <c r="O59" s="50" t="s">
        <v>364</v>
      </c>
      <c r="P59" s="50" t="s">
        <v>363</v>
      </c>
      <c r="Q59" s="55" t="s">
        <v>365</v>
      </c>
      <c r="R59" s="55" t="s">
        <v>366</v>
      </c>
      <c r="S59" s="53">
        <v>47176</v>
      </c>
      <c r="T59" s="50" t="s">
        <v>367</v>
      </c>
      <c r="U59" s="50" t="s">
        <v>166</v>
      </c>
      <c r="V59" s="56"/>
      <c r="W59" s="50"/>
      <c r="X59" s="50"/>
      <c r="Y59" s="56"/>
      <c r="Z59" s="56"/>
      <c r="AA59" s="56"/>
      <c r="AB59" s="56"/>
      <c r="AC59" s="56"/>
      <c r="AD59" s="56"/>
    </row>
    <row x14ac:dyDescent="0.25" r="60" customHeight="1" ht="18.75" hidden="1">
      <c r="A60" s="56"/>
      <c r="B60" s="56"/>
      <c r="C60" s="50" t="s">
        <v>16</v>
      </c>
      <c r="D60" s="50" t="s">
        <v>153</v>
      </c>
      <c r="E60" s="50"/>
      <c r="F60" s="50" t="s">
        <v>368</v>
      </c>
      <c r="G60" s="55">
        <v>30000000</v>
      </c>
      <c r="H60" s="55"/>
      <c r="I60" s="55"/>
      <c r="J60" s="51">
        <v>2028000</v>
      </c>
      <c r="K60" s="51"/>
      <c r="L60" s="52">
        <v>46140</v>
      </c>
      <c r="M60" s="53">
        <v>46081</v>
      </c>
      <c r="N60" s="50" t="s">
        <v>217</v>
      </c>
      <c r="O60" s="50" t="s">
        <v>369</v>
      </c>
      <c r="P60" s="50" t="s">
        <v>368</v>
      </c>
      <c r="Q60" s="55" t="s">
        <v>370</v>
      </c>
      <c r="R60" s="55" t="s">
        <v>371</v>
      </c>
      <c r="S60" s="53">
        <v>47176</v>
      </c>
      <c r="T60" s="50" t="s">
        <v>372</v>
      </c>
      <c r="U60" s="50"/>
      <c r="V60" s="56"/>
      <c r="W60" s="50"/>
      <c r="X60" s="50"/>
      <c r="Y60" s="56"/>
      <c r="Z60" s="56"/>
      <c r="AA60" s="56"/>
      <c r="AB60" s="56"/>
      <c r="AC60" s="56"/>
      <c r="AD60" s="56"/>
    </row>
    <row x14ac:dyDescent="0.25" r="61" customHeight="1" ht="18.75" hidden="1">
      <c r="A61" s="56"/>
      <c r="B61" s="56"/>
      <c r="C61" s="50" t="s">
        <v>16</v>
      </c>
      <c r="D61" s="50"/>
      <c r="E61" s="50"/>
      <c r="F61" s="50" t="s">
        <v>373</v>
      </c>
      <c r="G61" s="55">
        <v>10000000</v>
      </c>
      <c r="H61" s="55"/>
      <c r="I61" s="55"/>
      <c r="J61" s="51">
        <v>800000</v>
      </c>
      <c r="K61" s="51"/>
      <c r="L61" s="52">
        <v>46116</v>
      </c>
      <c r="M61" s="53">
        <v>46057</v>
      </c>
      <c r="N61" s="50" t="s">
        <v>282</v>
      </c>
      <c r="O61" s="50" t="s">
        <v>374</v>
      </c>
      <c r="P61" s="50" t="s">
        <v>373</v>
      </c>
      <c r="Q61" s="55" t="s">
        <v>375</v>
      </c>
      <c r="R61" s="55" t="s">
        <v>376</v>
      </c>
      <c r="S61" s="53">
        <v>47152</v>
      </c>
      <c r="T61" s="50" t="s">
        <v>377</v>
      </c>
      <c r="U61" s="50" t="s">
        <v>166</v>
      </c>
      <c r="V61" s="56"/>
      <c r="W61" s="50"/>
      <c r="X61" s="50"/>
      <c r="Y61" s="56"/>
      <c r="Z61" s="56"/>
      <c r="AA61" s="56"/>
      <c r="AB61" s="56"/>
      <c r="AC61" s="56"/>
      <c r="AD61" s="56"/>
    </row>
    <row x14ac:dyDescent="0.25" r="62" customHeight="1" ht="18.75">
      <c r="A62" s="57" t="s">
        <v>708</v>
      </c>
      <c r="B62" s="57" t="s">
        <v>3224</v>
      </c>
      <c r="C62" s="58" t="s">
        <v>16</v>
      </c>
      <c r="D62" s="58" t="s">
        <v>114</v>
      </c>
      <c r="E62" s="58" t="s">
        <v>114</v>
      </c>
      <c r="F62" s="58" t="s">
        <v>1974</v>
      </c>
      <c r="G62" s="59">
        <v>10000000</v>
      </c>
      <c r="H62" s="59">
        <v>10000000</v>
      </c>
      <c r="I62" s="60">
        <v>46114</v>
      </c>
      <c r="J62" s="61">
        <v>800000</v>
      </c>
      <c r="K62" s="61">
        <v>2</v>
      </c>
      <c r="L62" s="60">
        <v>46175</v>
      </c>
      <c r="M62" s="60">
        <v>46114</v>
      </c>
      <c r="N62" s="58" t="s">
        <v>282</v>
      </c>
      <c r="O62" s="58" t="s">
        <v>3234</v>
      </c>
      <c r="P62" s="58" t="s">
        <v>1974</v>
      </c>
      <c r="Q62" s="59" t="s">
        <v>1976</v>
      </c>
      <c r="R62" s="59" t="s">
        <v>820</v>
      </c>
      <c r="S62" s="60">
        <v>47209</v>
      </c>
      <c r="T62" s="58" t="s">
        <v>1977</v>
      </c>
      <c r="U62" s="58" t="s">
        <v>166</v>
      </c>
      <c r="V62" s="57"/>
      <c r="W62" s="58"/>
      <c r="X62" s="58"/>
      <c r="Y62" s="57"/>
      <c r="Z62" s="57"/>
      <c r="AA62" s="57"/>
      <c r="AB62" s="57"/>
      <c r="AC62" s="57"/>
      <c r="AD62" s="57"/>
    </row>
    <row x14ac:dyDescent="0.25" r="63" customHeight="1" ht="18.75" hidden="1">
      <c r="A63" s="56"/>
      <c r="B63" s="56"/>
      <c r="C63" s="50" t="s">
        <v>16</v>
      </c>
      <c r="D63" s="50"/>
      <c r="E63" s="50"/>
      <c r="F63" s="50" t="s">
        <v>384</v>
      </c>
      <c r="G63" s="55">
        <v>30000000</v>
      </c>
      <c r="H63" s="55"/>
      <c r="I63" s="55"/>
      <c r="J63" s="51">
        <v>2028000</v>
      </c>
      <c r="K63" s="51"/>
      <c r="L63" s="52">
        <v>46162</v>
      </c>
      <c r="M63" s="53">
        <v>46101</v>
      </c>
      <c r="N63" s="50" t="s">
        <v>161</v>
      </c>
      <c r="O63" s="50" t="s">
        <v>385</v>
      </c>
      <c r="P63" s="50" t="s">
        <v>384</v>
      </c>
      <c r="Q63" s="55" t="s">
        <v>386</v>
      </c>
      <c r="R63" s="55" t="s">
        <v>387</v>
      </c>
      <c r="S63" s="53">
        <v>47196</v>
      </c>
      <c r="T63" s="50" t="s">
        <v>388</v>
      </c>
      <c r="U63" s="50" t="s">
        <v>166</v>
      </c>
      <c r="V63" s="56"/>
      <c r="W63" s="50"/>
      <c r="X63" s="50"/>
      <c r="Y63" s="56"/>
      <c r="Z63" s="56"/>
      <c r="AA63" s="56"/>
      <c r="AB63" s="56"/>
      <c r="AC63" s="56"/>
      <c r="AD63" s="56"/>
    </row>
    <row x14ac:dyDescent="0.25" r="64" customHeight="1" ht="18.75">
      <c r="A64" s="56"/>
      <c r="B64" s="56"/>
      <c r="C64" s="50" t="s">
        <v>16</v>
      </c>
      <c r="D64" s="50"/>
      <c r="E64" s="50"/>
      <c r="F64" s="50" t="s">
        <v>197</v>
      </c>
      <c r="G64" s="55">
        <v>10000000</v>
      </c>
      <c r="H64" s="55"/>
      <c r="I64" s="55"/>
      <c r="J64" s="51">
        <v>800000</v>
      </c>
      <c r="K64" s="51"/>
      <c r="L64" s="53">
        <v>46176</v>
      </c>
      <c r="M64" s="53">
        <v>46115</v>
      </c>
      <c r="N64" s="50" t="s">
        <v>161</v>
      </c>
      <c r="O64" s="50" t="s">
        <v>198</v>
      </c>
      <c r="P64" s="50" t="s">
        <v>197</v>
      </c>
      <c r="Q64" s="55" t="s">
        <v>199</v>
      </c>
      <c r="R64" s="55" t="s">
        <v>200</v>
      </c>
      <c r="S64" s="53">
        <v>47210</v>
      </c>
      <c r="T64" s="50" t="s">
        <v>201</v>
      </c>
      <c r="U64" s="50" t="s">
        <v>179</v>
      </c>
      <c r="V64" s="56"/>
      <c r="W64" s="50"/>
      <c r="X64" s="50"/>
      <c r="Y64" s="56"/>
      <c r="Z64" s="56"/>
      <c r="AA64" s="56"/>
      <c r="AB64" s="56"/>
      <c r="AC64" s="56"/>
      <c r="AD64" s="56"/>
    </row>
    <row x14ac:dyDescent="0.25" r="65" customHeight="1" ht="18.75">
      <c r="A65" s="63" t="s">
        <v>152</v>
      </c>
      <c r="B65" s="57" t="s">
        <v>3224</v>
      </c>
      <c r="C65" s="49" t="s">
        <v>16</v>
      </c>
      <c r="D65" s="49" t="s">
        <v>117</v>
      </c>
      <c r="E65" s="49" t="s">
        <v>117</v>
      </c>
      <c r="F65" s="49" t="s">
        <v>1050</v>
      </c>
      <c r="G65" s="61">
        <v>30000000</v>
      </c>
      <c r="H65" s="59">
        <v>5000000</v>
      </c>
      <c r="I65" s="60">
        <v>46055</v>
      </c>
      <c r="J65" s="64"/>
      <c r="K65" s="64"/>
      <c r="L65" s="60">
        <v>46115</v>
      </c>
      <c r="M65" s="67">
        <v>46115</v>
      </c>
      <c r="N65" s="49" t="s">
        <v>155</v>
      </c>
      <c r="O65" s="49" t="s">
        <v>1055</v>
      </c>
      <c r="P65" s="68">
        <f>IF(F65&gt;0,F65,"")</f>
      </c>
      <c r="Q65" s="69" t="s">
        <v>1056</v>
      </c>
      <c r="R65" s="69" t="s">
        <v>3235</v>
      </c>
      <c r="S65" s="67">
        <f>IF(ISNUMBER(M65), EDATE(M65,36)-1, "")</f>
        <v>25569.375</v>
      </c>
      <c r="T65" s="49"/>
      <c r="U65" s="58" t="s">
        <v>166</v>
      </c>
      <c r="V65" s="63" t="s">
        <v>3236</v>
      </c>
      <c r="W65" s="50"/>
      <c r="X65" s="50"/>
      <c r="Y65" s="56"/>
      <c r="Z65" s="56"/>
      <c r="AA65" s="56"/>
      <c r="AB65" s="56"/>
      <c r="AC65" s="56"/>
      <c r="AD65" s="56"/>
    </row>
    <row x14ac:dyDescent="0.25" r="66" customHeight="1" ht="18.75">
      <c r="A66" s="63" t="s">
        <v>152</v>
      </c>
      <c r="B66" s="57" t="s">
        <v>3224</v>
      </c>
      <c r="C66" s="49" t="s">
        <v>16</v>
      </c>
      <c r="D66" s="49" t="s">
        <v>117</v>
      </c>
      <c r="E66" s="49" t="s">
        <v>117</v>
      </c>
      <c r="F66" s="49" t="s">
        <v>1050</v>
      </c>
      <c r="G66" s="61">
        <v>30000000</v>
      </c>
      <c r="H66" s="59">
        <v>5000000</v>
      </c>
      <c r="I66" s="60">
        <v>46056</v>
      </c>
      <c r="J66" s="64"/>
      <c r="K66" s="64"/>
      <c r="L66" s="60">
        <v>46115</v>
      </c>
      <c r="M66" s="67">
        <v>46115</v>
      </c>
      <c r="N66" s="49" t="s">
        <v>155</v>
      </c>
      <c r="O66" s="49" t="s">
        <v>1055</v>
      </c>
      <c r="P66" s="68">
        <f>IF(F66&gt;0,F66,"")</f>
      </c>
      <c r="Q66" s="69" t="s">
        <v>1056</v>
      </c>
      <c r="R66" s="69" t="s">
        <v>3235</v>
      </c>
      <c r="S66" s="67">
        <f>IF(ISNUMBER(M66), EDATE(M66,36)-1, "")</f>
        <v>25569.375</v>
      </c>
      <c r="T66" s="49"/>
      <c r="U66" s="58" t="s">
        <v>166</v>
      </c>
      <c r="V66" s="63" t="s">
        <v>3236</v>
      </c>
      <c r="W66" s="50"/>
      <c r="X66" s="50"/>
      <c r="Y66" s="56"/>
      <c r="Z66" s="56"/>
      <c r="AA66" s="56"/>
      <c r="AB66" s="56"/>
      <c r="AC66" s="56"/>
      <c r="AD66" s="56"/>
    </row>
    <row x14ac:dyDescent="0.25" r="67" customHeight="1" ht="18.75">
      <c r="A67" s="63" t="s">
        <v>152</v>
      </c>
      <c r="B67" s="57" t="s">
        <v>3224</v>
      </c>
      <c r="C67" s="49" t="s">
        <v>16</v>
      </c>
      <c r="D67" s="49" t="s">
        <v>117</v>
      </c>
      <c r="E67" s="49" t="s">
        <v>117</v>
      </c>
      <c r="F67" s="49" t="s">
        <v>1050</v>
      </c>
      <c r="G67" s="61">
        <v>30000000</v>
      </c>
      <c r="H67" s="59">
        <v>10000000</v>
      </c>
      <c r="I67" s="60">
        <v>46125</v>
      </c>
      <c r="J67" s="64"/>
      <c r="K67" s="64"/>
      <c r="L67" s="60">
        <v>46186</v>
      </c>
      <c r="M67" s="67">
        <v>46115</v>
      </c>
      <c r="N67" s="49" t="s">
        <v>155</v>
      </c>
      <c r="O67" s="49" t="s">
        <v>1055</v>
      </c>
      <c r="P67" s="68">
        <f>IF(F67&gt;0,F67,"")</f>
      </c>
      <c r="Q67" s="69" t="s">
        <v>1056</v>
      </c>
      <c r="R67" s="69" t="s">
        <v>3235</v>
      </c>
      <c r="S67" s="67">
        <f>IF(ISNUMBER(M67), EDATE(M67,36)-1, "")</f>
        <v>25569.375</v>
      </c>
      <c r="T67" s="49"/>
      <c r="U67" s="58" t="s">
        <v>166</v>
      </c>
      <c r="V67" s="63" t="s">
        <v>3236</v>
      </c>
      <c r="W67" s="50"/>
      <c r="X67" s="50"/>
      <c r="Y67" s="56"/>
      <c r="Z67" s="56"/>
      <c r="AA67" s="56"/>
      <c r="AB67" s="56"/>
      <c r="AC67" s="56"/>
      <c r="AD67" s="56"/>
    </row>
    <row x14ac:dyDescent="0.25" r="68" customHeight="1" ht="18.75">
      <c r="A68" s="63" t="s">
        <v>152</v>
      </c>
      <c r="B68" s="57" t="s">
        <v>3224</v>
      </c>
      <c r="C68" s="49" t="s">
        <v>16</v>
      </c>
      <c r="D68" s="49" t="s">
        <v>117</v>
      </c>
      <c r="E68" s="49" t="s">
        <v>117</v>
      </c>
      <c r="F68" s="49" t="s">
        <v>1050</v>
      </c>
      <c r="G68" s="61">
        <v>30000000</v>
      </c>
      <c r="H68" s="59">
        <v>10000000</v>
      </c>
      <c r="I68" s="60">
        <v>46130</v>
      </c>
      <c r="J68" s="64"/>
      <c r="K68" s="64"/>
      <c r="L68" s="60">
        <v>46191</v>
      </c>
      <c r="M68" s="67">
        <v>46115</v>
      </c>
      <c r="N68" s="49" t="s">
        <v>155</v>
      </c>
      <c r="O68" s="49" t="s">
        <v>1055</v>
      </c>
      <c r="P68" s="68">
        <f>IF(F68&gt;0,F68,"")</f>
      </c>
      <c r="Q68" s="69" t="s">
        <v>1056</v>
      </c>
      <c r="R68" s="69" t="s">
        <v>3235</v>
      </c>
      <c r="S68" s="67">
        <f>IF(ISNUMBER(M68), EDATE(M68,36)-1, "")</f>
        <v>25569.375</v>
      </c>
      <c r="T68" s="49"/>
      <c r="U68" s="58" t="s">
        <v>166</v>
      </c>
      <c r="V68" s="63" t="s">
        <v>3236</v>
      </c>
      <c r="W68" s="50"/>
      <c r="X68" s="50"/>
      <c r="Y68" s="56"/>
      <c r="Z68" s="56"/>
      <c r="AA68" s="56"/>
      <c r="AB68" s="56"/>
      <c r="AC68" s="56"/>
      <c r="AD68" s="56"/>
    </row>
    <row x14ac:dyDescent="0.25" r="69" customHeight="1" ht="18.75">
      <c r="A69" s="63" t="s">
        <v>152</v>
      </c>
      <c r="B69" s="57" t="s">
        <v>3224</v>
      </c>
      <c r="C69" s="49" t="s">
        <v>16</v>
      </c>
      <c r="D69" s="49" t="s">
        <v>117</v>
      </c>
      <c r="E69" s="49" t="s">
        <v>117</v>
      </c>
      <c r="F69" s="49" t="s">
        <v>1050</v>
      </c>
      <c r="G69" s="61">
        <v>30000000</v>
      </c>
      <c r="H69" s="59">
        <v>30000000</v>
      </c>
      <c r="I69" s="60">
        <v>46122</v>
      </c>
      <c r="J69" s="64">
        <v>2028000</v>
      </c>
      <c r="K69" s="64">
        <v>10</v>
      </c>
      <c r="L69" s="60">
        <v>46183</v>
      </c>
      <c r="M69" s="67">
        <v>46115</v>
      </c>
      <c r="N69" s="49" t="s">
        <v>155</v>
      </c>
      <c r="O69" s="49" t="s">
        <v>1055</v>
      </c>
      <c r="P69" s="68">
        <f>IF(F69&gt;0,F69,"")</f>
      </c>
      <c r="Q69" s="69" t="s">
        <v>1056</v>
      </c>
      <c r="R69" s="69" t="s">
        <v>3235</v>
      </c>
      <c r="S69" s="67">
        <f>IF(ISNUMBER(M69), EDATE(M69,36)-1, "")</f>
        <v>25569.375</v>
      </c>
      <c r="T69" s="49"/>
      <c r="U69" s="58" t="s">
        <v>166</v>
      </c>
      <c r="V69" s="63" t="s">
        <v>3236</v>
      </c>
      <c r="W69" s="50"/>
      <c r="X69" s="50"/>
      <c r="Y69" s="56"/>
      <c r="Z69" s="56"/>
      <c r="AA69" s="56"/>
      <c r="AB69" s="56"/>
      <c r="AC69" s="56"/>
      <c r="AD69" s="56"/>
    </row>
    <row x14ac:dyDescent="0.25" r="70" customHeight="1" ht="18.75">
      <c r="A70" s="57" t="s">
        <v>708</v>
      </c>
      <c r="B70" s="57" t="s">
        <v>3224</v>
      </c>
      <c r="C70" s="58" t="s">
        <v>16</v>
      </c>
      <c r="D70" s="58" t="s">
        <v>2574</v>
      </c>
      <c r="E70" s="58" t="s">
        <v>2574</v>
      </c>
      <c r="F70" s="58" t="s">
        <v>51</v>
      </c>
      <c r="G70" s="59">
        <v>10000000</v>
      </c>
      <c r="H70" s="59">
        <v>10000000</v>
      </c>
      <c r="I70" s="60">
        <v>46115</v>
      </c>
      <c r="J70" s="61">
        <v>500000</v>
      </c>
      <c r="K70" s="61">
        <v>3</v>
      </c>
      <c r="L70" s="60">
        <v>46176</v>
      </c>
      <c r="M70" s="60">
        <v>46115</v>
      </c>
      <c r="N70" s="58" t="s">
        <v>182</v>
      </c>
      <c r="O70" s="58" t="s">
        <v>3237</v>
      </c>
      <c r="P70" s="58" t="s">
        <v>51</v>
      </c>
      <c r="Q70" s="59" t="s">
        <v>1464</v>
      </c>
      <c r="R70" s="59" t="s">
        <v>1465</v>
      </c>
      <c r="S70" s="60">
        <v>47210</v>
      </c>
      <c r="T70" s="58" t="s">
        <v>1466</v>
      </c>
      <c r="U70" s="58" t="s">
        <v>166</v>
      </c>
      <c r="V70" s="57"/>
      <c r="W70" s="58" t="s">
        <v>3238</v>
      </c>
      <c r="X70" s="58" t="s">
        <v>3238</v>
      </c>
      <c r="Y70" s="57"/>
      <c r="Z70" s="57"/>
      <c r="AA70" s="57"/>
      <c r="AB70" s="57"/>
      <c r="AC70" s="57"/>
      <c r="AD70" s="57"/>
    </row>
    <row x14ac:dyDescent="0.25" r="71" customHeight="1" ht="18.75" hidden="1">
      <c r="A71" s="56"/>
      <c r="B71" s="56"/>
      <c r="C71" s="50" t="s">
        <v>16</v>
      </c>
      <c r="D71" s="50"/>
      <c r="E71" s="50"/>
      <c r="F71" s="50" t="s">
        <v>400</v>
      </c>
      <c r="G71" s="55">
        <v>20000000</v>
      </c>
      <c r="H71" s="55"/>
      <c r="I71" s="55"/>
      <c r="J71" s="51">
        <v>1528000</v>
      </c>
      <c r="K71" s="51"/>
      <c r="L71" s="52">
        <v>46040</v>
      </c>
      <c r="M71" s="53">
        <v>45979</v>
      </c>
      <c r="N71" s="50" t="s">
        <v>212</v>
      </c>
      <c r="O71" s="50" t="s">
        <v>401</v>
      </c>
      <c r="P71" s="50" t="s">
        <v>400</v>
      </c>
      <c r="Q71" s="55" t="s">
        <v>402</v>
      </c>
      <c r="R71" s="55" t="s">
        <v>403</v>
      </c>
      <c r="S71" s="53">
        <v>47074</v>
      </c>
      <c r="T71" s="50"/>
      <c r="U71" s="50"/>
      <c r="V71" s="56"/>
      <c r="W71" s="50"/>
      <c r="X71" s="50"/>
      <c r="Y71" s="56"/>
      <c r="Z71" s="56"/>
      <c r="AA71" s="56"/>
      <c r="AB71" s="56"/>
      <c r="AC71" s="56"/>
      <c r="AD71" s="56"/>
    </row>
    <row x14ac:dyDescent="0.25" r="72" customHeight="1" ht="18.75" hidden="1">
      <c r="A72" s="71"/>
      <c r="B72" s="71"/>
      <c r="C72" s="72" t="s">
        <v>16</v>
      </c>
      <c r="D72" s="72"/>
      <c r="E72" s="72"/>
      <c r="F72" s="72" t="s">
        <v>255</v>
      </c>
      <c r="G72" s="73">
        <v>90000000</v>
      </c>
      <c r="H72" s="73"/>
      <c r="I72" s="73"/>
      <c r="J72" s="74"/>
      <c r="K72" s="74"/>
      <c r="L72" s="75">
        <v>45948</v>
      </c>
      <c r="M72" s="76">
        <v>45848</v>
      </c>
      <c r="N72" s="72" t="s">
        <v>155</v>
      </c>
      <c r="O72" s="72" t="s">
        <v>404</v>
      </c>
      <c r="P72" s="72" t="s">
        <v>255</v>
      </c>
      <c r="Q72" s="73" t="s">
        <v>219</v>
      </c>
      <c r="R72" s="73" t="s">
        <v>405</v>
      </c>
      <c r="S72" s="76">
        <v>46982</v>
      </c>
      <c r="T72" s="72"/>
      <c r="U72" s="72"/>
      <c r="V72" s="71"/>
      <c r="W72" s="50"/>
      <c r="X72" s="50"/>
      <c r="Y72" s="56"/>
      <c r="Z72" s="56"/>
      <c r="AA72" s="56"/>
      <c r="AB72" s="56"/>
      <c r="AC72" s="56"/>
      <c r="AD72" s="56"/>
    </row>
    <row x14ac:dyDescent="0.25" r="73" customHeight="1" ht="18.75" hidden="1">
      <c r="A73" s="56"/>
      <c r="B73" s="56"/>
      <c r="C73" s="50" t="s">
        <v>16</v>
      </c>
      <c r="D73" s="50"/>
      <c r="E73" s="50"/>
      <c r="F73" s="50" t="s">
        <v>406</v>
      </c>
      <c r="G73" s="55">
        <v>20000000</v>
      </c>
      <c r="H73" s="55"/>
      <c r="I73" s="55"/>
      <c r="J73" s="51">
        <v>1528000</v>
      </c>
      <c r="K73" s="51"/>
      <c r="L73" s="52">
        <v>46162</v>
      </c>
      <c r="M73" s="53">
        <v>46101</v>
      </c>
      <c r="N73" s="50" t="s">
        <v>161</v>
      </c>
      <c r="O73" s="50" t="s">
        <v>407</v>
      </c>
      <c r="P73" s="50" t="s">
        <v>406</v>
      </c>
      <c r="Q73" s="55" t="s">
        <v>408</v>
      </c>
      <c r="R73" s="55" t="s">
        <v>409</v>
      </c>
      <c r="S73" s="53">
        <v>47196</v>
      </c>
      <c r="T73" s="50"/>
      <c r="U73" s="50" t="s">
        <v>166</v>
      </c>
      <c r="V73" s="56"/>
      <c r="W73" s="50"/>
      <c r="X73" s="50"/>
      <c r="Y73" s="56"/>
      <c r="Z73" s="56"/>
      <c r="AA73" s="56"/>
      <c r="AB73" s="56"/>
      <c r="AC73" s="56"/>
      <c r="AD73" s="56"/>
    </row>
    <row x14ac:dyDescent="0.25" r="74" customHeight="1" ht="18.75">
      <c r="A74" s="57" t="s">
        <v>708</v>
      </c>
      <c r="B74" s="57" t="s">
        <v>3224</v>
      </c>
      <c r="C74" s="58" t="s">
        <v>16</v>
      </c>
      <c r="D74" s="58" t="s">
        <v>2574</v>
      </c>
      <c r="E74" s="58" t="s">
        <v>2574</v>
      </c>
      <c r="F74" s="58" t="s">
        <v>1885</v>
      </c>
      <c r="G74" s="59">
        <v>10000000</v>
      </c>
      <c r="H74" s="59">
        <v>10000000</v>
      </c>
      <c r="I74" s="60">
        <v>46115</v>
      </c>
      <c r="J74" s="61">
        <v>500000</v>
      </c>
      <c r="K74" s="61">
        <v>3</v>
      </c>
      <c r="L74" s="60">
        <v>46176</v>
      </c>
      <c r="M74" s="60">
        <v>46115</v>
      </c>
      <c r="N74" s="58" t="s">
        <v>580</v>
      </c>
      <c r="O74" s="58" t="s">
        <v>1886</v>
      </c>
      <c r="P74" s="58" t="s">
        <v>1885</v>
      </c>
      <c r="Q74" s="59" t="s">
        <v>1887</v>
      </c>
      <c r="R74" s="59" t="s">
        <v>1888</v>
      </c>
      <c r="S74" s="60">
        <v>47210</v>
      </c>
      <c r="T74" s="58" t="s">
        <v>1889</v>
      </c>
      <c r="U74" s="58" t="s">
        <v>166</v>
      </c>
      <c r="V74" s="57"/>
      <c r="W74" s="58" t="s">
        <v>3238</v>
      </c>
      <c r="X74" s="58" t="s">
        <v>3238</v>
      </c>
      <c r="Y74" s="57"/>
      <c r="Z74" s="57"/>
      <c r="AA74" s="57"/>
      <c r="AB74" s="57"/>
      <c r="AC74" s="57"/>
      <c r="AD74" s="57"/>
    </row>
    <row x14ac:dyDescent="0.25" r="75" customHeight="1" ht="18.75" hidden="1">
      <c r="A75" s="48" t="s">
        <v>418</v>
      </c>
      <c r="B75" s="48"/>
      <c r="C75" s="50" t="s">
        <v>16</v>
      </c>
      <c r="D75" s="50"/>
      <c r="E75" s="50"/>
      <c r="F75" s="50" t="s">
        <v>415</v>
      </c>
      <c r="G75" s="55">
        <v>10000000</v>
      </c>
      <c r="H75" s="55"/>
      <c r="I75" s="55"/>
      <c r="J75" s="51">
        <v>800000</v>
      </c>
      <c r="K75" s="51"/>
      <c r="L75" s="52">
        <v>46068</v>
      </c>
      <c r="M75" s="53">
        <v>46006</v>
      </c>
      <c r="N75" s="50" t="s">
        <v>205</v>
      </c>
      <c r="O75" s="50" t="s">
        <v>416</v>
      </c>
      <c r="P75" s="50" t="s">
        <v>415</v>
      </c>
      <c r="Q75" s="55" t="s">
        <v>417</v>
      </c>
      <c r="R75" s="55" t="s">
        <v>416</v>
      </c>
      <c r="S75" s="53">
        <v>47101</v>
      </c>
      <c r="T75" s="50"/>
      <c r="U75" s="50"/>
      <c r="V75" s="56"/>
      <c r="W75" s="50"/>
      <c r="X75" s="50"/>
      <c r="Y75" s="56"/>
      <c r="Z75" s="56"/>
      <c r="AA75" s="56"/>
      <c r="AB75" s="56"/>
      <c r="AC75" s="56"/>
      <c r="AD75" s="56"/>
    </row>
    <row x14ac:dyDescent="0.25" r="76" customHeight="1" ht="18.75" hidden="1">
      <c r="A76" s="56"/>
      <c r="B76" s="56"/>
      <c r="C76" s="50" t="s">
        <v>16</v>
      </c>
      <c r="D76" s="50" t="s">
        <v>419</v>
      </c>
      <c r="E76" s="50" t="s">
        <v>420</v>
      </c>
      <c r="F76" s="50" t="s">
        <v>421</v>
      </c>
      <c r="G76" s="55">
        <v>30000000</v>
      </c>
      <c r="H76" s="55"/>
      <c r="I76" s="55"/>
      <c r="J76" s="51">
        <v>2028000</v>
      </c>
      <c r="K76" s="51"/>
      <c r="L76" s="52">
        <v>46168</v>
      </c>
      <c r="M76" s="53">
        <v>46080</v>
      </c>
      <c r="N76" s="50" t="s">
        <v>155</v>
      </c>
      <c r="O76" s="50" t="s">
        <v>422</v>
      </c>
      <c r="P76" s="50" t="s">
        <v>421</v>
      </c>
      <c r="Q76" s="55" t="s">
        <v>423</v>
      </c>
      <c r="R76" s="85" t="s">
        <v>424</v>
      </c>
      <c r="S76" s="53">
        <v>47175</v>
      </c>
      <c r="T76" s="50" t="s">
        <v>425</v>
      </c>
      <c r="U76" s="50"/>
      <c r="V76" s="48" t="s">
        <v>426</v>
      </c>
      <c r="W76" s="50"/>
      <c r="X76" s="50"/>
      <c r="Y76" s="56"/>
      <c r="Z76" s="56"/>
      <c r="AA76" s="56"/>
      <c r="AB76" s="56"/>
      <c r="AC76" s="56"/>
      <c r="AD76" s="56"/>
    </row>
    <row x14ac:dyDescent="0.25" r="77" customHeight="1" ht="18.75" hidden="1">
      <c r="A77" s="56"/>
      <c r="B77" s="56"/>
      <c r="C77" s="50" t="s">
        <v>16</v>
      </c>
      <c r="D77" s="50" t="s">
        <v>427</v>
      </c>
      <c r="E77" s="50"/>
      <c r="F77" s="50" t="s">
        <v>421</v>
      </c>
      <c r="G77" s="55">
        <v>10000000</v>
      </c>
      <c r="H77" s="55"/>
      <c r="I77" s="55"/>
      <c r="J77" s="51">
        <v>800000</v>
      </c>
      <c r="K77" s="51"/>
      <c r="L77" s="52">
        <v>46156</v>
      </c>
      <c r="M77" s="53">
        <v>46095</v>
      </c>
      <c r="N77" s="50" t="s">
        <v>161</v>
      </c>
      <c r="O77" s="50" t="s">
        <v>428</v>
      </c>
      <c r="P77" s="50" t="s">
        <v>421</v>
      </c>
      <c r="Q77" s="55" t="s">
        <v>429</v>
      </c>
      <c r="R77" s="55" t="s">
        <v>430</v>
      </c>
      <c r="S77" s="53">
        <v>47190</v>
      </c>
      <c r="T77" s="50" t="s">
        <v>431</v>
      </c>
      <c r="U77" s="50" t="s">
        <v>166</v>
      </c>
      <c r="V77" s="48" t="s">
        <v>432</v>
      </c>
      <c r="W77" s="50"/>
      <c r="X77" s="50"/>
      <c r="Y77" s="56"/>
      <c r="Z77" s="56"/>
      <c r="AA77" s="56"/>
      <c r="AB77" s="56"/>
      <c r="AC77" s="56"/>
      <c r="AD77" s="56"/>
    </row>
    <row x14ac:dyDescent="0.25" r="78" customHeight="1" ht="18.75" hidden="1">
      <c r="A78" s="56"/>
      <c r="B78" s="56"/>
      <c r="C78" s="50" t="s">
        <v>16</v>
      </c>
      <c r="D78" s="50"/>
      <c r="E78" s="50"/>
      <c r="F78" s="50" t="s">
        <v>421</v>
      </c>
      <c r="G78" s="55">
        <v>30000000</v>
      </c>
      <c r="H78" s="55"/>
      <c r="I78" s="55"/>
      <c r="J78" s="51">
        <v>2028000</v>
      </c>
      <c r="K78" s="51"/>
      <c r="L78" s="52">
        <v>46168</v>
      </c>
      <c r="M78" s="53">
        <v>46107</v>
      </c>
      <c r="N78" s="50" t="s">
        <v>161</v>
      </c>
      <c r="O78" s="50" t="s">
        <v>422</v>
      </c>
      <c r="P78" s="50" t="s">
        <v>421</v>
      </c>
      <c r="Q78" s="55" t="s">
        <v>3239</v>
      </c>
      <c r="R78" s="55" t="s">
        <v>3240</v>
      </c>
      <c r="S78" s="53">
        <v>47202</v>
      </c>
      <c r="T78" s="50"/>
      <c r="U78" s="50" t="s">
        <v>166</v>
      </c>
      <c r="V78" s="48" t="s">
        <v>419</v>
      </c>
      <c r="W78" s="50"/>
      <c r="X78" s="50"/>
      <c r="Y78" s="56"/>
      <c r="Z78" s="56"/>
      <c r="AA78" s="56"/>
      <c r="AB78" s="56"/>
      <c r="AC78" s="56"/>
      <c r="AD78" s="56"/>
    </row>
    <row x14ac:dyDescent="0.25" r="79" customHeight="1" ht="18.75" hidden="1">
      <c r="A79" s="56"/>
      <c r="B79" s="56"/>
      <c r="C79" s="50" t="s">
        <v>16</v>
      </c>
      <c r="D79" s="50"/>
      <c r="E79" s="50" t="s">
        <v>18</v>
      </c>
      <c r="F79" s="50" t="s">
        <v>19</v>
      </c>
      <c r="G79" s="55">
        <v>60000000</v>
      </c>
      <c r="H79" s="55"/>
      <c r="I79" s="55"/>
      <c r="J79" s="51">
        <v>4056000</v>
      </c>
      <c r="K79" s="51"/>
      <c r="L79" s="52">
        <v>45408</v>
      </c>
      <c r="M79" s="53">
        <v>46079</v>
      </c>
      <c r="N79" s="50" t="s">
        <v>155</v>
      </c>
      <c r="O79" s="50" t="s">
        <v>433</v>
      </c>
      <c r="P79" s="50" t="s">
        <v>19</v>
      </c>
      <c r="Q79" s="55" t="s">
        <v>434</v>
      </c>
      <c r="R79" s="55" t="s">
        <v>435</v>
      </c>
      <c r="S79" s="53">
        <v>47233</v>
      </c>
      <c r="T79" s="50" t="s">
        <v>20</v>
      </c>
      <c r="U79" s="50"/>
      <c r="V79" s="56"/>
      <c r="W79" s="50"/>
      <c r="X79" s="50"/>
      <c r="Y79" s="56"/>
      <c r="Z79" s="56"/>
      <c r="AA79" s="56"/>
      <c r="AB79" s="56"/>
      <c r="AC79" s="56"/>
      <c r="AD79" s="56"/>
    </row>
    <row x14ac:dyDescent="0.25" r="80" customHeight="1" ht="18.75" hidden="1">
      <c r="A80" s="56"/>
      <c r="B80" s="56"/>
      <c r="C80" s="50" t="s">
        <v>16</v>
      </c>
      <c r="D80" s="50"/>
      <c r="E80" s="50" t="s">
        <v>22</v>
      </c>
      <c r="F80" s="50" t="s">
        <v>23</v>
      </c>
      <c r="G80" s="55">
        <v>20000000</v>
      </c>
      <c r="H80" s="55"/>
      <c r="I80" s="55"/>
      <c r="J80" s="51">
        <v>1528000</v>
      </c>
      <c r="K80" s="51"/>
      <c r="L80" s="52">
        <v>46152</v>
      </c>
      <c r="M80" s="53">
        <v>46091</v>
      </c>
      <c r="N80" s="50" t="s">
        <v>239</v>
      </c>
      <c r="O80" s="50" t="s">
        <v>436</v>
      </c>
      <c r="P80" s="50" t="s">
        <v>23</v>
      </c>
      <c r="Q80" s="55" t="s">
        <v>437</v>
      </c>
      <c r="R80" s="55" t="s">
        <v>438</v>
      </c>
      <c r="S80" s="53">
        <v>47186</v>
      </c>
      <c r="T80" s="50" t="s">
        <v>24</v>
      </c>
      <c r="U80" s="50" t="s">
        <v>293</v>
      </c>
      <c r="V80" s="56"/>
      <c r="W80" s="50"/>
      <c r="X80" s="50"/>
      <c r="Y80" s="56"/>
      <c r="Z80" s="56"/>
      <c r="AA80" s="56"/>
      <c r="AB80" s="56"/>
      <c r="AC80" s="56"/>
      <c r="AD80" s="56"/>
    </row>
    <row x14ac:dyDescent="0.25" r="81" customHeight="1" ht="18.75">
      <c r="A81" s="57" t="s">
        <v>708</v>
      </c>
      <c r="B81" s="57" t="s">
        <v>3224</v>
      </c>
      <c r="C81" s="58" t="s">
        <v>16</v>
      </c>
      <c r="D81" s="58" t="s">
        <v>2574</v>
      </c>
      <c r="E81" s="58" t="s">
        <v>2574</v>
      </c>
      <c r="F81" s="58" t="s">
        <v>2059</v>
      </c>
      <c r="G81" s="59">
        <v>10000000</v>
      </c>
      <c r="H81" s="59">
        <v>10000000</v>
      </c>
      <c r="I81" s="60">
        <v>46115</v>
      </c>
      <c r="J81" s="61"/>
      <c r="K81" s="61"/>
      <c r="L81" s="60">
        <v>46176</v>
      </c>
      <c r="M81" s="60">
        <v>46115</v>
      </c>
      <c r="N81" s="58" t="s">
        <v>161</v>
      </c>
      <c r="O81" s="58" t="s">
        <v>2094</v>
      </c>
      <c r="P81" s="58" t="s">
        <v>2059</v>
      </c>
      <c r="Q81" s="59" t="s">
        <v>2095</v>
      </c>
      <c r="R81" s="59" t="s">
        <v>2096</v>
      </c>
      <c r="S81" s="60">
        <v>47210</v>
      </c>
      <c r="T81" s="58"/>
      <c r="U81" s="58" t="s">
        <v>166</v>
      </c>
      <c r="V81" s="57" t="s">
        <v>2097</v>
      </c>
      <c r="W81" s="58" t="s">
        <v>3238</v>
      </c>
      <c r="X81" s="58" t="s">
        <v>3238</v>
      </c>
      <c r="Y81" s="57"/>
      <c r="Z81" s="57"/>
      <c r="AA81" s="57"/>
      <c r="AB81" s="57"/>
      <c r="AC81" s="57"/>
      <c r="AD81" s="57"/>
    </row>
    <row x14ac:dyDescent="0.25" r="82" customHeight="1" ht="18.75">
      <c r="A82" s="57" t="s">
        <v>708</v>
      </c>
      <c r="B82" s="57" t="s">
        <v>3224</v>
      </c>
      <c r="C82" s="58" t="s">
        <v>16</v>
      </c>
      <c r="D82" s="58" t="s">
        <v>2574</v>
      </c>
      <c r="E82" s="58" t="s">
        <v>2574</v>
      </c>
      <c r="F82" s="58" t="s">
        <v>2059</v>
      </c>
      <c r="G82" s="59">
        <v>10000000</v>
      </c>
      <c r="H82" s="59">
        <v>10000000</v>
      </c>
      <c r="I82" s="60">
        <v>46136</v>
      </c>
      <c r="J82" s="61"/>
      <c r="K82" s="61"/>
      <c r="L82" s="60">
        <v>46197</v>
      </c>
      <c r="M82" s="60">
        <v>46136</v>
      </c>
      <c r="N82" s="58" t="s">
        <v>161</v>
      </c>
      <c r="O82" s="58" t="s">
        <v>2094</v>
      </c>
      <c r="P82" s="58" t="s">
        <v>2059</v>
      </c>
      <c r="Q82" s="59" t="s">
        <v>2095</v>
      </c>
      <c r="R82" s="59" t="s">
        <v>2096</v>
      </c>
      <c r="S82" s="60">
        <v>47210</v>
      </c>
      <c r="T82" s="58"/>
      <c r="U82" s="58" t="s">
        <v>166</v>
      </c>
      <c r="V82" s="57" t="s">
        <v>2097</v>
      </c>
      <c r="W82" s="58" t="s">
        <v>3238</v>
      </c>
      <c r="X82" s="58" t="s">
        <v>3238</v>
      </c>
      <c r="Y82" s="57"/>
      <c r="Z82" s="57"/>
      <c r="AA82" s="57"/>
      <c r="AB82" s="57"/>
      <c r="AC82" s="57"/>
      <c r="AD82" s="57"/>
    </row>
    <row x14ac:dyDescent="0.25" r="83" customHeight="1" ht="18.75">
      <c r="A83" s="57" t="s">
        <v>708</v>
      </c>
      <c r="B83" s="57" t="s">
        <v>3224</v>
      </c>
      <c r="C83" s="58" t="s">
        <v>16</v>
      </c>
      <c r="D83" s="58" t="s">
        <v>2574</v>
      </c>
      <c r="E83" s="58" t="s">
        <v>2574</v>
      </c>
      <c r="F83" s="58" t="s">
        <v>2059</v>
      </c>
      <c r="G83" s="59">
        <v>20000000</v>
      </c>
      <c r="H83" s="59">
        <v>20000000</v>
      </c>
      <c r="I83" s="60">
        <v>46136</v>
      </c>
      <c r="J83" s="61">
        <v>1800000</v>
      </c>
      <c r="K83" s="61">
        <v>15</v>
      </c>
      <c r="L83" s="60">
        <v>46188</v>
      </c>
      <c r="M83" s="60">
        <v>46115</v>
      </c>
      <c r="N83" s="58" t="s">
        <v>161</v>
      </c>
      <c r="O83" s="58" t="s">
        <v>2094</v>
      </c>
      <c r="P83" s="58" t="s">
        <v>2059</v>
      </c>
      <c r="Q83" s="59" t="s">
        <v>2095</v>
      </c>
      <c r="R83" s="59" t="s">
        <v>2096</v>
      </c>
      <c r="S83" s="60">
        <v>47210</v>
      </c>
      <c r="T83" s="58"/>
      <c r="U83" s="58" t="s">
        <v>166</v>
      </c>
      <c r="V83" s="57" t="s">
        <v>2097</v>
      </c>
      <c r="W83" s="58" t="s">
        <v>3238</v>
      </c>
      <c r="X83" s="58" t="s">
        <v>3238</v>
      </c>
      <c r="Y83" s="57"/>
      <c r="Z83" s="57"/>
      <c r="AA83" s="57"/>
      <c r="AB83" s="57"/>
      <c r="AC83" s="57"/>
      <c r="AD83" s="57"/>
    </row>
    <row x14ac:dyDescent="0.25" r="84" customHeight="1" ht="18.75" hidden="1">
      <c r="A84" s="56"/>
      <c r="B84" s="56"/>
      <c r="C84" s="50" t="s">
        <v>16</v>
      </c>
      <c r="D84" s="50"/>
      <c r="E84" s="50" t="s">
        <v>22</v>
      </c>
      <c r="F84" s="50" t="s">
        <v>443</v>
      </c>
      <c r="G84" s="55">
        <v>10000000</v>
      </c>
      <c r="H84" s="55"/>
      <c r="I84" s="55"/>
      <c r="J84" s="51">
        <v>800000</v>
      </c>
      <c r="K84" s="51"/>
      <c r="L84" s="52">
        <v>46165</v>
      </c>
      <c r="M84" s="53">
        <v>46104</v>
      </c>
      <c r="N84" s="50" t="s">
        <v>217</v>
      </c>
      <c r="O84" s="50" t="s">
        <v>444</v>
      </c>
      <c r="P84" s="50" t="s">
        <v>443</v>
      </c>
      <c r="Q84" s="55" t="s">
        <v>445</v>
      </c>
      <c r="R84" s="55" t="s">
        <v>446</v>
      </c>
      <c r="S84" s="53">
        <v>47199</v>
      </c>
      <c r="T84" s="50" t="s">
        <v>447</v>
      </c>
      <c r="U84" s="50" t="s">
        <v>166</v>
      </c>
      <c r="V84" s="56"/>
      <c r="W84" s="50"/>
      <c r="X84" s="50"/>
      <c r="Y84" s="56"/>
      <c r="Z84" s="56"/>
      <c r="AA84" s="56"/>
      <c r="AB84" s="56"/>
      <c r="AC84" s="56"/>
      <c r="AD84" s="56"/>
    </row>
    <row x14ac:dyDescent="0.25" r="85" customHeight="1" ht="18.75" hidden="1">
      <c r="A85" s="71" t="s">
        <v>275</v>
      </c>
      <c r="B85" s="71"/>
      <c r="C85" s="72" t="s">
        <v>16</v>
      </c>
      <c r="D85" s="72"/>
      <c r="E85" s="72"/>
      <c r="F85" s="72" t="s">
        <v>443</v>
      </c>
      <c r="G85" s="73"/>
      <c r="H85" s="73"/>
      <c r="I85" s="73"/>
      <c r="J85" s="74"/>
      <c r="K85" s="74"/>
      <c r="L85" s="75" t="s">
        <v>449</v>
      </c>
      <c r="M85" s="76" t="s">
        <v>449</v>
      </c>
      <c r="N85" s="72"/>
      <c r="O85" s="72"/>
      <c r="P85" s="72" t="s">
        <v>443</v>
      </c>
      <c r="Q85" s="73" t="s">
        <v>445</v>
      </c>
      <c r="R85" s="73" t="s">
        <v>446</v>
      </c>
      <c r="S85" s="76" t="s">
        <v>449</v>
      </c>
      <c r="T85" s="72"/>
      <c r="U85" s="72"/>
      <c r="V85" s="71"/>
      <c r="W85" s="50"/>
      <c r="X85" s="50"/>
      <c r="Y85" s="56"/>
      <c r="Z85" s="56"/>
      <c r="AA85" s="56"/>
      <c r="AB85" s="56"/>
      <c r="AC85" s="56"/>
      <c r="AD85" s="56"/>
    </row>
    <row x14ac:dyDescent="0.25" r="86" customHeight="1" ht="18.75" hidden="1">
      <c r="A86" s="56"/>
      <c r="B86" s="56"/>
      <c r="C86" s="50" t="s">
        <v>16</v>
      </c>
      <c r="D86" s="50"/>
      <c r="E86" s="50"/>
      <c r="F86" s="50" t="s">
        <v>450</v>
      </c>
      <c r="G86" s="55">
        <v>10000000</v>
      </c>
      <c r="H86" s="55"/>
      <c r="I86" s="55"/>
      <c r="J86" s="51">
        <v>800000</v>
      </c>
      <c r="K86" s="51"/>
      <c r="L86" s="52">
        <v>46025</v>
      </c>
      <c r="M86" s="53">
        <v>45934</v>
      </c>
      <c r="N86" s="50" t="s">
        <v>239</v>
      </c>
      <c r="O86" s="50" t="s">
        <v>451</v>
      </c>
      <c r="P86" s="50" t="s">
        <v>450</v>
      </c>
      <c r="Q86" s="55" t="s">
        <v>452</v>
      </c>
      <c r="R86" s="55" t="s">
        <v>453</v>
      </c>
      <c r="S86" s="53">
        <v>47059</v>
      </c>
      <c r="T86" s="50"/>
      <c r="U86" s="50"/>
      <c r="V86" s="56"/>
      <c r="W86" s="50"/>
      <c r="X86" s="50"/>
      <c r="Y86" s="56"/>
      <c r="Z86" s="56"/>
      <c r="AA86" s="56"/>
      <c r="AB86" s="56"/>
      <c r="AC86" s="56"/>
      <c r="AD86" s="56"/>
    </row>
    <row x14ac:dyDescent="0.25" r="87" customHeight="1" ht="18.75">
      <c r="A87" s="57" t="s">
        <v>708</v>
      </c>
      <c r="B87" s="57" t="s">
        <v>3224</v>
      </c>
      <c r="C87" s="58" t="s">
        <v>16</v>
      </c>
      <c r="D87" s="58" t="s">
        <v>2574</v>
      </c>
      <c r="E87" s="58" t="s">
        <v>2574</v>
      </c>
      <c r="F87" s="58" t="s">
        <v>2103</v>
      </c>
      <c r="G87" s="59">
        <v>10000000</v>
      </c>
      <c r="H87" s="59">
        <v>10000000</v>
      </c>
      <c r="I87" s="60">
        <v>46115</v>
      </c>
      <c r="J87" s="61">
        <v>800000</v>
      </c>
      <c r="K87" s="61">
        <v>3</v>
      </c>
      <c r="L87" s="60">
        <v>46176</v>
      </c>
      <c r="M87" s="60">
        <v>46115</v>
      </c>
      <c r="N87" s="58" t="s">
        <v>2061</v>
      </c>
      <c r="O87" s="58" t="s">
        <v>2104</v>
      </c>
      <c r="P87" s="58" t="s">
        <v>2103</v>
      </c>
      <c r="Q87" s="59" t="s">
        <v>2105</v>
      </c>
      <c r="R87" s="59" t="s">
        <v>2106</v>
      </c>
      <c r="S87" s="60">
        <v>47210</v>
      </c>
      <c r="T87" s="58" t="s">
        <v>2107</v>
      </c>
      <c r="U87" s="58" t="s">
        <v>166</v>
      </c>
      <c r="V87" s="57"/>
      <c r="W87" s="58" t="s">
        <v>3238</v>
      </c>
      <c r="X87" s="58" t="s">
        <v>3238</v>
      </c>
      <c r="Y87" s="57"/>
      <c r="Z87" s="57"/>
      <c r="AA87" s="57"/>
      <c r="AB87" s="57"/>
      <c r="AC87" s="57"/>
      <c r="AD87" s="57"/>
    </row>
    <row x14ac:dyDescent="0.25" r="88" customHeight="1" ht="18.75" hidden="1">
      <c r="A88" s="63" t="s">
        <v>152</v>
      </c>
      <c r="B88" s="63"/>
      <c r="C88" s="49" t="s">
        <v>16</v>
      </c>
      <c r="D88" s="49" t="s">
        <v>454</v>
      </c>
      <c r="E88" s="49" t="s">
        <v>455</v>
      </c>
      <c r="F88" s="49" t="s">
        <v>456</v>
      </c>
      <c r="G88" s="64">
        <v>10000000</v>
      </c>
      <c r="H88" s="64"/>
      <c r="I88" s="64"/>
      <c r="J88" s="65">
        <f>IF(G88&gt;0,_xludf.IFS(G88=10000000,800000,G88=20000000,1528000,G88=30000000,2028000,G88=60000000,4056000),"")</f>
      </c>
      <c r="K88" s="64"/>
      <c r="L88" s="66">
        <v>46154</v>
      </c>
      <c r="M88" s="67">
        <f>IF(L88&gt;0,EDATE(L88,-2),"")</f>
        <v>25569.375</v>
      </c>
      <c r="N88" s="49" t="s">
        <v>155</v>
      </c>
      <c r="O88" s="49" t="s">
        <v>457</v>
      </c>
      <c r="P88" s="68">
        <f>IF(F88&gt;0,F88,"")</f>
      </c>
      <c r="Q88" s="69" t="s">
        <v>458</v>
      </c>
      <c r="R88" s="69">
        <v>75228985</v>
      </c>
      <c r="S88" s="67">
        <f>IF(ISNUMBER(M88), EDATE(M88,36)-1, "")</f>
        <v>25569.375</v>
      </c>
      <c r="T88" s="49"/>
      <c r="U88" s="49"/>
      <c r="V88" s="63" t="s">
        <v>459</v>
      </c>
      <c r="W88" s="50"/>
      <c r="X88" s="50"/>
      <c r="Y88" s="56"/>
      <c r="Z88" s="56"/>
      <c r="AA88" s="56"/>
      <c r="AB88" s="56"/>
      <c r="AC88" s="56"/>
      <c r="AD88" s="56"/>
    </row>
    <row x14ac:dyDescent="0.25" r="89" customHeight="1" ht="18.75" hidden="1">
      <c r="A89" s="56"/>
      <c r="B89" s="56"/>
      <c r="C89" s="50" t="s">
        <v>16</v>
      </c>
      <c r="D89" s="50" t="s">
        <v>454</v>
      </c>
      <c r="E89" s="50"/>
      <c r="F89" s="50" t="s">
        <v>460</v>
      </c>
      <c r="G89" s="55">
        <v>10000000</v>
      </c>
      <c r="H89" s="55"/>
      <c r="I89" s="55"/>
      <c r="J89" s="51">
        <v>800000</v>
      </c>
      <c r="K89" s="51"/>
      <c r="L89" s="52">
        <v>46154</v>
      </c>
      <c r="M89" s="53">
        <v>46093</v>
      </c>
      <c r="N89" s="50" t="s">
        <v>155</v>
      </c>
      <c r="O89" s="50" t="s">
        <v>461</v>
      </c>
      <c r="P89" s="50" t="s">
        <v>460</v>
      </c>
      <c r="Q89" s="55" t="s">
        <v>462</v>
      </c>
      <c r="R89" s="55" t="s">
        <v>463</v>
      </c>
      <c r="S89" s="53">
        <v>47188</v>
      </c>
      <c r="T89" s="50"/>
      <c r="U89" s="50"/>
      <c r="V89" s="56"/>
      <c r="W89" s="50"/>
      <c r="X89" s="50"/>
      <c r="Y89" s="56"/>
      <c r="Z89" s="56"/>
      <c r="AA89" s="56"/>
      <c r="AB89" s="56"/>
      <c r="AC89" s="56"/>
      <c r="AD89" s="56"/>
    </row>
    <row x14ac:dyDescent="0.25" r="90" customHeight="1" ht="18.75" hidden="1">
      <c r="A90" s="56"/>
      <c r="B90" s="56"/>
      <c r="C90" s="50" t="s">
        <v>16</v>
      </c>
      <c r="D90" s="50" t="s">
        <v>143</v>
      </c>
      <c r="E90" s="50" t="s">
        <v>22</v>
      </c>
      <c r="F90" s="50" t="s">
        <v>464</v>
      </c>
      <c r="G90" s="55">
        <v>10000000</v>
      </c>
      <c r="H90" s="55"/>
      <c r="I90" s="55"/>
      <c r="J90" s="51">
        <v>800000</v>
      </c>
      <c r="K90" s="51"/>
      <c r="L90" s="52">
        <v>46166</v>
      </c>
      <c r="M90" s="53">
        <v>46105</v>
      </c>
      <c r="N90" s="50" t="s">
        <v>161</v>
      </c>
      <c r="O90" s="50" t="s">
        <v>465</v>
      </c>
      <c r="P90" s="50" t="s">
        <v>464</v>
      </c>
      <c r="Q90" s="55" t="s">
        <v>466</v>
      </c>
      <c r="R90" s="55" t="s">
        <v>467</v>
      </c>
      <c r="S90" s="53">
        <v>47200</v>
      </c>
      <c r="T90" s="50" t="s">
        <v>468</v>
      </c>
      <c r="U90" s="50" t="s">
        <v>469</v>
      </c>
      <c r="V90" s="56"/>
      <c r="W90" s="50"/>
      <c r="X90" s="50"/>
      <c r="Y90" s="56"/>
      <c r="Z90" s="56"/>
      <c r="AA90" s="56"/>
      <c r="AB90" s="56"/>
      <c r="AC90" s="56"/>
      <c r="AD90" s="56"/>
    </row>
    <row x14ac:dyDescent="0.25" r="91" customHeight="1" ht="18.75">
      <c r="A91" s="57" t="s">
        <v>708</v>
      </c>
      <c r="B91" s="57" t="s">
        <v>3224</v>
      </c>
      <c r="C91" s="58" t="s">
        <v>16</v>
      </c>
      <c r="D91" s="58" t="s">
        <v>14</v>
      </c>
      <c r="E91" s="58" t="s">
        <v>22</v>
      </c>
      <c r="F91" s="58" t="s">
        <v>2599</v>
      </c>
      <c r="G91" s="59">
        <v>10000000</v>
      </c>
      <c r="H91" s="59">
        <v>10000000</v>
      </c>
      <c r="I91" s="60">
        <v>46115</v>
      </c>
      <c r="J91" s="61">
        <v>800000</v>
      </c>
      <c r="K91" s="61">
        <v>3</v>
      </c>
      <c r="L91" s="60">
        <v>46176</v>
      </c>
      <c r="M91" s="60">
        <v>46115</v>
      </c>
      <c r="N91" s="58" t="s">
        <v>182</v>
      </c>
      <c r="O91" s="58" t="s">
        <v>3241</v>
      </c>
      <c r="P91" s="58" t="s">
        <v>2599</v>
      </c>
      <c r="Q91" s="59" t="s">
        <v>2601</v>
      </c>
      <c r="R91" s="59" t="s">
        <v>2602</v>
      </c>
      <c r="S91" s="60">
        <v>47210</v>
      </c>
      <c r="T91" s="58" t="s">
        <v>2603</v>
      </c>
      <c r="U91" s="58" t="s">
        <v>166</v>
      </c>
      <c r="V91" s="57"/>
      <c r="W91" s="58"/>
      <c r="X91" s="58"/>
      <c r="Y91" s="57"/>
      <c r="Z91" s="57"/>
      <c r="AA91" s="57"/>
      <c r="AB91" s="57"/>
      <c r="AC91" s="57"/>
      <c r="AD91" s="57"/>
    </row>
    <row x14ac:dyDescent="0.25" r="92" customHeight="1" ht="18.75">
      <c r="A92" s="57" t="s">
        <v>708</v>
      </c>
      <c r="B92" s="57" t="s">
        <v>3224</v>
      </c>
      <c r="C92" s="58" t="s">
        <v>16</v>
      </c>
      <c r="D92" s="58" t="s">
        <v>56</v>
      </c>
      <c r="E92" s="58" t="s">
        <v>57</v>
      </c>
      <c r="F92" s="58" t="s">
        <v>2986</v>
      </c>
      <c r="G92" s="59">
        <v>1000000</v>
      </c>
      <c r="H92" s="59">
        <v>1000000</v>
      </c>
      <c r="I92" s="60">
        <v>46098</v>
      </c>
      <c r="J92" s="61"/>
      <c r="K92" s="61"/>
      <c r="L92" s="60">
        <v>46174</v>
      </c>
      <c r="M92" s="60">
        <v>46115</v>
      </c>
      <c r="N92" s="58" t="s">
        <v>161</v>
      </c>
      <c r="O92" s="58" t="s">
        <v>2991</v>
      </c>
      <c r="P92" s="58" t="s">
        <v>2986</v>
      </c>
      <c r="Q92" s="59" t="s">
        <v>2988</v>
      </c>
      <c r="R92" s="59" t="s">
        <v>2989</v>
      </c>
      <c r="S92" s="60">
        <v>47209</v>
      </c>
      <c r="T92" s="58" t="s">
        <v>2992</v>
      </c>
      <c r="U92" s="58" t="s">
        <v>166</v>
      </c>
      <c r="V92" s="57"/>
      <c r="W92" s="58"/>
      <c r="X92" s="58"/>
      <c r="Y92" s="57"/>
      <c r="Z92" s="57"/>
      <c r="AA92" s="57"/>
      <c r="AB92" s="57"/>
      <c r="AC92" s="57"/>
      <c r="AD92" s="57"/>
    </row>
    <row x14ac:dyDescent="0.25" r="93" customHeight="1" ht="18.75">
      <c r="A93" s="57" t="s">
        <v>708</v>
      </c>
      <c r="B93" s="57" t="s">
        <v>3224</v>
      </c>
      <c r="C93" s="58" t="s">
        <v>16</v>
      </c>
      <c r="D93" s="58" t="s">
        <v>56</v>
      </c>
      <c r="E93" s="58" t="s">
        <v>57</v>
      </c>
      <c r="F93" s="58" t="s">
        <v>2986</v>
      </c>
      <c r="G93" s="59">
        <v>30000000</v>
      </c>
      <c r="H93" s="59">
        <v>30000000</v>
      </c>
      <c r="I93" s="60">
        <v>46111</v>
      </c>
      <c r="J93" s="61"/>
      <c r="K93" s="61"/>
      <c r="L93" s="60">
        <v>46174</v>
      </c>
      <c r="M93" s="60">
        <v>46115</v>
      </c>
      <c r="N93" s="58" t="s">
        <v>161</v>
      </c>
      <c r="O93" s="58" t="s">
        <v>2991</v>
      </c>
      <c r="P93" s="58" t="s">
        <v>2986</v>
      </c>
      <c r="Q93" s="59" t="s">
        <v>2988</v>
      </c>
      <c r="R93" s="59" t="s">
        <v>2989</v>
      </c>
      <c r="S93" s="60">
        <v>47209</v>
      </c>
      <c r="T93" s="58" t="s">
        <v>2992</v>
      </c>
      <c r="U93" s="58" t="s">
        <v>166</v>
      </c>
      <c r="V93" s="57"/>
      <c r="W93" s="58"/>
      <c r="X93" s="58"/>
      <c r="Y93" s="57"/>
      <c r="Z93" s="57"/>
      <c r="AA93" s="57"/>
      <c r="AB93" s="57"/>
      <c r="AC93" s="57"/>
      <c r="AD93" s="57"/>
    </row>
    <row x14ac:dyDescent="0.25" r="94" customHeight="1" ht="18.75">
      <c r="A94" s="57" t="s">
        <v>708</v>
      </c>
      <c r="B94" s="57" t="s">
        <v>3224</v>
      </c>
      <c r="C94" s="58" t="s">
        <v>16</v>
      </c>
      <c r="D94" s="58" t="s">
        <v>56</v>
      </c>
      <c r="E94" s="58" t="s">
        <v>57</v>
      </c>
      <c r="F94" s="58" t="s">
        <v>2986</v>
      </c>
      <c r="G94" s="59">
        <v>20000000</v>
      </c>
      <c r="H94" s="59">
        <v>9000000</v>
      </c>
      <c r="I94" s="60">
        <v>46114</v>
      </c>
      <c r="J94" s="61"/>
      <c r="K94" s="61"/>
      <c r="L94" s="60">
        <v>46174</v>
      </c>
      <c r="M94" s="60">
        <v>46115</v>
      </c>
      <c r="N94" s="58" t="s">
        <v>161</v>
      </c>
      <c r="O94" s="58" t="s">
        <v>2991</v>
      </c>
      <c r="P94" s="58" t="s">
        <v>2986</v>
      </c>
      <c r="Q94" s="59" t="s">
        <v>2988</v>
      </c>
      <c r="R94" s="59" t="s">
        <v>2989</v>
      </c>
      <c r="S94" s="60">
        <v>47209</v>
      </c>
      <c r="T94" s="58" t="s">
        <v>2992</v>
      </c>
      <c r="U94" s="58" t="s">
        <v>166</v>
      </c>
      <c r="V94" s="57"/>
      <c r="W94" s="58"/>
      <c r="X94" s="58"/>
      <c r="Y94" s="57"/>
      <c r="Z94" s="57"/>
      <c r="AA94" s="57"/>
      <c r="AB94" s="57"/>
      <c r="AC94" s="57"/>
      <c r="AD94" s="57"/>
    </row>
    <row x14ac:dyDescent="0.25" r="95" customHeight="1" ht="18.75">
      <c r="A95" s="57" t="s">
        <v>708</v>
      </c>
      <c r="B95" s="57" t="s">
        <v>3224</v>
      </c>
      <c r="C95" s="58" t="s">
        <v>16</v>
      </c>
      <c r="D95" s="58" t="s">
        <v>56</v>
      </c>
      <c r="E95" s="58" t="s">
        <v>57</v>
      </c>
      <c r="F95" s="58" t="s">
        <v>2986</v>
      </c>
      <c r="G95" s="59">
        <v>9000000</v>
      </c>
      <c r="H95" s="59">
        <v>20000000</v>
      </c>
      <c r="I95" s="60">
        <v>46115</v>
      </c>
      <c r="J95" s="61"/>
      <c r="K95" s="61"/>
      <c r="L95" s="60">
        <v>46174</v>
      </c>
      <c r="M95" s="60">
        <v>46115</v>
      </c>
      <c r="N95" s="58" t="s">
        <v>161</v>
      </c>
      <c r="O95" s="58" t="s">
        <v>2991</v>
      </c>
      <c r="P95" s="58" t="s">
        <v>2986</v>
      </c>
      <c r="Q95" s="59" t="s">
        <v>2988</v>
      </c>
      <c r="R95" s="59" t="s">
        <v>2989</v>
      </c>
      <c r="S95" s="60">
        <v>47209</v>
      </c>
      <c r="T95" s="58" t="s">
        <v>2992</v>
      </c>
      <c r="U95" s="58" t="s">
        <v>166</v>
      </c>
      <c r="V95" s="57"/>
      <c r="W95" s="58"/>
      <c r="X95" s="58"/>
      <c r="Y95" s="57"/>
      <c r="Z95" s="57"/>
      <c r="AA95" s="57"/>
      <c r="AB95" s="57"/>
      <c r="AC95" s="57"/>
      <c r="AD95" s="57"/>
    </row>
    <row x14ac:dyDescent="0.25" r="96" customHeight="1" ht="18.75">
      <c r="A96" s="57" t="s">
        <v>708</v>
      </c>
      <c r="B96" s="57" t="s">
        <v>3224</v>
      </c>
      <c r="C96" s="58" t="s">
        <v>16</v>
      </c>
      <c r="D96" s="58" t="s">
        <v>56</v>
      </c>
      <c r="E96" s="58" t="s">
        <v>57</v>
      </c>
      <c r="F96" s="58" t="s">
        <v>2986</v>
      </c>
      <c r="G96" s="59">
        <v>60000000</v>
      </c>
      <c r="H96" s="59">
        <v>60000000</v>
      </c>
      <c r="I96" s="60">
        <v>46115</v>
      </c>
      <c r="J96" s="61">
        <v>4056000</v>
      </c>
      <c r="K96" s="61">
        <v>2</v>
      </c>
      <c r="L96" s="60">
        <v>46174</v>
      </c>
      <c r="M96" s="60">
        <v>46115</v>
      </c>
      <c r="N96" s="58" t="s">
        <v>161</v>
      </c>
      <c r="O96" s="58" t="s">
        <v>2991</v>
      </c>
      <c r="P96" s="58" t="s">
        <v>2986</v>
      </c>
      <c r="Q96" s="59" t="s">
        <v>2988</v>
      </c>
      <c r="R96" s="59" t="s">
        <v>2989</v>
      </c>
      <c r="S96" s="60">
        <v>47209</v>
      </c>
      <c r="T96" s="58" t="s">
        <v>2992</v>
      </c>
      <c r="U96" s="58" t="s">
        <v>166</v>
      </c>
      <c r="V96" s="57"/>
      <c r="W96" s="58"/>
      <c r="X96" s="58"/>
      <c r="Y96" s="57"/>
      <c r="Z96" s="57"/>
      <c r="AA96" s="57"/>
      <c r="AB96" s="57"/>
      <c r="AC96" s="57"/>
      <c r="AD96" s="57"/>
    </row>
    <row x14ac:dyDescent="0.25" r="97" customHeight="1" ht="18.75" hidden="1">
      <c r="A97" s="56"/>
      <c r="B97" s="56"/>
      <c r="C97" s="50" t="s">
        <v>16</v>
      </c>
      <c r="D97" s="50"/>
      <c r="E97" s="50" t="s">
        <v>476</v>
      </c>
      <c r="F97" s="50" t="s">
        <v>477</v>
      </c>
      <c r="G97" s="55">
        <v>10000000</v>
      </c>
      <c r="H97" s="55"/>
      <c r="I97" s="55"/>
      <c r="J97" s="51">
        <v>800000</v>
      </c>
      <c r="K97" s="51"/>
      <c r="L97" s="52">
        <v>46102</v>
      </c>
      <c r="M97" s="53">
        <v>46043</v>
      </c>
      <c r="N97" s="50" t="s">
        <v>155</v>
      </c>
      <c r="O97" s="50" t="s">
        <v>478</v>
      </c>
      <c r="P97" s="50" t="s">
        <v>477</v>
      </c>
      <c r="Q97" s="55" t="s">
        <v>479</v>
      </c>
      <c r="R97" s="55" t="s">
        <v>480</v>
      </c>
      <c r="S97" s="53">
        <v>47138</v>
      </c>
      <c r="T97" s="50"/>
      <c r="U97" s="50" t="s">
        <v>332</v>
      </c>
      <c r="V97" s="56"/>
      <c r="W97" s="50"/>
      <c r="X97" s="50"/>
      <c r="Y97" s="56"/>
      <c r="Z97" s="56"/>
      <c r="AA97" s="56"/>
      <c r="AB97" s="56"/>
      <c r="AC97" s="56"/>
      <c r="AD97" s="56"/>
    </row>
    <row x14ac:dyDescent="0.25" r="98" customHeight="1" ht="18.75">
      <c r="A98" s="57" t="s">
        <v>708</v>
      </c>
      <c r="B98" s="57" t="s">
        <v>3224</v>
      </c>
      <c r="C98" s="58" t="s">
        <v>16</v>
      </c>
      <c r="D98" s="58" t="s">
        <v>3242</v>
      </c>
      <c r="E98" s="58" t="s">
        <v>2770</v>
      </c>
      <c r="F98" s="58" t="s">
        <v>29</v>
      </c>
      <c r="G98" s="59">
        <v>10000000</v>
      </c>
      <c r="H98" s="59">
        <v>10000000</v>
      </c>
      <c r="I98" s="60">
        <v>46116</v>
      </c>
      <c r="J98" s="61">
        <v>500000</v>
      </c>
      <c r="K98" s="61">
        <v>5</v>
      </c>
      <c r="L98" s="60">
        <v>46177</v>
      </c>
      <c r="M98" s="60">
        <v>46116</v>
      </c>
      <c r="N98" s="58" t="s">
        <v>3243</v>
      </c>
      <c r="O98" s="58" t="s">
        <v>3244</v>
      </c>
      <c r="P98" s="58" t="s">
        <v>29</v>
      </c>
      <c r="Q98" s="59" t="s">
        <v>3245</v>
      </c>
      <c r="R98" s="59" t="s">
        <v>558</v>
      </c>
      <c r="S98" s="60">
        <v>47211</v>
      </c>
      <c r="T98" s="58" t="s">
        <v>559</v>
      </c>
      <c r="U98" s="58" t="s">
        <v>166</v>
      </c>
      <c r="V98" s="57"/>
      <c r="W98" s="58"/>
      <c r="X98" s="58"/>
      <c r="Y98" s="57"/>
      <c r="Z98" s="57"/>
      <c r="AA98" s="57"/>
      <c r="AB98" s="57"/>
      <c r="AC98" s="57"/>
      <c r="AD98" s="57"/>
    </row>
    <row x14ac:dyDescent="0.25" r="99" customHeight="1" ht="18.75" hidden="1">
      <c r="A99" s="56"/>
      <c r="B99" s="56"/>
      <c r="C99" s="50" t="s">
        <v>16</v>
      </c>
      <c r="D99" s="50"/>
      <c r="E99" s="50"/>
      <c r="F99" s="50" t="s">
        <v>487</v>
      </c>
      <c r="G99" s="55">
        <v>20000000</v>
      </c>
      <c r="H99" s="55"/>
      <c r="I99" s="55"/>
      <c r="J99" s="51">
        <v>1528000</v>
      </c>
      <c r="K99" s="51"/>
      <c r="L99" s="52">
        <v>46074</v>
      </c>
      <c r="M99" s="53">
        <v>46012</v>
      </c>
      <c r="N99" s="50" t="s">
        <v>168</v>
      </c>
      <c r="O99" s="50" t="s">
        <v>488</v>
      </c>
      <c r="P99" s="50" t="s">
        <v>487</v>
      </c>
      <c r="Q99" s="55" t="s">
        <v>489</v>
      </c>
      <c r="R99" s="55" t="s">
        <v>490</v>
      </c>
      <c r="S99" s="53">
        <v>47107</v>
      </c>
      <c r="T99" s="50"/>
      <c r="U99" s="50"/>
      <c r="V99" s="56"/>
      <c r="W99" s="50"/>
      <c r="X99" s="50"/>
      <c r="Y99" s="56"/>
      <c r="Z99" s="56"/>
      <c r="AA99" s="56"/>
      <c r="AB99" s="56"/>
      <c r="AC99" s="56"/>
      <c r="AD99" s="56"/>
    </row>
    <row x14ac:dyDescent="0.25" r="100" customHeight="1" ht="18.75" hidden="1">
      <c r="A100" s="56"/>
      <c r="B100" s="56"/>
      <c r="C100" s="50" t="s">
        <v>16</v>
      </c>
      <c r="D100" s="50"/>
      <c r="E100" s="50" t="s">
        <v>126</v>
      </c>
      <c r="F100" s="50" t="s">
        <v>491</v>
      </c>
      <c r="G100" s="55">
        <v>10000000</v>
      </c>
      <c r="H100" s="55"/>
      <c r="I100" s="55"/>
      <c r="J100" s="51">
        <v>800000</v>
      </c>
      <c r="K100" s="51"/>
      <c r="L100" s="52">
        <v>46130</v>
      </c>
      <c r="M100" s="53">
        <v>46071</v>
      </c>
      <c r="N100" s="50" t="s">
        <v>282</v>
      </c>
      <c r="O100" s="50" t="s">
        <v>492</v>
      </c>
      <c r="P100" s="50" t="s">
        <v>491</v>
      </c>
      <c r="Q100" s="55" t="s">
        <v>493</v>
      </c>
      <c r="R100" s="55" t="s">
        <v>494</v>
      </c>
      <c r="S100" s="53">
        <v>47166</v>
      </c>
      <c r="T100" s="50" t="s">
        <v>495</v>
      </c>
      <c r="U100" s="50" t="s">
        <v>166</v>
      </c>
      <c r="V100" s="48" t="s">
        <v>496</v>
      </c>
      <c r="W100" s="50"/>
      <c r="X100" s="50"/>
      <c r="Y100" s="56"/>
      <c r="Z100" s="56"/>
      <c r="AA100" s="56"/>
      <c r="AB100" s="56"/>
      <c r="AC100" s="56"/>
      <c r="AD100" s="56"/>
    </row>
    <row x14ac:dyDescent="0.25" r="101" customHeight="1" ht="18.75">
      <c r="A101" s="57" t="s">
        <v>708</v>
      </c>
      <c r="B101" s="57" t="s">
        <v>3224</v>
      </c>
      <c r="C101" s="58" t="s">
        <v>16</v>
      </c>
      <c r="D101" s="58" t="s">
        <v>14</v>
      </c>
      <c r="E101" s="58" t="s">
        <v>22</v>
      </c>
      <c r="F101" s="58" t="s">
        <v>776</v>
      </c>
      <c r="G101" s="59">
        <v>10000000</v>
      </c>
      <c r="H101" s="59">
        <v>10000000</v>
      </c>
      <c r="I101" s="60">
        <v>46116</v>
      </c>
      <c r="J101" s="61">
        <v>800000</v>
      </c>
      <c r="K101" s="61">
        <v>4</v>
      </c>
      <c r="L101" s="60">
        <v>46177</v>
      </c>
      <c r="M101" s="60">
        <v>46116</v>
      </c>
      <c r="N101" s="58" t="s">
        <v>940</v>
      </c>
      <c r="O101" s="58" t="s">
        <v>777</v>
      </c>
      <c r="P101" s="58" t="s">
        <v>776</v>
      </c>
      <c r="Q101" s="59" t="s">
        <v>493</v>
      </c>
      <c r="R101" s="59" t="s">
        <v>779</v>
      </c>
      <c r="S101" s="60">
        <v>47211</v>
      </c>
      <c r="T101" s="58" t="s">
        <v>780</v>
      </c>
      <c r="U101" s="58" t="s">
        <v>166</v>
      </c>
      <c r="V101" s="57"/>
      <c r="W101" s="58"/>
      <c r="X101" s="58"/>
      <c r="Y101" s="57"/>
      <c r="Z101" s="57"/>
      <c r="AA101" s="57"/>
      <c r="AB101" s="57"/>
      <c r="AC101" s="57"/>
      <c r="AD101" s="57"/>
    </row>
    <row x14ac:dyDescent="0.25" r="102" customHeight="1" ht="18.75" hidden="1">
      <c r="A102" s="56"/>
      <c r="B102" s="56"/>
      <c r="C102" s="50" t="s">
        <v>16</v>
      </c>
      <c r="D102" s="50"/>
      <c r="E102" s="50"/>
      <c r="F102" s="50" t="s">
        <v>500</v>
      </c>
      <c r="G102" s="55">
        <v>10000000</v>
      </c>
      <c r="H102" s="55"/>
      <c r="I102" s="55"/>
      <c r="J102" s="51">
        <v>800000</v>
      </c>
      <c r="K102" s="51"/>
      <c r="L102" s="52">
        <v>46017</v>
      </c>
      <c r="M102" s="53">
        <v>45956</v>
      </c>
      <c r="N102" s="50" t="s">
        <v>155</v>
      </c>
      <c r="O102" s="50" t="s">
        <v>3246</v>
      </c>
      <c r="P102" s="50" t="s">
        <v>500</v>
      </c>
      <c r="Q102" s="55" t="s">
        <v>502</v>
      </c>
      <c r="R102" s="55" t="s">
        <v>503</v>
      </c>
      <c r="S102" s="53">
        <v>47051</v>
      </c>
      <c r="T102" s="50"/>
      <c r="U102" s="50"/>
      <c r="V102" s="56"/>
      <c r="W102" s="50"/>
      <c r="X102" s="50"/>
      <c r="Y102" s="56"/>
      <c r="Z102" s="56"/>
      <c r="AA102" s="56"/>
      <c r="AB102" s="56"/>
      <c r="AC102" s="56"/>
      <c r="AD102" s="56"/>
    </row>
    <row x14ac:dyDescent="0.25" r="103" customHeight="1" ht="18.75">
      <c r="A103" s="57" t="s">
        <v>708</v>
      </c>
      <c r="B103" s="57" t="s">
        <v>3224</v>
      </c>
      <c r="C103" s="58" t="s">
        <v>16</v>
      </c>
      <c r="D103" s="58" t="s">
        <v>14</v>
      </c>
      <c r="E103" s="58" t="s">
        <v>22</v>
      </c>
      <c r="F103" s="58" t="s">
        <v>1534</v>
      </c>
      <c r="G103" s="59">
        <v>10000000</v>
      </c>
      <c r="H103" s="59">
        <v>10000000</v>
      </c>
      <c r="I103" s="60">
        <v>46116</v>
      </c>
      <c r="J103" s="61">
        <v>800000</v>
      </c>
      <c r="K103" s="61">
        <v>4</v>
      </c>
      <c r="L103" s="60">
        <v>46177</v>
      </c>
      <c r="M103" s="60">
        <v>46116</v>
      </c>
      <c r="N103" s="58" t="s">
        <v>155</v>
      </c>
      <c r="O103" s="58" t="s">
        <v>3247</v>
      </c>
      <c r="P103" s="58" t="s">
        <v>3248</v>
      </c>
      <c r="Q103" s="59" t="s">
        <v>1536</v>
      </c>
      <c r="R103" s="59" t="s">
        <v>1537</v>
      </c>
      <c r="S103" s="60">
        <v>47211</v>
      </c>
      <c r="T103" s="58" t="s">
        <v>1538</v>
      </c>
      <c r="U103" s="58" t="s">
        <v>166</v>
      </c>
      <c r="V103" s="57"/>
      <c r="W103" s="58"/>
      <c r="X103" s="58"/>
      <c r="Y103" s="57"/>
      <c r="Z103" s="57"/>
      <c r="AA103" s="57"/>
      <c r="AB103" s="57"/>
      <c r="AC103" s="57"/>
      <c r="AD103" s="57"/>
    </row>
    <row x14ac:dyDescent="0.25" r="104" customHeight="1" ht="18.75" hidden="1">
      <c r="A104" s="56"/>
      <c r="B104" s="56"/>
      <c r="C104" s="50" t="s">
        <v>16</v>
      </c>
      <c r="D104" s="50"/>
      <c r="E104" s="50"/>
      <c r="F104" s="50" t="s">
        <v>505</v>
      </c>
      <c r="G104" s="55">
        <v>60000000</v>
      </c>
      <c r="H104" s="55"/>
      <c r="I104" s="55"/>
      <c r="J104" s="51">
        <v>4056000</v>
      </c>
      <c r="K104" s="51"/>
      <c r="L104" s="52">
        <v>45961</v>
      </c>
      <c r="M104" s="53">
        <v>45900</v>
      </c>
      <c r="N104" s="50" t="s">
        <v>168</v>
      </c>
      <c r="O104" s="50" t="s">
        <v>506</v>
      </c>
      <c r="P104" s="50" t="s">
        <v>505</v>
      </c>
      <c r="Q104" s="55" t="s">
        <v>507</v>
      </c>
      <c r="R104" s="55" t="s">
        <v>508</v>
      </c>
      <c r="S104" s="53">
        <v>46995</v>
      </c>
      <c r="T104" s="50"/>
      <c r="U104" s="50"/>
      <c r="V104" s="56"/>
      <c r="W104" s="50"/>
      <c r="X104" s="50"/>
      <c r="Y104" s="56"/>
      <c r="Z104" s="56"/>
      <c r="AA104" s="56"/>
      <c r="AB104" s="56"/>
      <c r="AC104" s="56"/>
      <c r="AD104" s="56"/>
    </row>
    <row x14ac:dyDescent="0.25" r="105" customHeight="1" ht="18.75">
      <c r="A105" s="57" t="s">
        <v>708</v>
      </c>
      <c r="B105" s="57" t="s">
        <v>3224</v>
      </c>
      <c r="C105" s="49" t="s">
        <v>16</v>
      </c>
      <c r="D105" s="49" t="s">
        <v>45</v>
      </c>
      <c r="E105" s="49" t="s">
        <v>45</v>
      </c>
      <c r="F105" s="49" t="s">
        <v>389</v>
      </c>
      <c r="G105" s="64">
        <v>30000000</v>
      </c>
      <c r="H105" s="64">
        <v>30000000</v>
      </c>
      <c r="I105" s="60">
        <v>46117</v>
      </c>
      <c r="J105" s="64">
        <v>1500000</v>
      </c>
      <c r="K105" s="64">
        <v>5</v>
      </c>
      <c r="L105" s="60">
        <v>46178</v>
      </c>
      <c r="M105" s="67">
        <f>IF(L105&gt;0,EDATE(L105,-2),"")</f>
        <v>25569.375</v>
      </c>
      <c r="N105" s="49" t="s">
        <v>217</v>
      </c>
      <c r="O105" s="49" t="s">
        <v>390</v>
      </c>
      <c r="P105" s="49" t="s">
        <v>389</v>
      </c>
      <c r="Q105" s="69" t="s">
        <v>391</v>
      </c>
      <c r="R105" s="69">
        <v>67422169</v>
      </c>
      <c r="S105" s="60">
        <f>IF(M105&gt;0,EDATE(M105,36)-1,"")</f>
        <v>25569.375</v>
      </c>
      <c r="T105" s="49"/>
      <c r="U105" s="49"/>
      <c r="V105" s="63" t="s">
        <v>3249</v>
      </c>
      <c r="W105" s="50"/>
      <c r="X105" s="50"/>
      <c r="Y105" s="56"/>
      <c r="Z105" s="56"/>
      <c r="AA105" s="56"/>
      <c r="AB105" s="56"/>
      <c r="AC105" s="56"/>
      <c r="AD105" s="56"/>
    </row>
    <row x14ac:dyDescent="0.25" r="106" customHeight="1" ht="18.75">
      <c r="A106" s="57" t="s">
        <v>708</v>
      </c>
      <c r="B106" s="57" t="s">
        <v>3224</v>
      </c>
      <c r="C106" s="49" t="s">
        <v>16</v>
      </c>
      <c r="D106" s="49" t="s">
        <v>45</v>
      </c>
      <c r="E106" s="49" t="s">
        <v>45</v>
      </c>
      <c r="F106" s="49" t="s">
        <v>393</v>
      </c>
      <c r="G106" s="64">
        <v>30000000</v>
      </c>
      <c r="H106" s="64">
        <v>30000000</v>
      </c>
      <c r="I106" s="60">
        <v>46117</v>
      </c>
      <c r="J106" s="64">
        <v>1500000</v>
      </c>
      <c r="K106" s="64">
        <v>5</v>
      </c>
      <c r="L106" s="60">
        <v>46178</v>
      </c>
      <c r="M106" s="67">
        <f>IF(L106&gt;0,EDATE(L106,-2),"")</f>
        <v>25569.375</v>
      </c>
      <c r="N106" s="49" t="s">
        <v>282</v>
      </c>
      <c r="O106" s="49" t="s">
        <v>394</v>
      </c>
      <c r="P106" s="49" t="s">
        <v>393</v>
      </c>
      <c r="Q106" s="69" t="s">
        <v>395</v>
      </c>
      <c r="R106" s="69">
        <v>67412169</v>
      </c>
      <c r="S106" s="60">
        <f>IF(M106&gt;0,EDATE(M106,36)-1,"")</f>
        <v>25569.375</v>
      </c>
      <c r="T106" s="49"/>
      <c r="U106" s="49"/>
      <c r="V106" s="63" t="s">
        <v>3250</v>
      </c>
      <c r="W106" s="50"/>
      <c r="X106" s="50"/>
      <c r="Y106" s="56"/>
      <c r="Z106" s="56"/>
      <c r="AA106" s="56"/>
      <c r="AB106" s="56"/>
      <c r="AC106" s="56"/>
      <c r="AD106" s="56"/>
    </row>
    <row x14ac:dyDescent="0.25" r="107" customHeight="1" ht="18.75" hidden="1">
      <c r="A107" s="56"/>
      <c r="B107" s="56"/>
      <c r="C107" s="50" t="s">
        <v>16</v>
      </c>
      <c r="D107" s="50"/>
      <c r="E107" s="50"/>
      <c r="F107" s="50" t="s">
        <v>517</v>
      </c>
      <c r="G107" s="55">
        <v>30000000</v>
      </c>
      <c r="H107" s="55"/>
      <c r="I107" s="55"/>
      <c r="J107" s="51">
        <v>2400000</v>
      </c>
      <c r="K107" s="51"/>
      <c r="L107" s="52">
        <v>45924</v>
      </c>
      <c r="M107" s="53">
        <v>45848</v>
      </c>
      <c r="N107" s="50" t="s">
        <v>302</v>
      </c>
      <c r="O107" s="50" t="s">
        <v>518</v>
      </c>
      <c r="P107" s="50" t="s">
        <v>517</v>
      </c>
      <c r="Q107" s="55" t="s">
        <v>519</v>
      </c>
      <c r="R107" s="55" t="s">
        <v>520</v>
      </c>
      <c r="S107" s="53">
        <v>46943</v>
      </c>
      <c r="T107" s="50"/>
      <c r="U107" s="50"/>
      <c r="V107" s="56"/>
      <c r="W107" s="50"/>
      <c r="X107" s="50"/>
      <c r="Y107" s="56"/>
      <c r="Z107" s="56"/>
      <c r="AA107" s="56"/>
      <c r="AB107" s="56"/>
      <c r="AC107" s="56"/>
      <c r="AD107" s="56"/>
    </row>
    <row x14ac:dyDescent="0.25" r="108" customHeight="1" ht="18.75">
      <c r="A108" s="57" t="s">
        <v>708</v>
      </c>
      <c r="B108" s="57" t="s">
        <v>3224</v>
      </c>
      <c r="C108" s="58" t="s">
        <v>16</v>
      </c>
      <c r="D108" s="58" t="s">
        <v>3251</v>
      </c>
      <c r="E108" s="58" t="s">
        <v>726</v>
      </c>
      <c r="F108" s="58" t="s">
        <v>2336</v>
      </c>
      <c r="G108" s="59"/>
      <c r="H108" s="59">
        <v>5000000</v>
      </c>
      <c r="I108" s="60">
        <v>46112</v>
      </c>
      <c r="J108" s="61"/>
      <c r="K108" s="61"/>
      <c r="L108" s="60">
        <v>46178</v>
      </c>
      <c r="M108" s="60">
        <v>46117</v>
      </c>
      <c r="N108" s="58" t="s">
        <v>155</v>
      </c>
      <c r="O108" s="58" t="s">
        <v>2337</v>
      </c>
      <c r="P108" s="58" t="s">
        <v>2336</v>
      </c>
      <c r="Q108" s="59" t="s">
        <v>2338</v>
      </c>
      <c r="R108" s="59" t="s">
        <v>2339</v>
      </c>
      <c r="S108" s="60">
        <v>47212</v>
      </c>
      <c r="T108" s="58" t="s">
        <v>2340</v>
      </c>
      <c r="U108" s="58" t="s">
        <v>179</v>
      </c>
      <c r="V108" s="57"/>
      <c r="W108" s="58"/>
      <c r="X108" s="58"/>
      <c r="Y108" s="57"/>
      <c r="Z108" s="57"/>
      <c r="AA108" s="57"/>
      <c r="AB108" s="57"/>
      <c r="AC108" s="57"/>
      <c r="AD108" s="57"/>
    </row>
    <row x14ac:dyDescent="0.25" r="109" customHeight="1" ht="18.75">
      <c r="A109" s="57" t="s">
        <v>708</v>
      </c>
      <c r="B109" s="57" t="s">
        <v>3224</v>
      </c>
      <c r="C109" s="58" t="s">
        <v>16</v>
      </c>
      <c r="D109" s="58" t="s">
        <v>3251</v>
      </c>
      <c r="E109" s="58" t="s">
        <v>726</v>
      </c>
      <c r="F109" s="58" t="s">
        <v>2336</v>
      </c>
      <c r="G109" s="59"/>
      <c r="H109" s="59">
        <v>2000000</v>
      </c>
      <c r="I109" s="60">
        <v>46113</v>
      </c>
      <c r="J109" s="61"/>
      <c r="K109" s="61"/>
      <c r="L109" s="60">
        <v>46178</v>
      </c>
      <c r="M109" s="60">
        <v>46117</v>
      </c>
      <c r="N109" s="58" t="s">
        <v>155</v>
      </c>
      <c r="O109" s="58" t="s">
        <v>2337</v>
      </c>
      <c r="P109" s="58" t="s">
        <v>2336</v>
      </c>
      <c r="Q109" s="59" t="s">
        <v>2338</v>
      </c>
      <c r="R109" s="59" t="s">
        <v>2339</v>
      </c>
      <c r="S109" s="60">
        <v>47212</v>
      </c>
      <c r="T109" s="58" t="s">
        <v>2340</v>
      </c>
      <c r="U109" s="58" t="s">
        <v>179</v>
      </c>
      <c r="V109" s="57"/>
      <c r="W109" s="58"/>
      <c r="X109" s="58"/>
      <c r="Y109" s="57"/>
      <c r="Z109" s="57"/>
      <c r="AA109" s="57"/>
      <c r="AB109" s="57"/>
      <c r="AC109" s="57"/>
      <c r="AD109" s="57"/>
    </row>
    <row x14ac:dyDescent="0.25" r="110" customHeight="1" ht="18.75">
      <c r="A110" s="57" t="s">
        <v>708</v>
      </c>
      <c r="B110" s="57" t="s">
        <v>3224</v>
      </c>
      <c r="C110" s="58" t="s">
        <v>16</v>
      </c>
      <c r="D110" s="58" t="s">
        <v>3251</v>
      </c>
      <c r="E110" s="58" t="s">
        <v>726</v>
      </c>
      <c r="F110" s="58" t="s">
        <v>2336</v>
      </c>
      <c r="G110" s="59"/>
      <c r="H110" s="59">
        <v>175000</v>
      </c>
      <c r="I110" s="60">
        <v>46113</v>
      </c>
      <c r="J110" s="61"/>
      <c r="K110" s="61"/>
      <c r="L110" s="60">
        <v>46178</v>
      </c>
      <c r="M110" s="60">
        <v>46117</v>
      </c>
      <c r="N110" s="58" t="s">
        <v>155</v>
      </c>
      <c r="O110" s="58" t="s">
        <v>2337</v>
      </c>
      <c r="P110" s="58" t="s">
        <v>2336</v>
      </c>
      <c r="Q110" s="59" t="s">
        <v>2338</v>
      </c>
      <c r="R110" s="59" t="s">
        <v>2339</v>
      </c>
      <c r="S110" s="60">
        <v>47212</v>
      </c>
      <c r="T110" s="58" t="s">
        <v>2340</v>
      </c>
      <c r="U110" s="58" t="s">
        <v>179</v>
      </c>
      <c r="V110" s="57"/>
      <c r="W110" s="58"/>
      <c r="X110" s="58"/>
      <c r="Y110" s="57"/>
      <c r="Z110" s="57"/>
      <c r="AA110" s="57"/>
      <c r="AB110" s="57"/>
      <c r="AC110" s="57"/>
      <c r="AD110" s="57"/>
    </row>
    <row x14ac:dyDescent="0.25" r="111" customHeight="1" ht="18.75">
      <c r="A111" s="57" t="s">
        <v>708</v>
      </c>
      <c r="B111" s="57" t="s">
        <v>3224</v>
      </c>
      <c r="C111" s="58" t="s">
        <v>16</v>
      </c>
      <c r="D111" s="58" t="s">
        <v>3251</v>
      </c>
      <c r="E111" s="58" t="s">
        <v>726</v>
      </c>
      <c r="F111" s="58" t="s">
        <v>2336</v>
      </c>
      <c r="G111" s="59"/>
      <c r="H111" s="59">
        <v>3000000</v>
      </c>
      <c r="I111" s="60">
        <v>46117</v>
      </c>
      <c r="J111" s="61"/>
      <c r="K111" s="61"/>
      <c r="L111" s="60">
        <v>46178</v>
      </c>
      <c r="M111" s="60">
        <v>46117</v>
      </c>
      <c r="N111" s="58" t="s">
        <v>155</v>
      </c>
      <c r="O111" s="58" t="s">
        <v>2337</v>
      </c>
      <c r="P111" s="58" t="s">
        <v>2336</v>
      </c>
      <c r="Q111" s="59" t="s">
        <v>2338</v>
      </c>
      <c r="R111" s="59" t="s">
        <v>2339</v>
      </c>
      <c r="S111" s="60">
        <v>47212</v>
      </c>
      <c r="T111" s="58" t="s">
        <v>2340</v>
      </c>
      <c r="U111" s="58" t="s">
        <v>179</v>
      </c>
      <c r="V111" s="57"/>
      <c r="W111" s="58"/>
      <c r="X111" s="58"/>
      <c r="Y111" s="57"/>
      <c r="Z111" s="57"/>
      <c r="AA111" s="57"/>
      <c r="AB111" s="57"/>
      <c r="AC111" s="57"/>
      <c r="AD111" s="57"/>
    </row>
    <row x14ac:dyDescent="0.25" r="112" customHeight="1" ht="18.75">
      <c r="A112" s="57" t="s">
        <v>708</v>
      </c>
      <c r="B112" s="57" t="s">
        <v>3224</v>
      </c>
      <c r="C112" s="58" t="s">
        <v>16</v>
      </c>
      <c r="D112" s="58" t="s">
        <v>3251</v>
      </c>
      <c r="E112" s="58" t="s">
        <v>726</v>
      </c>
      <c r="F112" s="58" t="s">
        <v>2336</v>
      </c>
      <c r="G112" s="59">
        <v>10000000</v>
      </c>
      <c r="H112" s="59">
        <v>10000000</v>
      </c>
      <c r="I112" s="60">
        <v>46117</v>
      </c>
      <c r="J112" s="61">
        <v>800000</v>
      </c>
      <c r="K112" s="61">
        <v>5</v>
      </c>
      <c r="L112" s="60">
        <v>46178</v>
      </c>
      <c r="M112" s="60">
        <v>46117</v>
      </c>
      <c r="N112" s="58" t="s">
        <v>155</v>
      </c>
      <c r="O112" s="58" t="s">
        <v>2337</v>
      </c>
      <c r="P112" s="58" t="s">
        <v>2336</v>
      </c>
      <c r="Q112" s="59" t="s">
        <v>2338</v>
      </c>
      <c r="R112" s="59" t="s">
        <v>2339</v>
      </c>
      <c r="S112" s="60">
        <v>47212</v>
      </c>
      <c r="T112" s="58" t="s">
        <v>2340</v>
      </c>
      <c r="U112" s="58" t="s">
        <v>179</v>
      </c>
      <c r="V112" s="57"/>
      <c r="W112" s="58"/>
      <c r="X112" s="58"/>
      <c r="Y112" s="57"/>
      <c r="Z112" s="57"/>
      <c r="AA112" s="57"/>
      <c r="AB112" s="57"/>
      <c r="AC112" s="57"/>
      <c r="AD112" s="57"/>
    </row>
    <row x14ac:dyDescent="0.25" r="113" customHeight="1" ht="18.75">
      <c r="A113" s="57" t="s">
        <v>708</v>
      </c>
      <c r="B113" s="57" t="s">
        <v>3224</v>
      </c>
      <c r="C113" s="58" t="s">
        <v>16</v>
      </c>
      <c r="D113" s="58" t="s">
        <v>357</v>
      </c>
      <c r="E113" s="58" t="s">
        <v>357</v>
      </c>
      <c r="F113" s="58" t="s">
        <v>358</v>
      </c>
      <c r="G113" s="59">
        <v>10000000</v>
      </c>
      <c r="H113" s="59">
        <v>10000000</v>
      </c>
      <c r="I113" s="60">
        <v>46118</v>
      </c>
      <c r="J113" s="61">
        <v>800000</v>
      </c>
      <c r="K113" s="61">
        <v>6</v>
      </c>
      <c r="L113" s="60">
        <v>46179</v>
      </c>
      <c r="M113" s="60">
        <v>46118</v>
      </c>
      <c r="N113" s="58" t="s">
        <v>282</v>
      </c>
      <c r="O113" s="58" t="s">
        <v>359</v>
      </c>
      <c r="P113" s="58" t="s">
        <v>358</v>
      </c>
      <c r="Q113" s="59" t="s">
        <v>360</v>
      </c>
      <c r="R113" s="59" t="s">
        <v>361</v>
      </c>
      <c r="S113" s="60">
        <v>47213</v>
      </c>
      <c r="T113" s="58" t="s">
        <v>362</v>
      </c>
      <c r="U113" s="58" t="s">
        <v>166</v>
      </c>
      <c r="V113" s="57"/>
      <c r="W113" s="58"/>
      <c r="X113" s="58"/>
      <c r="Y113" s="57"/>
      <c r="Z113" s="57"/>
      <c r="AA113" s="57"/>
      <c r="AB113" s="57"/>
      <c r="AC113" s="57"/>
      <c r="AD113" s="57"/>
    </row>
    <row x14ac:dyDescent="0.25" r="114" customHeight="1" ht="18.75" hidden="1">
      <c r="A114" s="63"/>
      <c r="B114" s="63"/>
      <c r="C114" s="49" t="s">
        <v>16</v>
      </c>
      <c r="D114" s="49" t="s">
        <v>454</v>
      </c>
      <c r="E114" s="49" t="s">
        <v>455</v>
      </c>
      <c r="F114" s="49" t="s">
        <v>530</v>
      </c>
      <c r="G114" s="64">
        <v>10000000</v>
      </c>
      <c r="H114" s="64"/>
      <c r="I114" s="64"/>
      <c r="J114" s="65">
        <f>IF(G114&gt;0,_xludf.IFS(G114=10000000,800000,G114=20000000,1528000,G114=30000000,2028000,G114=60000000,4056000),"")</f>
      </c>
      <c r="K114" s="64"/>
      <c r="L114" s="66">
        <v>46154</v>
      </c>
      <c r="M114" s="67">
        <f>IF(L114&gt;0,EDATE(L114,-2),"")</f>
        <v>25569.375</v>
      </c>
      <c r="N114" s="49" t="s">
        <v>155</v>
      </c>
      <c r="O114" s="49" t="s">
        <v>531</v>
      </c>
      <c r="P114" s="68">
        <f>IF(F114&gt;0,F114,"")</f>
      </c>
      <c r="Q114" s="69" t="s">
        <v>532</v>
      </c>
      <c r="R114" s="69">
        <v>44999721</v>
      </c>
      <c r="S114" s="67">
        <f>IF(ISNUMBER(M114), EDATE(M114,36)-1, "")</f>
        <v>25569.375</v>
      </c>
      <c r="T114" s="49"/>
      <c r="U114" s="49"/>
      <c r="V114" s="63"/>
      <c r="W114" s="50"/>
      <c r="X114" s="50"/>
      <c r="Y114" s="56"/>
      <c r="Z114" s="56"/>
      <c r="AA114" s="56"/>
      <c r="AB114" s="56"/>
      <c r="AC114" s="56"/>
      <c r="AD114" s="56"/>
    </row>
    <row x14ac:dyDescent="0.25" r="115" customHeight="1" ht="18.75">
      <c r="A115" s="57" t="s">
        <v>275</v>
      </c>
      <c r="B115" s="57" t="s">
        <v>3224</v>
      </c>
      <c r="C115" s="58" t="s">
        <v>16</v>
      </c>
      <c r="D115" s="58" t="s">
        <v>357</v>
      </c>
      <c r="E115" s="58" t="s">
        <v>357</v>
      </c>
      <c r="F115" s="58" t="s">
        <v>29</v>
      </c>
      <c r="G115" s="59">
        <v>20000000</v>
      </c>
      <c r="H115" s="59">
        <v>20000000</v>
      </c>
      <c r="I115" s="60">
        <v>46118</v>
      </c>
      <c r="J115" s="61">
        <v>1528000</v>
      </c>
      <c r="K115" s="61">
        <v>6</v>
      </c>
      <c r="L115" s="86">
        <v>46179</v>
      </c>
      <c r="M115" s="60">
        <v>46118</v>
      </c>
      <c r="N115" s="58" t="s">
        <v>212</v>
      </c>
      <c r="O115" s="58" t="s">
        <v>3252</v>
      </c>
      <c r="P115" s="58" t="s">
        <v>29</v>
      </c>
      <c r="Q115" s="59" t="s">
        <v>3253</v>
      </c>
      <c r="R115" s="59" t="s">
        <v>1142</v>
      </c>
      <c r="S115" s="60">
        <v>47213</v>
      </c>
      <c r="T115" s="58" t="s">
        <v>1143</v>
      </c>
      <c r="U115" s="58" t="s">
        <v>166</v>
      </c>
      <c r="V115" s="57" t="s">
        <v>3254</v>
      </c>
      <c r="W115" s="58"/>
      <c r="X115" s="58"/>
      <c r="Y115" s="57"/>
      <c r="Z115" s="57"/>
      <c r="AA115" s="57"/>
      <c r="AB115" s="57"/>
      <c r="AC115" s="57"/>
      <c r="AD115" s="57"/>
    </row>
    <row x14ac:dyDescent="0.25" r="116" customHeight="1" ht="18.75">
      <c r="A116" s="57" t="s">
        <v>708</v>
      </c>
      <c r="B116" s="57" t="s">
        <v>3224</v>
      </c>
      <c r="C116" s="58" t="s">
        <v>16</v>
      </c>
      <c r="D116" s="58" t="s">
        <v>357</v>
      </c>
      <c r="E116" s="58" t="s">
        <v>357</v>
      </c>
      <c r="F116" s="58" t="s">
        <v>2162</v>
      </c>
      <c r="G116" s="61">
        <v>10000000</v>
      </c>
      <c r="H116" s="59">
        <v>10000000</v>
      </c>
      <c r="I116" s="60">
        <v>46118</v>
      </c>
      <c r="J116" s="61">
        <v>800000</v>
      </c>
      <c r="K116" s="61">
        <v>6</v>
      </c>
      <c r="L116" s="86">
        <v>46179</v>
      </c>
      <c r="M116" s="60">
        <f>IF(L116&gt;0,EDATE(L116,-2),"")</f>
        <v>25569.375</v>
      </c>
      <c r="N116" s="58" t="s">
        <v>182</v>
      </c>
      <c r="O116" s="58" t="s">
        <v>2163</v>
      </c>
      <c r="P116" s="58" t="s">
        <v>2162</v>
      </c>
      <c r="Q116" s="59" t="s">
        <v>3255</v>
      </c>
      <c r="R116" s="59">
        <v>56789801</v>
      </c>
      <c r="S116" s="60">
        <f>IF(ISNUMBER(M116), EDATE(M116,36)-1, "")</f>
        <v>25569.375</v>
      </c>
      <c r="T116" s="58"/>
      <c r="U116" s="58"/>
      <c r="V116" s="58"/>
      <c r="W116" s="58"/>
      <c r="X116" s="58"/>
      <c r="Y116" s="57"/>
      <c r="Z116" s="57"/>
      <c r="AA116" s="57"/>
      <c r="AB116" s="57"/>
      <c r="AC116" s="57"/>
      <c r="AD116" s="57"/>
    </row>
    <row x14ac:dyDescent="0.25" r="117" customHeight="1" ht="18.75" hidden="1">
      <c r="A117" s="48" t="s">
        <v>275</v>
      </c>
      <c r="B117" s="48"/>
      <c r="C117" s="49" t="s">
        <v>16</v>
      </c>
      <c r="D117" s="50"/>
      <c r="E117" s="50"/>
      <c r="F117" s="50" t="s">
        <v>542</v>
      </c>
      <c r="G117" s="51">
        <v>10000000</v>
      </c>
      <c r="H117" s="51"/>
      <c r="I117" s="51"/>
      <c r="J117" s="87">
        <f>IF(G117&gt;0,_xludf.IFS(G117=10000000,800000,G117=20000000,1528000,G117=30000000,2028000,G117=60000000,4056000),"")</f>
      </c>
      <c r="K117" s="51"/>
      <c r="L117" s="52">
        <v>46104</v>
      </c>
      <c r="M117" s="53">
        <f>IF(L117&gt;0,EDATE(L117,-2),"")</f>
        <v>25569.375</v>
      </c>
      <c r="N117" s="50" t="s">
        <v>155</v>
      </c>
      <c r="O117" s="50" t="s">
        <v>543</v>
      </c>
      <c r="P117" s="54">
        <f>IF(F117&gt;0,F117,"")</f>
      </c>
      <c r="Q117" s="55" t="s">
        <v>544</v>
      </c>
      <c r="R117" s="55">
        <v>20839456</v>
      </c>
      <c r="S117" s="53">
        <v>47199</v>
      </c>
      <c r="T117" s="50"/>
      <c r="U117" s="50"/>
      <c r="V117" s="48" t="s">
        <v>252</v>
      </c>
      <c r="W117" s="50"/>
      <c r="X117" s="50"/>
      <c r="Y117" s="56"/>
      <c r="Z117" s="56"/>
      <c r="AA117" s="56"/>
      <c r="AB117" s="56"/>
      <c r="AC117" s="56"/>
      <c r="AD117" s="56"/>
    </row>
    <row x14ac:dyDescent="0.25" r="118" customHeight="1" ht="18.75" hidden="1">
      <c r="A118" s="56"/>
      <c r="B118" s="56"/>
      <c r="C118" s="50" t="s">
        <v>16</v>
      </c>
      <c r="D118" s="50"/>
      <c r="E118" s="50"/>
      <c r="F118" s="50" t="s">
        <v>542</v>
      </c>
      <c r="G118" s="51">
        <v>10000000</v>
      </c>
      <c r="H118" s="51"/>
      <c r="I118" s="51"/>
      <c r="J118" s="51">
        <v>800000</v>
      </c>
      <c r="K118" s="51"/>
      <c r="L118" s="52">
        <v>46104</v>
      </c>
      <c r="M118" s="53">
        <f>IF(L118&gt;0,EDATE(L118,-2),"")</f>
        <v>25569.375</v>
      </c>
      <c r="N118" s="50" t="s">
        <v>155</v>
      </c>
      <c r="O118" s="50" t="s">
        <v>543</v>
      </c>
      <c r="P118" s="50" t="s">
        <v>542</v>
      </c>
      <c r="Q118" s="55">
        <v>7312062019131</v>
      </c>
      <c r="R118" s="55">
        <v>20839456</v>
      </c>
      <c r="S118" s="53">
        <f>IF(ISNUMBER(M118), EDATE(M118,36)-1, "")</f>
        <v>25569.375</v>
      </c>
      <c r="T118" s="50"/>
      <c r="U118" s="50"/>
      <c r="V118" s="48" t="s">
        <v>546</v>
      </c>
      <c r="W118" s="50"/>
      <c r="X118" s="50"/>
      <c r="Y118" s="56"/>
      <c r="Z118" s="56"/>
      <c r="AA118" s="56"/>
      <c r="AB118" s="56"/>
      <c r="AC118" s="56"/>
      <c r="AD118" s="56"/>
    </row>
    <row x14ac:dyDescent="0.25" r="119" customHeight="1" ht="18.75" hidden="1">
      <c r="A119" s="56"/>
      <c r="B119" s="56"/>
      <c r="C119" s="50" t="s">
        <v>16</v>
      </c>
      <c r="D119" s="50"/>
      <c r="E119" s="50"/>
      <c r="F119" s="50" t="s">
        <v>29</v>
      </c>
      <c r="G119" s="55">
        <v>60000000</v>
      </c>
      <c r="H119" s="55"/>
      <c r="I119" s="55"/>
      <c r="J119" s="51">
        <v>4056000</v>
      </c>
      <c r="K119" s="51"/>
      <c r="L119" s="52">
        <v>46086</v>
      </c>
      <c r="M119" s="53">
        <v>46022</v>
      </c>
      <c r="N119" s="50" t="s">
        <v>239</v>
      </c>
      <c r="O119" s="50" t="s">
        <v>547</v>
      </c>
      <c r="P119" s="50" t="s">
        <v>29</v>
      </c>
      <c r="Q119" s="55" t="s">
        <v>548</v>
      </c>
      <c r="R119" s="55" t="s">
        <v>549</v>
      </c>
      <c r="S119" s="53">
        <v>47117</v>
      </c>
      <c r="T119" s="50"/>
      <c r="U119" s="50"/>
      <c r="V119" s="56"/>
      <c r="W119" s="50"/>
      <c r="X119" s="50"/>
      <c r="Y119" s="56"/>
      <c r="Z119" s="56"/>
      <c r="AA119" s="56"/>
      <c r="AB119" s="56"/>
      <c r="AC119" s="56"/>
      <c r="AD119" s="56"/>
    </row>
    <row x14ac:dyDescent="0.25" r="120" customHeight="1" ht="18.75" hidden="1">
      <c r="A120" s="56"/>
      <c r="B120" s="56"/>
      <c r="C120" s="50" t="s">
        <v>16</v>
      </c>
      <c r="D120" s="50"/>
      <c r="E120" s="50" t="s">
        <v>244</v>
      </c>
      <c r="F120" s="50" t="s">
        <v>29</v>
      </c>
      <c r="G120" s="55">
        <v>10000000</v>
      </c>
      <c r="H120" s="55"/>
      <c r="I120" s="55"/>
      <c r="J120" s="51">
        <v>800000</v>
      </c>
      <c r="K120" s="51"/>
      <c r="L120" s="52">
        <v>46132</v>
      </c>
      <c r="M120" s="53">
        <v>46073</v>
      </c>
      <c r="N120" s="50" t="s">
        <v>182</v>
      </c>
      <c r="O120" s="50" t="s">
        <v>550</v>
      </c>
      <c r="P120" s="50" t="s">
        <v>29</v>
      </c>
      <c r="Q120" s="55" t="s">
        <v>548</v>
      </c>
      <c r="R120" s="55" t="s">
        <v>549</v>
      </c>
      <c r="S120" s="53">
        <v>47168</v>
      </c>
      <c r="T120" s="50" t="s">
        <v>551</v>
      </c>
      <c r="U120" s="50" t="s">
        <v>166</v>
      </c>
      <c r="V120" s="56"/>
      <c r="W120" s="50"/>
      <c r="X120" s="50"/>
      <c r="Y120" s="56"/>
      <c r="Z120" s="56"/>
      <c r="AA120" s="56"/>
      <c r="AB120" s="56"/>
      <c r="AC120" s="56"/>
      <c r="AD120" s="56"/>
    </row>
    <row x14ac:dyDescent="0.25" r="121" customHeight="1" ht="18.75" hidden="1">
      <c r="A121" s="56"/>
      <c r="B121" s="56"/>
      <c r="C121" s="50" t="s">
        <v>16</v>
      </c>
      <c r="D121" s="50" t="s">
        <v>454</v>
      </c>
      <c r="E121" s="50"/>
      <c r="F121" s="50" t="s">
        <v>29</v>
      </c>
      <c r="G121" s="55">
        <v>10000000</v>
      </c>
      <c r="H121" s="55"/>
      <c r="I121" s="55"/>
      <c r="J121" s="51">
        <v>500000</v>
      </c>
      <c r="K121" s="51"/>
      <c r="L121" s="52">
        <v>46148</v>
      </c>
      <c r="M121" s="53">
        <v>46087</v>
      </c>
      <c r="N121" s="50" t="s">
        <v>302</v>
      </c>
      <c r="O121" s="50" t="s">
        <v>552</v>
      </c>
      <c r="P121" s="50" t="s">
        <v>29</v>
      </c>
      <c r="Q121" s="55" t="s">
        <v>553</v>
      </c>
      <c r="R121" s="55" t="s">
        <v>554</v>
      </c>
      <c r="S121" s="53">
        <v>47182</v>
      </c>
      <c r="T121" s="50"/>
      <c r="U121" s="50"/>
      <c r="V121" s="56"/>
      <c r="W121" s="50"/>
      <c r="X121" s="50"/>
      <c r="Y121" s="56"/>
      <c r="Z121" s="56"/>
      <c r="AA121" s="56"/>
      <c r="AB121" s="56"/>
      <c r="AC121" s="56"/>
      <c r="AD121" s="56"/>
    </row>
    <row x14ac:dyDescent="0.25" r="122" customHeight="1" ht="18.75">
      <c r="A122" s="56"/>
      <c r="B122" s="56"/>
      <c r="C122" s="50" t="s">
        <v>16</v>
      </c>
      <c r="D122" s="50" t="s">
        <v>88</v>
      </c>
      <c r="E122" s="50" t="s">
        <v>14</v>
      </c>
      <c r="F122" s="50" t="s">
        <v>2348</v>
      </c>
      <c r="G122" s="55">
        <v>10000000</v>
      </c>
      <c r="H122" s="55"/>
      <c r="I122" s="55"/>
      <c r="J122" s="51">
        <v>800000</v>
      </c>
      <c r="K122" s="51"/>
      <c r="L122" s="52">
        <v>46179</v>
      </c>
      <c r="M122" s="53">
        <v>46118</v>
      </c>
      <c r="N122" s="50" t="s">
        <v>168</v>
      </c>
      <c r="O122" s="50" t="s">
        <v>2349</v>
      </c>
      <c r="P122" s="50" t="s">
        <v>2348</v>
      </c>
      <c r="Q122" s="55" t="s">
        <v>2350</v>
      </c>
      <c r="R122" s="55" t="s">
        <v>2351</v>
      </c>
      <c r="S122" s="53">
        <v>47213</v>
      </c>
      <c r="T122" s="50" t="s">
        <v>2352</v>
      </c>
      <c r="U122" s="50" t="s">
        <v>166</v>
      </c>
      <c r="V122" s="56"/>
      <c r="W122" s="50"/>
      <c r="X122" s="50"/>
      <c r="Y122" s="56"/>
      <c r="Z122" s="56"/>
      <c r="AA122" s="56"/>
      <c r="AB122" s="56"/>
      <c r="AC122" s="56"/>
      <c r="AD122" s="56"/>
    </row>
    <row x14ac:dyDescent="0.25" r="123" customHeight="1" ht="18.75" hidden="1">
      <c r="A123" s="48" t="s">
        <v>252</v>
      </c>
      <c r="B123" s="48"/>
      <c r="C123" s="49" t="s">
        <v>16</v>
      </c>
      <c r="D123" s="50"/>
      <c r="E123" s="50"/>
      <c r="F123" s="50" t="s">
        <v>29</v>
      </c>
      <c r="G123" s="51">
        <v>10000000</v>
      </c>
      <c r="H123" s="51"/>
      <c r="I123" s="51"/>
      <c r="J123" s="87">
        <f>IF(G123&gt;0,_xludf.IFS(G123=10000000,800000,G123=20000000,1528000,G123=30000000,2028000,G123=60000000,4056000),"")</f>
      </c>
      <c r="K123" s="51"/>
      <c r="L123" s="52">
        <v>46132</v>
      </c>
      <c r="M123" s="53">
        <f>IF(L123&gt;0,EDATE(L123,-2),"")</f>
        <v>25569.375</v>
      </c>
      <c r="N123" s="50" t="s">
        <v>239</v>
      </c>
      <c r="O123" s="50" t="s">
        <v>550</v>
      </c>
      <c r="P123" s="54">
        <f>IF(F123&gt;0,F123,"")</f>
      </c>
      <c r="Q123" s="55" t="s">
        <v>548</v>
      </c>
      <c r="R123" s="55">
        <v>27103311</v>
      </c>
      <c r="S123" s="53">
        <f>IF(ISNUMBER(M123), EDATE(M123,36)-1, "")</f>
        <v>25569.375</v>
      </c>
      <c r="T123" s="50"/>
      <c r="U123" s="50"/>
      <c r="V123" s="56"/>
      <c r="W123" s="50"/>
      <c r="X123" s="50"/>
      <c r="Y123" s="56"/>
      <c r="Z123" s="56"/>
      <c r="AA123" s="56"/>
      <c r="AB123" s="56"/>
      <c r="AC123" s="56"/>
      <c r="AD123" s="56"/>
    </row>
    <row x14ac:dyDescent="0.25" r="124" customHeight="1" ht="18.75">
      <c r="A124" s="63"/>
      <c r="B124" s="63"/>
      <c r="C124" s="49" t="s">
        <v>16</v>
      </c>
      <c r="D124" s="49" t="s">
        <v>454</v>
      </c>
      <c r="E124" s="49" t="s">
        <v>1186</v>
      </c>
      <c r="F124" s="49" t="s">
        <v>1186</v>
      </c>
      <c r="G124" s="64">
        <v>10000000</v>
      </c>
      <c r="H124" s="64"/>
      <c r="I124" s="64"/>
      <c r="J124" s="64">
        <v>800000</v>
      </c>
      <c r="K124" s="64"/>
      <c r="L124" s="66">
        <v>46180</v>
      </c>
      <c r="M124" s="67">
        <f>IF(L124&gt;0,EDATE(L124,-2),"")</f>
        <v>25569.375</v>
      </c>
      <c r="N124" s="49" t="s">
        <v>155</v>
      </c>
      <c r="O124" s="49" t="s">
        <v>1187</v>
      </c>
      <c r="P124" s="68">
        <f>IF(F124&gt;0,F124,"")</f>
      </c>
      <c r="Q124" s="69" t="s">
        <v>1188</v>
      </c>
      <c r="R124" s="69">
        <v>72407060</v>
      </c>
      <c r="S124" s="67">
        <f>IF(ISNUMBER(M124), EDATE(M124,36)-1, "")</f>
        <v>25569.375</v>
      </c>
      <c r="T124" s="49"/>
      <c r="U124" s="49"/>
      <c r="V124" s="63"/>
      <c r="W124" s="50"/>
      <c r="X124" s="50"/>
      <c r="Y124" s="56"/>
      <c r="Z124" s="56"/>
      <c r="AA124" s="56"/>
      <c r="AB124" s="56"/>
      <c r="AC124" s="56"/>
      <c r="AD124" s="56"/>
    </row>
    <row x14ac:dyDescent="0.25" r="125" customHeight="1" ht="18.75">
      <c r="A125" s="63"/>
      <c r="B125" s="63"/>
      <c r="C125" s="49" t="s">
        <v>16</v>
      </c>
      <c r="D125" s="49" t="s">
        <v>627</v>
      </c>
      <c r="E125" s="49" t="s">
        <v>373</v>
      </c>
      <c r="F125" s="49" t="s">
        <v>1403</v>
      </c>
      <c r="G125" s="64">
        <v>10000000</v>
      </c>
      <c r="H125" s="64"/>
      <c r="I125" s="64"/>
      <c r="J125" s="64">
        <v>1200000</v>
      </c>
      <c r="K125" s="64"/>
      <c r="L125" s="66">
        <v>46180</v>
      </c>
      <c r="M125" s="67">
        <f>IF(L125&gt;0,EDATE(L125,-2),"")</f>
        <v>25569.375</v>
      </c>
      <c r="N125" s="49" t="s">
        <v>205</v>
      </c>
      <c r="O125" s="49" t="s">
        <v>1407</v>
      </c>
      <c r="P125" s="68">
        <f>IF(F125&gt;0,F125,"")</f>
      </c>
      <c r="Q125" s="69" t="s">
        <v>1408</v>
      </c>
      <c r="R125" s="69">
        <v>77492484</v>
      </c>
      <c r="S125" s="67">
        <f>IF(ISNUMBER(M125), EDATE(M125,36)-1, "")</f>
        <v>25569.375</v>
      </c>
      <c r="T125" s="49"/>
      <c r="U125" s="49"/>
      <c r="V125" s="63"/>
      <c r="W125" s="50"/>
      <c r="X125" s="50"/>
      <c r="Y125" s="56"/>
      <c r="Z125" s="56"/>
      <c r="AA125" s="56"/>
      <c r="AB125" s="56"/>
      <c r="AC125" s="56"/>
      <c r="AD125" s="56"/>
    </row>
    <row x14ac:dyDescent="0.25" r="126" customHeight="1" ht="18.75" hidden="1">
      <c r="A126" s="48" t="s">
        <v>568</v>
      </c>
      <c r="B126" s="48"/>
      <c r="C126" s="50" t="s">
        <v>16</v>
      </c>
      <c r="D126" s="50"/>
      <c r="E126" s="50"/>
      <c r="F126" s="50" t="s">
        <v>569</v>
      </c>
      <c r="G126" s="55">
        <v>60000000</v>
      </c>
      <c r="H126" s="55"/>
      <c r="I126" s="55"/>
      <c r="J126" s="51">
        <v>2400000</v>
      </c>
      <c r="K126" s="51"/>
      <c r="L126" s="52">
        <v>45940</v>
      </c>
      <c r="M126" s="53">
        <v>45818</v>
      </c>
      <c r="N126" s="50" t="s">
        <v>570</v>
      </c>
      <c r="O126" s="50" t="s">
        <v>571</v>
      </c>
      <c r="P126" s="50" t="s">
        <v>569</v>
      </c>
      <c r="Q126" s="55" t="s">
        <v>572</v>
      </c>
      <c r="R126" s="55" t="s">
        <v>573</v>
      </c>
      <c r="S126" s="53">
        <v>46913</v>
      </c>
      <c r="T126" s="50"/>
      <c r="U126" s="50"/>
      <c r="V126" s="56"/>
      <c r="W126" s="50"/>
      <c r="X126" s="50"/>
      <c r="Y126" s="56"/>
      <c r="Z126" s="56"/>
      <c r="AA126" s="56"/>
      <c r="AB126" s="56"/>
      <c r="AC126" s="56"/>
      <c r="AD126" s="56"/>
    </row>
    <row x14ac:dyDescent="0.25" r="127" customHeight="1" ht="18.75">
      <c r="A127" s="56"/>
      <c r="B127" s="56"/>
      <c r="C127" s="50" t="s">
        <v>16</v>
      </c>
      <c r="D127" s="50"/>
      <c r="E127" s="50"/>
      <c r="F127" s="50" t="s">
        <v>1664</v>
      </c>
      <c r="G127" s="55">
        <v>10000000</v>
      </c>
      <c r="H127" s="55"/>
      <c r="I127" s="55"/>
      <c r="J127" s="51">
        <v>800000</v>
      </c>
      <c r="K127" s="51"/>
      <c r="L127" s="52">
        <v>46180</v>
      </c>
      <c r="M127" s="53">
        <v>46119</v>
      </c>
      <c r="N127" s="50" t="s">
        <v>239</v>
      </c>
      <c r="O127" s="50" t="s">
        <v>1665</v>
      </c>
      <c r="P127" s="50" t="s">
        <v>1664</v>
      </c>
      <c r="Q127" s="55" t="s">
        <v>1666</v>
      </c>
      <c r="R127" s="55" t="s">
        <v>1667</v>
      </c>
      <c r="S127" s="53">
        <v>47214</v>
      </c>
      <c r="T127" s="50" t="s">
        <v>1668</v>
      </c>
      <c r="U127" s="50" t="s">
        <v>166</v>
      </c>
      <c r="V127" s="56"/>
      <c r="W127" s="50"/>
      <c r="X127" s="50"/>
      <c r="Y127" s="56"/>
      <c r="Z127" s="56"/>
      <c r="AA127" s="56"/>
      <c r="AB127" s="56"/>
      <c r="AC127" s="56"/>
      <c r="AD127" s="56"/>
    </row>
    <row x14ac:dyDescent="0.25" r="128" customHeight="1" ht="18.75" hidden="1">
      <c r="A128" s="48" t="s">
        <v>3256</v>
      </c>
      <c r="B128" s="48"/>
      <c r="C128" s="50" t="s">
        <v>16</v>
      </c>
      <c r="D128" s="50"/>
      <c r="E128" s="50"/>
      <c r="F128" s="50" t="s">
        <v>25</v>
      </c>
      <c r="G128" s="55">
        <v>20000000</v>
      </c>
      <c r="H128" s="55"/>
      <c r="I128" s="55"/>
      <c r="J128" s="51">
        <v>1600000</v>
      </c>
      <c r="K128" s="51"/>
      <c r="L128" s="52">
        <v>46358</v>
      </c>
      <c r="M128" s="53">
        <v>45848</v>
      </c>
      <c r="N128" s="50" t="s">
        <v>239</v>
      </c>
      <c r="O128" s="50" t="s">
        <v>582</v>
      </c>
      <c r="P128" s="50" t="s">
        <v>25</v>
      </c>
      <c r="Q128" s="55" t="s">
        <v>583</v>
      </c>
      <c r="R128" s="55" t="s">
        <v>584</v>
      </c>
      <c r="S128" s="53">
        <v>46943</v>
      </c>
      <c r="T128" s="50"/>
      <c r="U128" s="50"/>
      <c r="V128" s="56"/>
      <c r="W128" s="50"/>
      <c r="X128" s="50"/>
      <c r="Y128" s="56"/>
      <c r="Z128" s="56"/>
      <c r="AA128" s="56"/>
      <c r="AB128" s="56"/>
      <c r="AC128" s="56"/>
      <c r="AD128" s="56"/>
    </row>
    <row x14ac:dyDescent="0.25" r="129" customHeight="1" ht="18.75" hidden="1">
      <c r="A129" s="56"/>
      <c r="B129" s="56"/>
      <c r="C129" s="50" t="s">
        <v>16</v>
      </c>
      <c r="D129" s="50"/>
      <c r="E129" s="50"/>
      <c r="F129" s="50" t="s">
        <v>585</v>
      </c>
      <c r="G129" s="55">
        <v>10000000</v>
      </c>
      <c r="H129" s="55"/>
      <c r="I129" s="55"/>
      <c r="J129" s="51">
        <v>800000</v>
      </c>
      <c r="K129" s="51"/>
      <c r="L129" s="52">
        <v>46081</v>
      </c>
      <c r="M129" s="53">
        <v>46022</v>
      </c>
      <c r="N129" s="50" t="s">
        <v>168</v>
      </c>
      <c r="O129" s="50" t="s">
        <v>586</v>
      </c>
      <c r="P129" s="50" t="s">
        <v>585</v>
      </c>
      <c r="Q129" s="55" t="s">
        <v>587</v>
      </c>
      <c r="R129" s="55" t="s">
        <v>588</v>
      </c>
      <c r="S129" s="53">
        <v>47117</v>
      </c>
      <c r="T129" s="50"/>
      <c r="U129" s="50"/>
      <c r="V129" s="56"/>
      <c r="W129" s="50"/>
      <c r="X129" s="50"/>
      <c r="Y129" s="56"/>
      <c r="Z129" s="56"/>
      <c r="AA129" s="56"/>
      <c r="AB129" s="56"/>
      <c r="AC129" s="56"/>
      <c r="AD129" s="56"/>
    </row>
    <row x14ac:dyDescent="0.25" r="130" customHeight="1" ht="18.75" hidden="1">
      <c r="A130" s="56"/>
      <c r="B130" s="56"/>
      <c r="C130" s="50" t="s">
        <v>27</v>
      </c>
      <c r="D130" s="50"/>
      <c r="E130" s="50"/>
      <c r="F130" s="50" t="s">
        <v>28</v>
      </c>
      <c r="G130" s="51">
        <v>3000000</v>
      </c>
      <c r="H130" s="51"/>
      <c r="I130" s="51"/>
      <c r="J130" s="51">
        <v>300000</v>
      </c>
      <c r="K130" s="51"/>
      <c r="L130" s="52">
        <v>46030</v>
      </c>
      <c r="M130" s="53">
        <v>45999</v>
      </c>
      <c r="N130" s="50" t="s">
        <v>212</v>
      </c>
      <c r="O130" s="50" t="s">
        <v>589</v>
      </c>
      <c r="P130" s="50" t="s">
        <v>28</v>
      </c>
      <c r="Q130" s="55">
        <v>8311252803223</v>
      </c>
      <c r="R130" s="55">
        <v>45196070</v>
      </c>
      <c r="S130" s="53">
        <f>IF(ISNUMBER(M130), EDATE(M130,36)-1, "")</f>
        <v>25569.375</v>
      </c>
      <c r="T130" s="50"/>
      <c r="U130" s="50"/>
      <c r="V130" s="56"/>
      <c r="W130" s="50"/>
      <c r="X130" s="50"/>
      <c r="Y130" s="56"/>
      <c r="Z130" s="56"/>
      <c r="AA130" s="56"/>
      <c r="AB130" s="56"/>
      <c r="AC130" s="56"/>
      <c r="AD130" s="56"/>
    </row>
    <row x14ac:dyDescent="0.25" r="131" customHeight="1" ht="18.75" hidden="1">
      <c r="A131" s="56"/>
      <c r="B131" s="56"/>
      <c r="C131" s="50" t="s">
        <v>16</v>
      </c>
      <c r="D131" s="50"/>
      <c r="E131" s="50"/>
      <c r="F131" s="50" t="s">
        <v>592</v>
      </c>
      <c r="G131" s="55">
        <v>10000000</v>
      </c>
      <c r="H131" s="55"/>
      <c r="I131" s="55"/>
      <c r="J131" s="51">
        <v>800000</v>
      </c>
      <c r="K131" s="51"/>
      <c r="L131" s="52">
        <v>46030</v>
      </c>
      <c r="M131" s="53">
        <v>45969</v>
      </c>
      <c r="N131" s="50" t="s">
        <v>379</v>
      </c>
      <c r="O131" s="50" t="s">
        <v>593</v>
      </c>
      <c r="P131" s="50" t="s">
        <v>592</v>
      </c>
      <c r="Q131" s="55" t="s">
        <v>594</v>
      </c>
      <c r="R131" s="55" t="s">
        <v>595</v>
      </c>
      <c r="S131" s="53">
        <v>47064</v>
      </c>
      <c r="T131" s="50"/>
      <c r="U131" s="50"/>
      <c r="V131" s="56"/>
      <c r="W131" s="50"/>
      <c r="X131" s="50"/>
      <c r="Y131" s="56"/>
      <c r="Z131" s="56"/>
      <c r="AA131" s="56"/>
      <c r="AB131" s="56"/>
      <c r="AC131" s="56"/>
      <c r="AD131" s="56"/>
    </row>
    <row x14ac:dyDescent="0.25" r="132" customHeight="1" ht="18.75" hidden="1">
      <c r="A132" s="56"/>
      <c r="B132" s="56"/>
      <c r="C132" s="50" t="s">
        <v>16</v>
      </c>
      <c r="D132" s="50"/>
      <c r="E132" s="50"/>
      <c r="F132" s="50" t="s">
        <v>596</v>
      </c>
      <c r="G132" s="55">
        <v>10000000</v>
      </c>
      <c r="H132" s="55"/>
      <c r="I132" s="55"/>
      <c r="J132" s="51">
        <v>800000</v>
      </c>
      <c r="K132" s="51"/>
      <c r="L132" s="52">
        <v>46131</v>
      </c>
      <c r="M132" s="53">
        <v>46072</v>
      </c>
      <c r="N132" s="50" t="s">
        <v>306</v>
      </c>
      <c r="O132" s="50" t="s">
        <v>597</v>
      </c>
      <c r="P132" s="50" t="s">
        <v>596</v>
      </c>
      <c r="Q132" s="55" t="s">
        <v>598</v>
      </c>
      <c r="R132" s="55" t="s">
        <v>599</v>
      </c>
      <c r="S132" s="53">
        <v>47167</v>
      </c>
      <c r="T132" s="50" t="s">
        <v>600</v>
      </c>
      <c r="U132" s="50" t="s">
        <v>166</v>
      </c>
      <c r="V132" s="56"/>
      <c r="W132" s="50"/>
      <c r="X132" s="50"/>
      <c r="Y132" s="56"/>
      <c r="Z132" s="56"/>
      <c r="AA132" s="56"/>
      <c r="AB132" s="56"/>
      <c r="AC132" s="56"/>
      <c r="AD132" s="56"/>
    </row>
    <row x14ac:dyDescent="0.25" r="133" customHeight="1" ht="18.75" hidden="1">
      <c r="A133" s="56"/>
      <c r="B133" s="56"/>
      <c r="C133" s="50" t="s">
        <v>113</v>
      </c>
      <c r="D133" s="50"/>
      <c r="E133" s="50"/>
      <c r="F133" s="50" t="s">
        <v>357</v>
      </c>
      <c r="G133" s="55">
        <v>30000000</v>
      </c>
      <c r="H133" s="55"/>
      <c r="I133" s="55"/>
      <c r="J133" s="51">
        <v>1500000</v>
      </c>
      <c r="K133" s="51"/>
      <c r="L133" s="52">
        <v>45593</v>
      </c>
      <c r="M133" s="53">
        <v>45532</v>
      </c>
      <c r="N133" s="50" t="s">
        <v>306</v>
      </c>
      <c r="O133" s="50" t="s">
        <v>601</v>
      </c>
      <c r="P133" s="50" t="s">
        <v>357</v>
      </c>
      <c r="Q133" s="55" t="s">
        <v>602</v>
      </c>
      <c r="R133" s="55" t="s">
        <v>603</v>
      </c>
      <c r="S133" s="53">
        <v>47357</v>
      </c>
      <c r="T133" s="50"/>
      <c r="U133" s="50"/>
      <c r="V133" s="56"/>
      <c r="W133" s="50"/>
      <c r="X133" s="50"/>
      <c r="Y133" s="56"/>
      <c r="Z133" s="56"/>
      <c r="AA133" s="56"/>
      <c r="AB133" s="56"/>
      <c r="AC133" s="56"/>
      <c r="AD133" s="56"/>
    </row>
    <row x14ac:dyDescent="0.25" r="134" customHeight="1" ht="18.75" hidden="1">
      <c r="A134" s="56"/>
      <c r="B134" s="56"/>
      <c r="C134" s="50" t="s">
        <v>16</v>
      </c>
      <c r="D134" s="50"/>
      <c r="E134" s="50"/>
      <c r="F134" s="50" t="s">
        <v>357</v>
      </c>
      <c r="G134" s="55">
        <v>30000000</v>
      </c>
      <c r="H134" s="55"/>
      <c r="I134" s="55"/>
      <c r="J134" s="51">
        <v>2400000</v>
      </c>
      <c r="K134" s="51"/>
      <c r="L134" s="52">
        <v>45898</v>
      </c>
      <c r="M134" s="53">
        <v>45837</v>
      </c>
      <c r="N134" s="50" t="s">
        <v>306</v>
      </c>
      <c r="O134" s="50" t="s">
        <v>601</v>
      </c>
      <c r="P134" s="50" t="s">
        <v>357</v>
      </c>
      <c r="Q134" s="55" t="s">
        <v>602</v>
      </c>
      <c r="R134" s="55" t="s">
        <v>603</v>
      </c>
      <c r="S134" s="53">
        <v>46932</v>
      </c>
      <c r="T134" s="50"/>
      <c r="U134" s="50"/>
      <c r="V134" s="56"/>
      <c r="W134" s="50"/>
      <c r="X134" s="50"/>
      <c r="Y134" s="56"/>
      <c r="Z134" s="56"/>
      <c r="AA134" s="56"/>
      <c r="AB134" s="56"/>
      <c r="AC134" s="56"/>
      <c r="AD134" s="56"/>
    </row>
    <row x14ac:dyDescent="0.25" r="135" customHeight="1" ht="18.75" hidden="1">
      <c r="A135" s="56"/>
      <c r="B135" s="56"/>
      <c r="C135" s="50" t="s">
        <v>16</v>
      </c>
      <c r="D135" s="50"/>
      <c r="E135" s="50"/>
      <c r="F135" s="50" t="s">
        <v>357</v>
      </c>
      <c r="G135" s="55">
        <v>30000000</v>
      </c>
      <c r="H135" s="55"/>
      <c r="I135" s="55"/>
      <c r="J135" s="51">
        <v>2400000</v>
      </c>
      <c r="K135" s="51"/>
      <c r="L135" s="52">
        <v>45909</v>
      </c>
      <c r="M135" s="53">
        <v>45847</v>
      </c>
      <c r="N135" s="50" t="s">
        <v>306</v>
      </c>
      <c r="O135" s="50" t="s">
        <v>601</v>
      </c>
      <c r="P135" s="50" t="s">
        <v>357</v>
      </c>
      <c r="Q135" s="55" t="s">
        <v>602</v>
      </c>
      <c r="R135" s="55" t="s">
        <v>603</v>
      </c>
      <c r="S135" s="53">
        <v>46942</v>
      </c>
      <c r="T135" s="50"/>
      <c r="U135" s="50"/>
      <c r="V135" s="56"/>
      <c r="W135" s="50"/>
      <c r="X135" s="50"/>
      <c r="Y135" s="56"/>
      <c r="Z135" s="56"/>
      <c r="AA135" s="56"/>
      <c r="AB135" s="56"/>
      <c r="AC135" s="56"/>
      <c r="AD135" s="56"/>
    </row>
    <row x14ac:dyDescent="0.25" r="136" customHeight="1" ht="18.75" hidden="1">
      <c r="A136" s="56"/>
      <c r="B136" s="56"/>
      <c r="C136" s="50" t="s">
        <v>16</v>
      </c>
      <c r="D136" s="50"/>
      <c r="E136" s="50"/>
      <c r="F136" s="50" t="s">
        <v>604</v>
      </c>
      <c r="G136" s="55">
        <v>30000000</v>
      </c>
      <c r="H136" s="55"/>
      <c r="I136" s="55"/>
      <c r="J136" s="51">
        <v>2028000</v>
      </c>
      <c r="K136" s="51"/>
      <c r="L136" s="52">
        <v>46044</v>
      </c>
      <c r="M136" s="53">
        <v>45983</v>
      </c>
      <c r="N136" s="50" t="s">
        <v>212</v>
      </c>
      <c r="O136" s="50" t="s">
        <v>605</v>
      </c>
      <c r="P136" s="50" t="s">
        <v>604</v>
      </c>
      <c r="Q136" s="55" t="s">
        <v>606</v>
      </c>
      <c r="R136" s="55" t="s">
        <v>607</v>
      </c>
      <c r="S136" s="53">
        <v>47078</v>
      </c>
      <c r="T136" s="50"/>
      <c r="U136" s="50"/>
      <c r="V136" s="56"/>
      <c r="W136" s="50"/>
      <c r="X136" s="50"/>
      <c r="Y136" s="56"/>
      <c r="Z136" s="56"/>
      <c r="AA136" s="56"/>
      <c r="AB136" s="56"/>
      <c r="AC136" s="56"/>
      <c r="AD136" s="56"/>
    </row>
    <row x14ac:dyDescent="0.25" r="137" customHeight="1" ht="18.75" hidden="1">
      <c r="A137" s="56"/>
      <c r="B137" s="56"/>
      <c r="C137" s="50" t="s">
        <v>16</v>
      </c>
      <c r="D137" s="50" t="s">
        <v>143</v>
      </c>
      <c r="E137" s="50"/>
      <c r="F137" s="50" t="s">
        <v>608</v>
      </c>
      <c r="G137" s="55">
        <v>10000000</v>
      </c>
      <c r="H137" s="55"/>
      <c r="I137" s="55"/>
      <c r="J137" s="51">
        <v>800000</v>
      </c>
      <c r="K137" s="51"/>
      <c r="L137" s="52">
        <v>46146</v>
      </c>
      <c r="M137" s="53">
        <v>46085</v>
      </c>
      <c r="N137" s="50" t="s">
        <v>609</v>
      </c>
      <c r="O137" s="50" t="s">
        <v>610</v>
      </c>
      <c r="P137" s="50" t="s">
        <v>608</v>
      </c>
      <c r="Q137" s="55" t="s">
        <v>611</v>
      </c>
      <c r="R137" s="55" t="s">
        <v>612</v>
      </c>
      <c r="S137" s="53">
        <v>47180</v>
      </c>
      <c r="T137" s="50"/>
      <c r="U137" s="50"/>
      <c r="V137" s="56"/>
      <c r="W137" s="50"/>
      <c r="X137" s="50"/>
      <c r="Y137" s="56"/>
      <c r="Z137" s="56"/>
      <c r="AA137" s="56"/>
      <c r="AB137" s="56"/>
      <c r="AC137" s="56"/>
      <c r="AD137" s="56"/>
    </row>
    <row x14ac:dyDescent="0.25" r="138" customHeight="1" ht="18.75" hidden="1">
      <c r="A138" s="56"/>
      <c r="B138" s="56"/>
      <c r="C138" s="50" t="s">
        <v>16</v>
      </c>
      <c r="D138" s="50"/>
      <c r="E138" s="50" t="s">
        <v>22</v>
      </c>
      <c r="F138" s="50" t="s">
        <v>608</v>
      </c>
      <c r="G138" s="55">
        <v>10000000</v>
      </c>
      <c r="H138" s="55"/>
      <c r="I138" s="55"/>
      <c r="J138" s="51">
        <v>800000</v>
      </c>
      <c r="K138" s="51"/>
      <c r="L138" s="52">
        <v>46146</v>
      </c>
      <c r="M138" s="53">
        <v>46085</v>
      </c>
      <c r="N138" s="50" t="s">
        <v>609</v>
      </c>
      <c r="O138" s="50" t="s">
        <v>610</v>
      </c>
      <c r="P138" s="50" t="s">
        <v>608</v>
      </c>
      <c r="Q138" s="55" t="s">
        <v>611</v>
      </c>
      <c r="R138" s="55" t="s">
        <v>612</v>
      </c>
      <c r="S138" s="53">
        <v>47180</v>
      </c>
      <c r="T138" s="50"/>
      <c r="U138" s="50" t="s">
        <v>166</v>
      </c>
      <c r="V138" s="56"/>
      <c r="W138" s="50"/>
      <c r="X138" s="50"/>
      <c r="Y138" s="56"/>
      <c r="Z138" s="56"/>
      <c r="AA138" s="56"/>
      <c r="AB138" s="56"/>
      <c r="AC138" s="56"/>
      <c r="AD138" s="56"/>
    </row>
    <row x14ac:dyDescent="0.25" r="139" customHeight="1" ht="18.75" hidden="1">
      <c r="A139" s="56"/>
      <c r="B139" s="56"/>
      <c r="C139" s="50" t="s">
        <v>16</v>
      </c>
      <c r="D139" s="50"/>
      <c r="E139" s="50" t="s">
        <v>477</v>
      </c>
      <c r="F139" s="50" t="s">
        <v>613</v>
      </c>
      <c r="G139" s="55">
        <v>10000000</v>
      </c>
      <c r="H139" s="55"/>
      <c r="I139" s="55"/>
      <c r="J139" s="51">
        <v>800000</v>
      </c>
      <c r="K139" s="51"/>
      <c r="L139" s="52">
        <v>46139</v>
      </c>
      <c r="M139" s="53">
        <v>46080</v>
      </c>
      <c r="N139" s="50" t="s">
        <v>282</v>
      </c>
      <c r="O139" s="50" t="s">
        <v>614</v>
      </c>
      <c r="P139" s="50" t="s">
        <v>613</v>
      </c>
      <c r="Q139" s="55" t="s">
        <v>615</v>
      </c>
      <c r="R139" s="55" t="s">
        <v>616</v>
      </c>
      <c r="S139" s="53">
        <v>47175</v>
      </c>
      <c r="T139" s="50" t="s">
        <v>617</v>
      </c>
      <c r="U139" s="50"/>
      <c r="V139" s="56"/>
      <c r="W139" s="50"/>
      <c r="X139" s="50"/>
      <c r="Y139" s="56"/>
      <c r="Z139" s="56"/>
      <c r="AA139" s="56"/>
      <c r="AB139" s="56"/>
      <c r="AC139" s="56"/>
      <c r="AD139" s="56"/>
    </row>
    <row x14ac:dyDescent="0.25" r="140" customHeight="1" ht="18.75" hidden="1">
      <c r="A140" s="56"/>
      <c r="B140" s="56"/>
      <c r="C140" s="50" t="s">
        <v>16</v>
      </c>
      <c r="D140" s="50"/>
      <c r="E140" s="50"/>
      <c r="F140" s="50" t="s">
        <v>618</v>
      </c>
      <c r="G140" s="55">
        <v>10000000</v>
      </c>
      <c r="H140" s="55"/>
      <c r="I140" s="55"/>
      <c r="J140" s="51">
        <v>800000</v>
      </c>
      <c r="K140" s="51"/>
      <c r="L140" s="52">
        <v>46047</v>
      </c>
      <c r="M140" s="53">
        <v>45986</v>
      </c>
      <c r="N140" s="50" t="s">
        <v>217</v>
      </c>
      <c r="O140" s="50" t="s">
        <v>619</v>
      </c>
      <c r="P140" s="50" t="s">
        <v>618</v>
      </c>
      <c r="Q140" s="55" t="s">
        <v>620</v>
      </c>
      <c r="R140" s="55" t="s">
        <v>621</v>
      </c>
      <c r="S140" s="53">
        <v>47081</v>
      </c>
      <c r="T140" s="50"/>
      <c r="U140" s="50"/>
      <c r="V140" s="56"/>
      <c r="W140" s="50"/>
      <c r="X140" s="50"/>
      <c r="Y140" s="56"/>
      <c r="Z140" s="56"/>
      <c r="AA140" s="56"/>
      <c r="AB140" s="56"/>
      <c r="AC140" s="56"/>
      <c r="AD140" s="56"/>
    </row>
    <row x14ac:dyDescent="0.25" r="141" customHeight="1" ht="18.75" hidden="1">
      <c r="A141" s="56"/>
      <c r="B141" s="56"/>
      <c r="C141" s="50" t="s">
        <v>16</v>
      </c>
      <c r="D141" s="50"/>
      <c r="E141" s="50"/>
      <c r="F141" s="50" t="s">
        <v>622</v>
      </c>
      <c r="G141" s="55">
        <v>10000000</v>
      </c>
      <c r="H141" s="55"/>
      <c r="I141" s="55"/>
      <c r="J141" s="51">
        <v>800000</v>
      </c>
      <c r="K141" s="51"/>
      <c r="L141" s="52">
        <v>46165</v>
      </c>
      <c r="M141" s="53">
        <v>46104</v>
      </c>
      <c r="N141" s="50" t="s">
        <v>168</v>
      </c>
      <c r="O141" s="50" t="s">
        <v>623</v>
      </c>
      <c r="P141" s="50" t="s">
        <v>622</v>
      </c>
      <c r="Q141" s="55" t="s">
        <v>624</v>
      </c>
      <c r="R141" s="55" t="s">
        <v>625</v>
      </c>
      <c r="S141" s="53">
        <v>47199</v>
      </c>
      <c r="T141" s="50" t="s">
        <v>626</v>
      </c>
      <c r="U141" s="50" t="s">
        <v>166</v>
      </c>
      <c r="V141" s="56"/>
      <c r="W141" s="50"/>
      <c r="X141" s="50"/>
      <c r="Y141" s="56"/>
      <c r="Z141" s="56"/>
      <c r="AA141" s="56"/>
      <c r="AB141" s="56"/>
      <c r="AC141" s="56"/>
      <c r="AD141" s="56"/>
    </row>
    <row x14ac:dyDescent="0.25" r="142" customHeight="1" ht="18.75">
      <c r="A142" s="56"/>
      <c r="B142" s="56"/>
      <c r="C142" s="50" t="s">
        <v>16</v>
      </c>
      <c r="D142" s="50"/>
      <c r="E142" s="50"/>
      <c r="F142" s="50" t="s">
        <v>1756</v>
      </c>
      <c r="G142" s="55">
        <v>10000000</v>
      </c>
      <c r="H142" s="55"/>
      <c r="I142" s="55"/>
      <c r="J142" s="51">
        <v>500000</v>
      </c>
      <c r="K142" s="51"/>
      <c r="L142" s="52">
        <v>46180</v>
      </c>
      <c r="M142" s="53">
        <v>46119</v>
      </c>
      <c r="N142" s="50" t="s">
        <v>168</v>
      </c>
      <c r="O142" s="50" t="s">
        <v>1757</v>
      </c>
      <c r="P142" s="50" t="s">
        <v>1756</v>
      </c>
      <c r="Q142" s="55" t="s">
        <v>1758</v>
      </c>
      <c r="R142" s="55" t="s">
        <v>1759</v>
      </c>
      <c r="S142" s="53">
        <v>47214</v>
      </c>
      <c r="T142" s="50" t="s">
        <v>1760</v>
      </c>
      <c r="U142" s="50" t="s">
        <v>166</v>
      </c>
      <c r="V142" s="48" t="s">
        <v>1761</v>
      </c>
      <c r="W142" s="50"/>
      <c r="X142" s="50"/>
      <c r="Y142" s="56"/>
      <c r="Z142" s="56"/>
      <c r="AA142" s="56"/>
      <c r="AB142" s="56"/>
      <c r="AC142" s="56"/>
      <c r="AD142" s="56"/>
    </row>
    <row x14ac:dyDescent="0.25" r="143" customHeight="1" ht="18.75">
      <c r="A143" s="56"/>
      <c r="B143" s="56"/>
      <c r="C143" s="50" t="s">
        <v>16</v>
      </c>
      <c r="D143" s="50"/>
      <c r="E143" s="50"/>
      <c r="F143" s="50" t="s">
        <v>2411</v>
      </c>
      <c r="G143" s="55">
        <v>10000000</v>
      </c>
      <c r="H143" s="55"/>
      <c r="I143" s="55"/>
      <c r="J143" s="51">
        <v>800000</v>
      </c>
      <c r="K143" s="51"/>
      <c r="L143" s="52">
        <v>46180</v>
      </c>
      <c r="M143" s="53">
        <v>46119</v>
      </c>
      <c r="N143" s="50" t="s">
        <v>217</v>
      </c>
      <c r="O143" s="50" t="s">
        <v>2412</v>
      </c>
      <c r="P143" s="50" t="s">
        <v>2411</v>
      </c>
      <c r="Q143" s="55" t="s">
        <v>2413</v>
      </c>
      <c r="R143" s="55" t="s">
        <v>2414</v>
      </c>
      <c r="S143" s="53">
        <v>47214</v>
      </c>
      <c r="T143" s="50" t="s">
        <v>2415</v>
      </c>
      <c r="U143" s="50" t="s">
        <v>166</v>
      </c>
      <c r="V143" s="56"/>
      <c r="W143" s="50"/>
      <c r="X143" s="50"/>
      <c r="Y143" s="56"/>
      <c r="Z143" s="56"/>
      <c r="AA143" s="56"/>
      <c r="AB143" s="56"/>
      <c r="AC143" s="56"/>
      <c r="AD143" s="56"/>
    </row>
    <row x14ac:dyDescent="0.25" r="144" customHeight="1" ht="18.75" hidden="1">
      <c r="A144" s="56"/>
      <c r="B144" s="56"/>
      <c r="C144" s="50" t="s">
        <v>16</v>
      </c>
      <c r="D144" s="50"/>
      <c r="E144" s="50" t="s">
        <v>636</v>
      </c>
      <c r="F144" s="50" t="s">
        <v>637</v>
      </c>
      <c r="G144" s="55">
        <v>10000000</v>
      </c>
      <c r="H144" s="55"/>
      <c r="I144" s="55"/>
      <c r="J144" s="51">
        <v>800000</v>
      </c>
      <c r="K144" s="51"/>
      <c r="L144" s="52">
        <v>46131</v>
      </c>
      <c r="M144" s="53">
        <v>46072</v>
      </c>
      <c r="N144" s="50" t="s">
        <v>282</v>
      </c>
      <c r="O144" s="50" t="s">
        <v>638</v>
      </c>
      <c r="P144" s="50" t="s">
        <v>637</v>
      </c>
      <c r="Q144" s="55" t="s">
        <v>639</v>
      </c>
      <c r="R144" s="55" t="s">
        <v>640</v>
      </c>
      <c r="S144" s="53">
        <v>47167</v>
      </c>
      <c r="T144" s="50" t="s">
        <v>641</v>
      </c>
      <c r="U144" s="50" t="s">
        <v>166</v>
      </c>
      <c r="V144" s="56"/>
      <c r="W144" s="50"/>
      <c r="X144" s="50"/>
      <c r="Y144" s="56"/>
      <c r="Z144" s="56"/>
      <c r="AA144" s="56"/>
      <c r="AB144" s="56"/>
      <c r="AC144" s="56"/>
      <c r="AD144" s="56"/>
    </row>
    <row x14ac:dyDescent="0.25" r="145" customHeight="1" ht="18.75" hidden="1">
      <c r="A145" s="63" t="s">
        <v>152</v>
      </c>
      <c r="B145" s="63"/>
      <c r="C145" s="49" t="s">
        <v>16</v>
      </c>
      <c r="D145" s="49" t="s">
        <v>642</v>
      </c>
      <c r="E145" s="49" t="s">
        <v>327</v>
      </c>
      <c r="F145" s="49" t="s">
        <v>643</v>
      </c>
      <c r="G145" s="64">
        <v>10000000</v>
      </c>
      <c r="H145" s="64"/>
      <c r="I145" s="64"/>
      <c r="J145" s="64">
        <v>500000</v>
      </c>
      <c r="K145" s="64"/>
      <c r="L145" s="66">
        <v>45992</v>
      </c>
      <c r="M145" s="67">
        <f>IF(L145&gt;0,EDATE(L145,-2),"")</f>
        <v>25569.375</v>
      </c>
      <c r="N145" s="49" t="s">
        <v>302</v>
      </c>
      <c r="O145" s="49" t="s">
        <v>644</v>
      </c>
      <c r="P145" s="68">
        <f>IF(F145&gt;0,F145,"")</f>
      </c>
      <c r="Q145" s="69" t="s">
        <v>645</v>
      </c>
      <c r="R145" s="69">
        <v>37736437</v>
      </c>
      <c r="S145" s="67">
        <f>IF(M145&gt;0,EDATE(M145,36)-1,"")</f>
        <v>25569.375</v>
      </c>
      <c r="T145" s="49"/>
      <c r="U145" s="49"/>
      <c r="V145" s="63" t="s">
        <v>646</v>
      </c>
      <c r="W145" s="50"/>
      <c r="X145" s="50"/>
      <c r="Y145" s="56"/>
      <c r="Z145" s="56"/>
      <c r="AA145" s="56"/>
      <c r="AB145" s="56"/>
      <c r="AC145" s="56"/>
      <c r="AD145" s="56"/>
    </row>
    <row x14ac:dyDescent="0.25" r="146" customHeight="1" ht="18.75">
      <c r="A146" s="56"/>
      <c r="B146" s="56"/>
      <c r="C146" s="50" t="s">
        <v>16</v>
      </c>
      <c r="D146" s="50" t="s">
        <v>143</v>
      </c>
      <c r="E146" s="50" t="s">
        <v>14</v>
      </c>
      <c r="F146" s="50" t="s">
        <v>2869</v>
      </c>
      <c r="G146" s="55">
        <v>10000000</v>
      </c>
      <c r="H146" s="55"/>
      <c r="I146" s="55"/>
      <c r="J146" s="51">
        <v>800000</v>
      </c>
      <c r="K146" s="51"/>
      <c r="L146" s="52">
        <v>46180</v>
      </c>
      <c r="M146" s="53">
        <v>46119</v>
      </c>
      <c r="N146" s="50" t="s">
        <v>1688</v>
      </c>
      <c r="O146" s="50" t="s">
        <v>2870</v>
      </c>
      <c r="P146" s="50" t="s">
        <v>2869</v>
      </c>
      <c r="Q146" s="55" t="s">
        <v>2871</v>
      </c>
      <c r="R146" s="55" t="s">
        <v>2872</v>
      </c>
      <c r="S146" s="53">
        <v>47214</v>
      </c>
      <c r="T146" s="50" t="s">
        <v>2873</v>
      </c>
      <c r="U146" s="50" t="s">
        <v>166</v>
      </c>
      <c r="V146" s="56" t="s">
        <v>772</v>
      </c>
      <c r="W146" s="50"/>
      <c r="X146" s="50"/>
      <c r="Y146" s="56"/>
      <c r="Z146" s="56"/>
      <c r="AA146" s="56"/>
      <c r="AB146" s="56"/>
      <c r="AC146" s="56"/>
      <c r="AD146" s="56"/>
    </row>
    <row x14ac:dyDescent="0.25" r="147" customHeight="1" ht="18.75">
      <c r="A147" s="56"/>
      <c r="B147" s="56"/>
      <c r="C147" s="50" t="s">
        <v>16</v>
      </c>
      <c r="D147" s="50"/>
      <c r="E147" s="50"/>
      <c r="F147" s="50" t="s">
        <v>2908</v>
      </c>
      <c r="G147" s="55">
        <v>10000000</v>
      </c>
      <c r="H147" s="55"/>
      <c r="I147" s="55"/>
      <c r="J147" s="51">
        <v>800000</v>
      </c>
      <c r="K147" s="51"/>
      <c r="L147" s="52">
        <v>46180</v>
      </c>
      <c r="M147" s="53">
        <v>46119</v>
      </c>
      <c r="N147" s="50"/>
      <c r="O147" s="50" t="s">
        <v>2909</v>
      </c>
      <c r="P147" s="50" t="s">
        <v>2908</v>
      </c>
      <c r="Q147" s="55" t="s">
        <v>2910</v>
      </c>
      <c r="R147" s="55" t="s">
        <v>2911</v>
      </c>
      <c r="S147" s="53">
        <v>47214</v>
      </c>
      <c r="T147" s="50" t="s">
        <v>2912</v>
      </c>
      <c r="U147" s="50" t="s">
        <v>166</v>
      </c>
      <c r="V147" s="48" t="s">
        <v>656</v>
      </c>
      <c r="W147" s="50"/>
      <c r="X147" s="50"/>
      <c r="Y147" s="56"/>
      <c r="Z147" s="56"/>
      <c r="AA147" s="56"/>
      <c r="AB147" s="56"/>
      <c r="AC147" s="56"/>
      <c r="AD147" s="56"/>
    </row>
    <row x14ac:dyDescent="0.25" r="148" customHeight="1" ht="18.75">
      <c r="A148" s="56"/>
      <c r="B148" s="56"/>
      <c r="C148" s="50" t="s">
        <v>16</v>
      </c>
      <c r="D148" s="50"/>
      <c r="E148" s="50" t="s">
        <v>720</v>
      </c>
      <c r="F148" s="50" t="s">
        <v>721</v>
      </c>
      <c r="G148" s="55">
        <v>10000000</v>
      </c>
      <c r="H148" s="55"/>
      <c r="I148" s="55"/>
      <c r="J148" s="51">
        <v>500000</v>
      </c>
      <c r="K148" s="51"/>
      <c r="L148" s="52">
        <v>46181</v>
      </c>
      <c r="M148" s="53">
        <v>46120</v>
      </c>
      <c r="N148" s="50" t="s">
        <v>168</v>
      </c>
      <c r="O148" s="50" t="s">
        <v>722</v>
      </c>
      <c r="P148" s="50" t="s">
        <v>721</v>
      </c>
      <c r="Q148" s="55" t="s">
        <v>723</v>
      </c>
      <c r="R148" s="55" t="s">
        <v>724</v>
      </c>
      <c r="S148" s="53">
        <v>47215</v>
      </c>
      <c r="T148" s="50" t="s">
        <v>725</v>
      </c>
      <c r="U148" s="50" t="s">
        <v>166</v>
      </c>
      <c r="V148" s="56"/>
      <c r="W148" s="50"/>
      <c r="X148" s="50"/>
      <c r="Y148" s="56"/>
      <c r="Z148" s="56"/>
      <c r="AA148" s="56"/>
      <c r="AB148" s="56"/>
      <c r="AC148" s="56"/>
      <c r="AD148" s="56"/>
    </row>
    <row x14ac:dyDescent="0.25" r="149" customHeight="1" ht="18.75">
      <c r="A149" s="48" t="s">
        <v>3232</v>
      </c>
      <c r="B149" s="62"/>
      <c r="C149" s="50" t="s">
        <v>16</v>
      </c>
      <c r="D149" s="50" t="s">
        <v>143</v>
      </c>
      <c r="E149" s="50" t="s">
        <v>2259</v>
      </c>
      <c r="F149" s="50" t="s">
        <v>481</v>
      </c>
      <c r="G149" s="55">
        <v>60000000</v>
      </c>
      <c r="H149" s="55"/>
      <c r="I149" s="55"/>
      <c r="J149" s="51">
        <v>800000</v>
      </c>
      <c r="K149" s="51"/>
      <c r="L149" s="52">
        <v>46181</v>
      </c>
      <c r="M149" s="53">
        <v>46120</v>
      </c>
      <c r="N149" s="50" t="s">
        <v>168</v>
      </c>
      <c r="O149" s="50" t="s">
        <v>2003</v>
      </c>
      <c r="P149" s="50" t="s">
        <v>481</v>
      </c>
      <c r="Q149" s="55" t="s">
        <v>2004</v>
      </c>
      <c r="R149" s="55" t="s">
        <v>3257</v>
      </c>
      <c r="S149" s="53">
        <v>47215</v>
      </c>
      <c r="T149" s="50"/>
      <c r="U149" s="50" t="s">
        <v>166</v>
      </c>
      <c r="V149" s="48" t="s">
        <v>3258</v>
      </c>
      <c r="W149" s="50"/>
      <c r="X149" s="50"/>
      <c r="Y149" s="56"/>
      <c r="Z149" s="56"/>
      <c r="AA149" s="56"/>
      <c r="AB149" s="56"/>
      <c r="AC149" s="56"/>
      <c r="AD149" s="56"/>
    </row>
    <row x14ac:dyDescent="0.25" r="150" customHeight="1" ht="18.75" hidden="1">
      <c r="A150" s="56"/>
      <c r="B150" s="56"/>
      <c r="C150" s="50" t="s">
        <v>16</v>
      </c>
      <c r="D150" s="50"/>
      <c r="E150" s="50"/>
      <c r="F150" s="50" t="s">
        <v>661</v>
      </c>
      <c r="G150" s="55">
        <v>10000000</v>
      </c>
      <c r="H150" s="55"/>
      <c r="I150" s="55"/>
      <c r="J150" s="51">
        <v>800000</v>
      </c>
      <c r="K150" s="51"/>
      <c r="L150" s="52">
        <v>46152</v>
      </c>
      <c r="M150" s="53">
        <v>46091</v>
      </c>
      <c r="N150" s="50" t="s">
        <v>239</v>
      </c>
      <c r="O150" s="50" t="s">
        <v>662</v>
      </c>
      <c r="P150" s="50" t="s">
        <v>661</v>
      </c>
      <c r="Q150" s="55" t="s">
        <v>663</v>
      </c>
      <c r="R150" s="55" t="s">
        <v>664</v>
      </c>
      <c r="S150" s="53">
        <v>47186</v>
      </c>
      <c r="T150" s="50"/>
      <c r="U150" s="50" t="s">
        <v>166</v>
      </c>
      <c r="V150" s="48" t="s">
        <v>83</v>
      </c>
      <c r="W150" s="50"/>
      <c r="X150" s="50"/>
      <c r="Y150" s="56"/>
      <c r="Z150" s="56"/>
      <c r="AA150" s="56"/>
      <c r="AB150" s="56"/>
      <c r="AC150" s="56"/>
      <c r="AD150" s="56"/>
    </row>
    <row x14ac:dyDescent="0.25" r="151" customHeight="1" ht="18.75" hidden="1">
      <c r="A151" s="56"/>
      <c r="B151" s="56"/>
      <c r="C151" s="50" t="s">
        <v>16</v>
      </c>
      <c r="D151" s="50"/>
      <c r="E151" s="50"/>
      <c r="F151" s="50" t="s">
        <v>665</v>
      </c>
      <c r="G151" s="55">
        <v>10000000</v>
      </c>
      <c r="H151" s="55"/>
      <c r="I151" s="55"/>
      <c r="J151" s="51">
        <v>800000</v>
      </c>
      <c r="K151" s="51"/>
      <c r="L151" s="52">
        <v>46100</v>
      </c>
      <c r="M151" s="53">
        <v>46041</v>
      </c>
      <c r="N151" s="50" t="s">
        <v>182</v>
      </c>
      <c r="O151" s="50" t="s">
        <v>666</v>
      </c>
      <c r="P151" s="50" t="s">
        <v>665</v>
      </c>
      <c r="Q151" s="55" t="s">
        <v>667</v>
      </c>
      <c r="R151" s="55" t="s">
        <v>668</v>
      </c>
      <c r="S151" s="53">
        <v>47136</v>
      </c>
      <c r="T151" s="50"/>
      <c r="U151" s="50" t="s">
        <v>166</v>
      </c>
      <c r="V151" s="56"/>
      <c r="W151" s="50"/>
      <c r="X151" s="50"/>
      <c r="Y151" s="56"/>
      <c r="Z151" s="56"/>
      <c r="AA151" s="56"/>
      <c r="AB151" s="56"/>
      <c r="AC151" s="56"/>
      <c r="AD151" s="56"/>
    </row>
    <row x14ac:dyDescent="0.25" r="152" customHeight="1" ht="18.75" hidden="1">
      <c r="A152" s="56"/>
      <c r="B152" s="56"/>
      <c r="C152" s="49" t="s">
        <v>16</v>
      </c>
      <c r="D152" s="50"/>
      <c r="E152" s="50"/>
      <c r="F152" s="50" t="s">
        <v>669</v>
      </c>
      <c r="G152" s="51">
        <v>30000000</v>
      </c>
      <c r="H152" s="51"/>
      <c r="I152" s="51"/>
      <c r="J152" s="51">
        <v>2400000</v>
      </c>
      <c r="K152" s="51"/>
      <c r="L152" s="52">
        <v>45840</v>
      </c>
      <c r="M152" s="53">
        <f>IF(L152&gt;0,EDATE(L152,-2),"")</f>
        <v>25569.375</v>
      </c>
      <c r="N152" s="50" t="s">
        <v>212</v>
      </c>
      <c r="O152" s="50" t="s">
        <v>670</v>
      </c>
      <c r="P152" s="54">
        <f>IF(F152&gt;0,F152,"")</f>
      </c>
      <c r="Q152" s="55" t="s">
        <v>671</v>
      </c>
      <c r="R152" s="55">
        <v>55325621</v>
      </c>
      <c r="S152" s="53">
        <f>IF(ISNUMBER(M152), EDATE(M152,36)-1, "")</f>
        <v>25569.375</v>
      </c>
      <c r="T152" s="50"/>
      <c r="U152" s="50"/>
      <c r="V152" s="56"/>
      <c r="W152" s="50"/>
      <c r="X152" s="50"/>
      <c r="Y152" s="56"/>
      <c r="Z152" s="56"/>
      <c r="AA152" s="56"/>
      <c r="AB152" s="56"/>
      <c r="AC152" s="56"/>
      <c r="AD152" s="56"/>
    </row>
    <row x14ac:dyDescent="0.25" r="153" customHeight="1" ht="18.75" hidden="1">
      <c r="A153" s="56"/>
      <c r="B153" s="56"/>
      <c r="C153" s="50" t="s">
        <v>16</v>
      </c>
      <c r="D153" s="50"/>
      <c r="E153" s="50"/>
      <c r="F153" s="50" t="s">
        <v>672</v>
      </c>
      <c r="G153" s="55">
        <v>30000000</v>
      </c>
      <c r="H153" s="55"/>
      <c r="I153" s="55"/>
      <c r="J153" s="51">
        <v>2400000</v>
      </c>
      <c r="K153" s="51"/>
      <c r="L153" s="52">
        <v>45869</v>
      </c>
      <c r="M153" s="53">
        <v>45805</v>
      </c>
      <c r="N153" s="50" t="s">
        <v>212</v>
      </c>
      <c r="O153" s="50" t="s">
        <v>673</v>
      </c>
      <c r="P153" s="50" t="s">
        <v>672</v>
      </c>
      <c r="Q153" s="55" t="s">
        <v>674</v>
      </c>
      <c r="R153" s="55" t="s">
        <v>675</v>
      </c>
      <c r="S153" s="53">
        <v>46903</v>
      </c>
      <c r="T153" s="50"/>
      <c r="U153" s="50"/>
      <c r="V153" s="56"/>
      <c r="W153" s="50"/>
      <c r="X153" s="50"/>
      <c r="Y153" s="56"/>
      <c r="Z153" s="56"/>
      <c r="AA153" s="56"/>
      <c r="AB153" s="56"/>
      <c r="AC153" s="56"/>
      <c r="AD153" s="56"/>
    </row>
    <row x14ac:dyDescent="0.25" r="154" customHeight="1" ht="18.75">
      <c r="A154" s="56"/>
      <c r="B154" s="56"/>
      <c r="C154" s="50" t="s">
        <v>16</v>
      </c>
      <c r="D154" s="50"/>
      <c r="E154" s="50" t="s">
        <v>2259</v>
      </c>
      <c r="F154" s="50" t="s">
        <v>481</v>
      </c>
      <c r="G154" s="55">
        <v>60000000</v>
      </c>
      <c r="H154" s="55"/>
      <c r="I154" s="55"/>
      <c r="J154" s="51">
        <v>800000</v>
      </c>
      <c r="K154" s="51"/>
      <c r="L154" s="52">
        <v>46181</v>
      </c>
      <c r="M154" s="53">
        <v>46120</v>
      </c>
      <c r="N154" s="50" t="s">
        <v>168</v>
      </c>
      <c r="O154" s="50" t="s">
        <v>2003</v>
      </c>
      <c r="P154" s="50" t="s">
        <v>481</v>
      </c>
      <c r="Q154" s="55" t="s">
        <v>2004</v>
      </c>
      <c r="R154" s="55" t="s">
        <v>3257</v>
      </c>
      <c r="S154" s="53">
        <v>47215</v>
      </c>
      <c r="T154" s="50" t="s">
        <v>3259</v>
      </c>
      <c r="U154" s="50" t="s">
        <v>166</v>
      </c>
      <c r="V154" s="48" t="s">
        <v>3260</v>
      </c>
      <c r="W154" s="50"/>
      <c r="X154" s="50"/>
      <c r="Y154" s="56"/>
      <c r="Z154" s="56"/>
      <c r="AA154" s="56"/>
      <c r="AB154" s="56"/>
      <c r="AC154" s="56"/>
      <c r="AD154" s="56"/>
    </row>
    <row x14ac:dyDescent="0.25" r="155" customHeight="1" ht="18.75" hidden="1">
      <c r="A155" s="56"/>
      <c r="B155" s="56"/>
      <c r="C155" s="50" t="s">
        <v>16</v>
      </c>
      <c r="D155" s="50"/>
      <c r="E155" s="50"/>
      <c r="F155" s="50" t="s">
        <v>681</v>
      </c>
      <c r="G155" s="55">
        <v>30000000</v>
      </c>
      <c r="H155" s="55"/>
      <c r="I155" s="55"/>
      <c r="J155" s="51">
        <v>2028000</v>
      </c>
      <c r="K155" s="51"/>
      <c r="L155" s="52">
        <v>46032</v>
      </c>
      <c r="M155" s="53">
        <v>45971</v>
      </c>
      <c r="N155" s="50" t="s">
        <v>239</v>
      </c>
      <c r="O155" s="50" t="s">
        <v>682</v>
      </c>
      <c r="P155" s="50" t="s">
        <v>681</v>
      </c>
      <c r="Q155" s="55" t="s">
        <v>683</v>
      </c>
      <c r="R155" s="55" t="s">
        <v>684</v>
      </c>
      <c r="S155" s="53">
        <v>47066</v>
      </c>
      <c r="T155" s="50"/>
      <c r="U155" s="50"/>
      <c r="V155" s="56"/>
      <c r="W155" s="50"/>
      <c r="X155" s="50"/>
      <c r="Y155" s="56"/>
      <c r="Z155" s="56"/>
      <c r="AA155" s="56"/>
      <c r="AB155" s="56"/>
      <c r="AC155" s="56"/>
      <c r="AD155" s="56"/>
    </row>
    <row x14ac:dyDescent="0.25" r="156" customHeight="1" ht="18.75">
      <c r="A156" s="63"/>
      <c r="B156" s="63"/>
      <c r="C156" s="49" t="s">
        <v>16</v>
      </c>
      <c r="D156" s="49" t="s">
        <v>143</v>
      </c>
      <c r="E156" s="49" t="s">
        <v>14</v>
      </c>
      <c r="F156" s="49" t="s">
        <v>481</v>
      </c>
      <c r="G156" s="64">
        <v>60000000</v>
      </c>
      <c r="H156" s="64"/>
      <c r="I156" s="64"/>
      <c r="J156" s="64">
        <v>4056000</v>
      </c>
      <c r="K156" s="64"/>
      <c r="L156" s="66">
        <v>46181</v>
      </c>
      <c r="M156" s="67">
        <f>IF(L156&gt;0,EDATE(L156,-2),"")</f>
        <v>25569.375</v>
      </c>
      <c r="N156" s="49" t="s">
        <v>168</v>
      </c>
      <c r="O156" s="49" t="s">
        <v>2003</v>
      </c>
      <c r="P156" s="68">
        <f>IF(F156&gt;0,F156,"")</f>
      </c>
      <c r="Q156" s="69" t="s">
        <v>2004</v>
      </c>
      <c r="R156" s="69">
        <v>37243299</v>
      </c>
      <c r="S156" s="67">
        <f>IF(ISNUMBER(M156), EDATE(M156,36)-1, "")</f>
        <v>25569.375</v>
      </c>
      <c r="T156" s="49"/>
      <c r="U156" s="49"/>
      <c r="V156" s="63"/>
      <c r="W156" s="50"/>
      <c r="X156" s="50"/>
      <c r="Y156" s="56"/>
      <c r="Z156" s="56"/>
      <c r="AA156" s="56"/>
      <c r="AB156" s="56"/>
      <c r="AC156" s="56"/>
      <c r="AD156" s="56"/>
    </row>
    <row x14ac:dyDescent="0.25" r="157" customHeight="1" ht="18.75">
      <c r="A157" s="56"/>
      <c r="B157" s="56"/>
      <c r="C157" s="50" t="s">
        <v>16</v>
      </c>
      <c r="D157" s="50" t="s">
        <v>48</v>
      </c>
      <c r="E157" s="50" t="s">
        <v>1044</v>
      </c>
      <c r="F157" s="50" t="s">
        <v>2219</v>
      </c>
      <c r="G157" s="55">
        <v>10000000</v>
      </c>
      <c r="H157" s="55"/>
      <c r="I157" s="55"/>
      <c r="J157" s="51">
        <v>500000</v>
      </c>
      <c r="K157" s="51"/>
      <c r="L157" s="52">
        <v>46181</v>
      </c>
      <c r="M157" s="53">
        <v>46120</v>
      </c>
      <c r="N157" s="50" t="s">
        <v>205</v>
      </c>
      <c r="O157" s="50" t="s">
        <v>2220</v>
      </c>
      <c r="P157" s="50" t="s">
        <v>2219</v>
      </c>
      <c r="Q157" s="55" t="s">
        <v>2221</v>
      </c>
      <c r="R157" s="55" t="s">
        <v>2222</v>
      </c>
      <c r="S157" s="53">
        <v>47215</v>
      </c>
      <c r="T157" s="50" t="s">
        <v>2223</v>
      </c>
      <c r="U157" s="50" t="s">
        <v>166</v>
      </c>
      <c r="V157" s="50" t="s">
        <v>2224</v>
      </c>
      <c r="W157" s="50"/>
      <c r="X157" s="50"/>
      <c r="Y157" s="56"/>
      <c r="Z157" s="56"/>
      <c r="AA157" s="56"/>
      <c r="AB157" s="56"/>
      <c r="AC157" s="56"/>
      <c r="AD157" s="56"/>
    </row>
    <row x14ac:dyDescent="0.25" r="158" customHeight="1" ht="18.75" hidden="1">
      <c r="A158" s="56"/>
      <c r="B158" s="56"/>
      <c r="C158" s="50" t="s">
        <v>16</v>
      </c>
      <c r="D158" s="50"/>
      <c r="E158" s="50"/>
      <c r="F158" s="50" t="s">
        <v>117</v>
      </c>
      <c r="G158" s="55">
        <v>60000000</v>
      </c>
      <c r="H158" s="55"/>
      <c r="I158" s="55"/>
      <c r="J158" s="51">
        <v>4056000</v>
      </c>
      <c r="K158" s="51"/>
      <c r="L158" s="52">
        <v>45987</v>
      </c>
      <c r="M158" s="53">
        <v>45926</v>
      </c>
      <c r="N158" s="50" t="s">
        <v>306</v>
      </c>
      <c r="O158" s="50" t="s">
        <v>693</v>
      </c>
      <c r="P158" s="50" t="s">
        <v>117</v>
      </c>
      <c r="Q158" s="55" t="s">
        <v>694</v>
      </c>
      <c r="R158" s="55" t="s">
        <v>695</v>
      </c>
      <c r="S158" s="53">
        <v>47021</v>
      </c>
      <c r="T158" s="50"/>
      <c r="U158" s="50"/>
      <c r="V158" s="56"/>
      <c r="W158" s="50"/>
      <c r="X158" s="50"/>
      <c r="Y158" s="56"/>
      <c r="Z158" s="56"/>
      <c r="AA158" s="56"/>
      <c r="AB158" s="56"/>
      <c r="AC158" s="56"/>
      <c r="AD158" s="56"/>
    </row>
    <row x14ac:dyDescent="0.25" r="159" customHeight="1" ht="18.75" hidden="1">
      <c r="A159" s="56"/>
      <c r="B159" s="56"/>
      <c r="C159" s="50" t="s">
        <v>16</v>
      </c>
      <c r="D159" s="50"/>
      <c r="E159" s="50"/>
      <c r="F159" s="50" t="s">
        <v>117</v>
      </c>
      <c r="G159" s="55">
        <v>60000000</v>
      </c>
      <c r="H159" s="55"/>
      <c r="I159" s="55"/>
      <c r="J159" s="51">
        <v>4056000</v>
      </c>
      <c r="K159" s="51"/>
      <c r="L159" s="52">
        <v>46008</v>
      </c>
      <c r="M159" s="53">
        <v>45947</v>
      </c>
      <c r="N159" s="50" t="s">
        <v>570</v>
      </c>
      <c r="O159" s="50" t="s">
        <v>697</v>
      </c>
      <c r="P159" s="50" t="s">
        <v>117</v>
      </c>
      <c r="Q159" s="55" t="s">
        <v>694</v>
      </c>
      <c r="R159" s="55" t="s">
        <v>695</v>
      </c>
      <c r="S159" s="53">
        <v>47042</v>
      </c>
      <c r="T159" s="50"/>
      <c r="U159" s="50"/>
      <c r="V159" s="56"/>
      <c r="W159" s="50"/>
      <c r="X159" s="50"/>
      <c r="Y159" s="56"/>
      <c r="Z159" s="56"/>
      <c r="AA159" s="56"/>
      <c r="AB159" s="56"/>
      <c r="AC159" s="56"/>
      <c r="AD159" s="56"/>
    </row>
    <row x14ac:dyDescent="0.25" r="160" customHeight="1" ht="18.75" hidden="1">
      <c r="A160" s="56"/>
      <c r="B160" s="56"/>
      <c r="C160" s="50" t="s">
        <v>16</v>
      </c>
      <c r="D160" s="50"/>
      <c r="E160" s="50"/>
      <c r="F160" s="50" t="s">
        <v>117</v>
      </c>
      <c r="G160" s="55">
        <v>10000000</v>
      </c>
      <c r="H160" s="55"/>
      <c r="I160" s="55"/>
      <c r="J160" s="51">
        <v>800000</v>
      </c>
      <c r="K160" s="51"/>
      <c r="L160" s="52">
        <v>46081</v>
      </c>
      <c r="M160" s="53">
        <v>46022</v>
      </c>
      <c r="N160" s="50" t="s">
        <v>699</v>
      </c>
      <c r="O160" s="50" t="s">
        <v>700</v>
      </c>
      <c r="P160" s="50" t="s">
        <v>117</v>
      </c>
      <c r="Q160" s="55" t="s">
        <v>701</v>
      </c>
      <c r="R160" s="55" t="s">
        <v>702</v>
      </c>
      <c r="S160" s="53">
        <v>47117</v>
      </c>
      <c r="T160" s="50"/>
      <c r="U160" s="50"/>
      <c r="V160" s="56"/>
      <c r="W160" s="50"/>
      <c r="X160" s="50"/>
      <c r="Y160" s="56"/>
      <c r="Z160" s="56"/>
      <c r="AA160" s="56"/>
      <c r="AB160" s="56"/>
      <c r="AC160" s="56"/>
      <c r="AD160" s="56"/>
    </row>
    <row x14ac:dyDescent="0.25" r="161" customHeight="1" ht="18.75" hidden="1">
      <c r="A161" s="63" t="s">
        <v>152</v>
      </c>
      <c r="B161" s="63"/>
      <c r="C161" s="49" t="s">
        <v>16</v>
      </c>
      <c r="D161" s="49" t="s">
        <v>80</v>
      </c>
      <c r="E161" s="49" t="s">
        <v>596</v>
      </c>
      <c r="F161" s="49" t="s">
        <v>117</v>
      </c>
      <c r="G161" s="64">
        <v>10000000</v>
      </c>
      <c r="H161" s="64"/>
      <c r="I161" s="64"/>
      <c r="J161" s="65">
        <f>IF(G161&gt;0,_xludf.IFS(G161=10000000,800000,G161=20000000,1528000,G161=30000000,2028000,G161=60000000,4056000),"")</f>
      </c>
      <c r="K161" s="64"/>
      <c r="L161" s="66">
        <v>46130</v>
      </c>
      <c r="M161" s="67">
        <f>IF(L161&gt;0,EDATE(L161,-2),"")</f>
        <v>25569.375</v>
      </c>
      <c r="N161" s="49" t="s">
        <v>217</v>
      </c>
      <c r="O161" s="49" t="s">
        <v>704</v>
      </c>
      <c r="P161" s="68">
        <f>IF(F161&gt;0,F161,"")</f>
      </c>
      <c r="Q161" s="69" t="s">
        <v>705</v>
      </c>
      <c r="R161" s="69">
        <v>94914154</v>
      </c>
      <c r="S161" s="67">
        <f>IF(ISNUMBER(M161), EDATE(M161,36)-1, "")</f>
        <v>25569.375</v>
      </c>
      <c r="T161" s="49"/>
      <c r="U161" s="49"/>
      <c r="V161" s="63" t="s">
        <v>707</v>
      </c>
      <c r="W161" s="50"/>
      <c r="X161" s="50"/>
      <c r="Y161" s="56"/>
      <c r="Z161" s="56"/>
      <c r="AA161" s="56"/>
      <c r="AB161" s="56"/>
      <c r="AC161" s="56"/>
      <c r="AD161" s="56"/>
    </row>
    <row x14ac:dyDescent="0.25" r="162" customHeight="1" ht="18.75">
      <c r="A162" s="56"/>
      <c r="B162" s="56"/>
      <c r="C162" s="50" t="s">
        <v>16</v>
      </c>
      <c r="D162" s="50"/>
      <c r="E162" s="50" t="s">
        <v>2384</v>
      </c>
      <c r="F162" s="50" t="s">
        <v>56</v>
      </c>
      <c r="G162" s="55">
        <v>10000000</v>
      </c>
      <c r="H162" s="55"/>
      <c r="I162" s="55"/>
      <c r="J162" s="51">
        <v>800000</v>
      </c>
      <c r="K162" s="51"/>
      <c r="L162" s="52">
        <v>46181</v>
      </c>
      <c r="M162" s="53">
        <v>46120</v>
      </c>
      <c r="N162" s="50" t="s">
        <v>168</v>
      </c>
      <c r="O162" s="50" t="s">
        <v>2385</v>
      </c>
      <c r="P162" s="50" t="s">
        <v>56</v>
      </c>
      <c r="Q162" s="55" t="s">
        <v>2386</v>
      </c>
      <c r="R162" s="55" t="s">
        <v>2387</v>
      </c>
      <c r="S162" s="53">
        <v>47215</v>
      </c>
      <c r="T162" s="50" t="s">
        <v>2388</v>
      </c>
      <c r="U162" s="50" t="s">
        <v>166</v>
      </c>
      <c r="V162" s="56"/>
      <c r="W162" s="50"/>
      <c r="X162" s="50"/>
      <c r="Y162" s="56"/>
      <c r="Z162" s="56"/>
      <c r="AA162" s="56"/>
      <c r="AB162" s="56"/>
      <c r="AC162" s="56"/>
      <c r="AD162" s="56"/>
    </row>
    <row x14ac:dyDescent="0.25" r="163" customHeight="1" ht="18.75">
      <c r="A163" s="71"/>
      <c r="B163" s="71"/>
      <c r="C163" s="72" t="s">
        <v>16</v>
      </c>
      <c r="D163" s="72"/>
      <c r="E163" s="72"/>
      <c r="F163" s="72" t="s">
        <v>2892</v>
      </c>
      <c r="G163" s="73">
        <v>10000000</v>
      </c>
      <c r="H163" s="73"/>
      <c r="I163" s="73"/>
      <c r="J163" s="74"/>
      <c r="K163" s="74"/>
      <c r="L163" s="75">
        <v>46181</v>
      </c>
      <c r="M163" s="76">
        <v>46120</v>
      </c>
      <c r="N163" s="72" t="s">
        <v>161</v>
      </c>
      <c r="O163" s="72" t="s">
        <v>2893</v>
      </c>
      <c r="P163" s="72" t="s">
        <v>2892</v>
      </c>
      <c r="Q163" s="73" t="s">
        <v>2894</v>
      </c>
      <c r="R163" s="73" t="s">
        <v>2895</v>
      </c>
      <c r="S163" s="76">
        <v>47215</v>
      </c>
      <c r="T163" s="72"/>
      <c r="U163" s="72" t="s">
        <v>166</v>
      </c>
      <c r="V163" s="71"/>
      <c r="W163" s="50"/>
      <c r="X163" s="50"/>
      <c r="Y163" s="56"/>
      <c r="Z163" s="56"/>
      <c r="AA163" s="56"/>
      <c r="AB163" s="56"/>
      <c r="AC163" s="56"/>
      <c r="AD163" s="56"/>
    </row>
    <row x14ac:dyDescent="0.25" r="164" customHeight="1" ht="18.75" hidden="1">
      <c r="A164" s="56"/>
      <c r="B164" s="56"/>
      <c r="C164" s="50" t="s">
        <v>16</v>
      </c>
      <c r="D164" s="50"/>
      <c r="E164" s="50"/>
      <c r="F164" s="50" t="s">
        <v>710</v>
      </c>
      <c r="G164" s="55">
        <v>10000000</v>
      </c>
      <c r="H164" s="55"/>
      <c r="I164" s="55"/>
      <c r="J164" s="51">
        <v>800000</v>
      </c>
      <c r="K164" s="51"/>
      <c r="L164" s="52">
        <v>46166</v>
      </c>
      <c r="M164" s="53">
        <v>46105</v>
      </c>
      <c r="N164" s="50" t="s">
        <v>205</v>
      </c>
      <c r="O164" s="50" t="s">
        <v>711</v>
      </c>
      <c r="P164" s="50" t="s">
        <v>710</v>
      </c>
      <c r="Q164" s="55" t="s">
        <v>712</v>
      </c>
      <c r="R164" s="55" t="s">
        <v>713</v>
      </c>
      <c r="S164" s="53">
        <v>47200</v>
      </c>
      <c r="T164" s="50" t="s">
        <v>714</v>
      </c>
      <c r="U164" s="50" t="s">
        <v>166</v>
      </c>
      <c r="V164" s="56" t="s">
        <v>1856</v>
      </c>
      <c r="W164" s="50"/>
      <c r="X164" s="50"/>
      <c r="Y164" s="56"/>
      <c r="Z164" s="56"/>
      <c r="AA164" s="56"/>
      <c r="AB164" s="56"/>
      <c r="AC164" s="56"/>
      <c r="AD164" s="56"/>
    </row>
    <row x14ac:dyDescent="0.25" r="165" customHeight="1" ht="18.75" hidden="1">
      <c r="A165" s="48" t="s">
        <v>275</v>
      </c>
      <c r="B165" s="48"/>
      <c r="C165" s="49" t="s">
        <v>16</v>
      </c>
      <c r="D165" s="50"/>
      <c r="E165" s="50"/>
      <c r="F165" s="50" t="s">
        <v>710</v>
      </c>
      <c r="G165" s="51">
        <v>10000000</v>
      </c>
      <c r="H165" s="51"/>
      <c r="I165" s="51"/>
      <c r="J165" s="87">
        <f>IF(G165&gt;0,_xludf.IFS(G165=10000000,800000,G165=20000000,1528000,G165=30000000,2028000,G165=60000000,4056000),"")</f>
      </c>
      <c r="K165" s="51"/>
      <c r="L165" s="52">
        <v>46166</v>
      </c>
      <c r="M165" s="53">
        <f>IF(L165&gt;0,EDATE(L165,-2),"")</f>
        <v>25569.375</v>
      </c>
      <c r="N165" s="50" t="s">
        <v>205</v>
      </c>
      <c r="O165" s="50" t="s">
        <v>711</v>
      </c>
      <c r="P165" s="50" t="s">
        <v>2156</v>
      </c>
      <c r="Q165" s="55" t="s">
        <v>712</v>
      </c>
      <c r="R165" s="55">
        <v>52226307</v>
      </c>
      <c r="S165" s="53">
        <f>IF(ISNUMBER(M165), EDATE(M165,36)-1, "")</f>
        <v>25569.375</v>
      </c>
      <c r="T165" s="50"/>
      <c r="U165" s="50"/>
      <c r="V165" s="48" t="s">
        <v>715</v>
      </c>
      <c r="W165" s="50"/>
      <c r="X165" s="50"/>
      <c r="Y165" s="56"/>
      <c r="Z165" s="56"/>
      <c r="AA165" s="56"/>
      <c r="AB165" s="56"/>
      <c r="AC165" s="56"/>
      <c r="AD165" s="56"/>
    </row>
    <row x14ac:dyDescent="0.25" r="166" customHeight="1" ht="18.75" hidden="1">
      <c r="A166" s="56"/>
      <c r="B166" s="56"/>
      <c r="C166" s="50" t="s">
        <v>16</v>
      </c>
      <c r="D166" s="50"/>
      <c r="E166" s="50"/>
      <c r="F166" s="50" t="s">
        <v>716</v>
      </c>
      <c r="G166" s="55">
        <v>10000000</v>
      </c>
      <c r="H166" s="55"/>
      <c r="I166" s="55"/>
      <c r="J166" s="51">
        <v>800000</v>
      </c>
      <c r="K166" s="51"/>
      <c r="L166" s="52">
        <v>46029</v>
      </c>
      <c r="M166" s="53">
        <v>45968</v>
      </c>
      <c r="N166" s="50" t="s">
        <v>306</v>
      </c>
      <c r="O166" s="50" t="s">
        <v>717</v>
      </c>
      <c r="P166" s="50" t="s">
        <v>716</v>
      </c>
      <c r="Q166" s="55" t="s">
        <v>718</v>
      </c>
      <c r="R166" s="55" t="s">
        <v>719</v>
      </c>
      <c r="S166" s="53">
        <v>47063</v>
      </c>
      <c r="T166" s="50"/>
      <c r="U166" s="50"/>
      <c r="V166" s="56"/>
      <c r="W166" s="50"/>
      <c r="X166" s="50"/>
      <c r="Y166" s="56"/>
      <c r="Z166" s="56"/>
      <c r="AA166" s="56"/>
      <c r="AB166" s="56"/>
      <c r="AC166" s="56"/>
      <c r="AD166" s="56"/>
    </row>
    <row x14ac:dyDescent="0.25" r="167" customHeight="1" ht="18.75">
      <c r="A167" s="48" t="s">
        <v>152</v>
      </c>
      <c r="B167" s="62"/>
      <c r="C167" s="50" t="s">
        <v>16</v>
      </c>
      <c r="D167" s="50" t="s">
        <v>900</v>
      </c>
      <c r="E167" s="50" t="s">
        <v>1393</v>
      </c>
      <c r="F167" s="50" t="s">
        <v>3087</v>
      </c>
      <c r="G167" s="51">
        <v>20000000</v>
      </c>
      <c r="H167" s="51"/>
      <c r="I167" s="51"/>
      <c r="J167" s="51">
        <v>1528000</v>
      </c>
      <c r="K167" s="51"/>
      <c r="L167" s="52">
        <v>46188</v>
      </c>
      <c r="M167" s="53">
        <v>46120</v>
      </c>
      <c r="N167" s="50" t="s">
        <v>155</v>
      </c>
      <c r="O167" s="50" t="s">
        <v>3088</v>
      </c>
      <c r="P167" s="54">
        <f>IF(F167&gt;0,F167,"")</f>
      </c>
      <c r="Q167" s="55">
        <v>3034169229</v>
      </c>
      <c r="R167" s="55">
        <v>22669229</v>
      </c>
      <c r="S167" s="53">
        <f>IF(ISNUMBER(M167), EDATE(M167,36)-1, "")</f>
        <v>25569.375</v>
      </c>
      <c r="T167" s="50"/>
      <c r="U167" s="50"/>
      <c r="V167" s="56" t="s">
        <v>3089</v>
      </c>
      <c r="W167" s="50"/>
      <c r="X167" s="50"/>
      <c r="Y167" s="56"/>
      <c r="Z167" s="56"/>
      <c r="AA167" s="56"/>
      <c r="AB167" s="56"/>
      <c r="AC167" s="56"/>
      <c r="AD167" s="56"/>
    </row>
    <row x14ac:dyDescent="0.25" r="168" customHeight="1" ht="18.75" hidden="1">
      <c r="A168" s="48" t="s">
        <v>347</v>
      </c>
      <c r="B168" s="48"/>
      <c r="C168" s="50" t="s">
        <v>16</v>
      </c>
      <c r="D168" s="50" t="s">
        <v>55</v>
      </c>
      <c r="E168" s="50" t="s">
        <v>726</v>
      </c>
      <c r="F168" s="50" t="s">
        <v>727</v>
      </c>
      <c r="G168" s="55">
        <v>30000000</v>
      </c>
      <c r="H168" s="55"/>
      <c r="I168" s="55"/>
      <c r="J168" s="51">
        <v>1528000</v>
      </c>
      <c r="K168" s="51"/>
      <c r="L168" s="52">
        <v>46159</v>
      </c>
      <c r="M168" s="53">
        <v>46098</v>
      </c>
      <c r="N168" s="50" t="s">
        <v>161</v>
      </c>
      <c r="O168" s="50" t="s">
        <v>728</v>
      </c>
      <c r="P168" s="50" t="s">
        <v>727</v>
      </c>
      <c r="Q168" s="55" t="s">
        <v>729</v>
      </c>
      <c r="R168" s="55" t="s">
        <v>730</v>
      </c>
      <c r="S168" s="53">
        <v>47193</v>
      </c>
      <c r="T168" s="50"/>
      <c r="U168" s="50" t="s">
        <v>166</v>
      </c>
      <c r="V168" s="56"/>
      <c r="W168" s="50"/>
      <c r="X168" s="50"/>
      <c r="Y168" s="56"/>
      <c r="Z168" s="56"/>
      <c r="AA168" s="56"/>
      <c r="AB168" s="56"/>
      <c r="AC168" s="56"/>
      <c r="AD168" s="56"/>
    </row>
    <row x14ac:dyDescent="0.25" r="169" customHeight="1" ht="18.75">
      <c r="A169" s="71"/>
      <c r="B169" s="71"/>
      <c r="C169" s="72" t="s">
        <v>16</v>
      </c>
      <c r="D169" s="72"/>
      <c r="E169" s="72"/>
      <c r="F169" s="72" t="s">
        <v>801</v>
      </c>
      <c r="G169" s="73">
        <v>10000000</v>
      </c>
      <c r="H169" s="73"/>
      <c r="I169" s="73"/>
      <c r="J169" s="74"/>
      <c r="K169" s="74"/>
      <c r="L169" s="75">
        <v>46182</v>
      </c>
      <c r="M169" s="76">
        <v>46121</v>
      </c>
      <c r="N169" s="72" t="s">
        <v>217</v>
      </c>
      <c r="O169" s="72" t="s">
        <v>802</v>
      </c>
      <c r="P169" s="72" t="s">
        <v>801</v>
      </c>
      <c r="Q169" s="73" t="s">
        <v>803</v>
      </c>
      <c r="R169" s="73" t="s">
        <v>804</v>
      </c>
      <c r="S169" s="76">
        <v>47216</v>
      </c>
      <c r="T169" s="72"/>
      <c r="U169" s="72" t="s">
        <v>166</v>
      </c>
      <c r="V169" s="71"/>
      <c r="W169" s="50"/>
      <c r="X169" s="50"/>
      <c r="Y169" s="56"/>
      <c r="Z169" s="56"/>
      <c r="AA169" s="56"/>
      <c r="AB169" s="56"/>
      <c r="AC169" s="56"/>
      <c r="AD169" s="56"/>
    </row>
    <row x14ac:dyDescent="0.25" r="170" customHeight="1" ht="18.75" hidden="1">
      <c r="A170" s="56"/>
      <c r="B170" s="56"/>
      <c r="C170" s="49" t="s">
        <v>16</v>
      </c>
      <c r="D170" s="50"/>
      <c r="E170" s="50"/>
      <c r="F170" s="50" t="s">
        <v>733</v>
      </c>
      <c r="G170" s="51">
        <v>10000000</v>
      </c>
      <c r="H170" s="51"/>
      <c r="I170" s="51"/>
      <c r="J170" s="87">
        <f>IF(G170&gt;0,_xludf.IFS(G170=10000000,800000,G170=20000000,1528000,G170=30000000,2028000,G170=60000000,4056000),"")</f>
      </c>
      <c r="K170" s="51"/>
      <c r="L170" s="52">
        <v>46081</v>
      </c>
      <c r="M170" s="53">
        <v>46022</v>
      </c>
      <c r="N170" s="50" t="s">
        <v>699</v>
      </c>
      <c r="O170" s="50" t="s">
        <v>734</v>
      </c>
      <c r="P170" s="54">
        <f>IF(F170&gt;0,F170,"")</f>
      </c>
      <c r="Q170" s="55" t="s">
        <v>735</v>
      </c>
      <c r="R170" s="55">
        <v>22213859</v>
      </c>
      <c r="S170" s="53">
        <f>IF(ISNUMBER(M170), EDATE(M170,36)-1, "")</f>
        <v>25569.375</v>
      </c>
      <c r="T170" s="50"/>
      <c r="U170" s="50"/>
      <c r="V170" s="56"/>
      <c r="W170" s="50"/>
      <c r="X170" s="50"/>
      <c r="Y170" s="56"/>
      <c r="Z170" s="56"/>
      <c r="AA170" s="56"/>
      <c r="AB170" s="56"/>
      <c r="AC170" s="56"/>
      <c r="AD170" s="56"/>
    </row>
    <row x14ac:dyDescent="0.25" r="171" customHeight="1" ht="18.75">
      <c r="A171" s="71" t="s">
        <v>800</v>
      </c>
      <c r="B171" s="71"/>
      <c r="C171" s="72" t="s">
        <v>16</v>
      </c>
      <c r="D171" s="72"/>
      <c r="E171" s="72"/>
      <c r="F171" s="72" t="s">
        <v>3261</v>
      </c>
      <c r="G171" s="73">
        <v>10000000</v>
      </c>
      <c r="H171" s="73"/>
      <c r="I171" s="73"/>
      <c r="J171" s="74"/>
      <c r="K171" s="74"/>
      <c r="L171" s="75">
        <v>46182</v>
      </c>
      <c r="M171" s="76">
        <v>46121</v>
      </c>
      <c r="N171" s="72" t="s">
        <v>217</v>
      </c>
      <c r="O171" s="72" t="s">
        <v>802</v>
      </c>
      <c r="P171" s="72" t="s">
        <v>2716</v>
      </c>
      <c r="Q171" s="73" t="s">
        <v>803</v>
      </c>
      <c r="R171" s="73" t="s">
        <v>804</v>
      </c>
      <c r="S171" s="76">
        <v>47216</v>
      </c>
      <c r="T171" s="72" t="s">
        <v>805</v>
      </c>
      <c r="U171" s="72" t="s">
        <v>166</v>
      </c>
      <c r="V171" s="71"/>
      <c r="W171" s="50"/>
      <c r="X171" s="50"/>
      <c r="Y171" s="56"/>
      <c r="Z171" s="56"/>
      <c r="AA171" s="56"/>
      <c r="AB171" s="56"/>
      <c r="AC171" s="56"/>
      <c r="AD171" s="56"/>
    </row>
    <row x14ac:dyDescent="0.25" r="172" customHeight="1" ht="18.75">
      <c r="A172" s="56"/>
      <c r="B172" s="56"/>
      <c r="C172" s="50" t="s">
        <v>16</v>
      </c>
      <c r="D172" s="50" t="s">
        <v>143</v>
      </c>
      <c r="E172" s="50" t="s">
        <v>22</v>
      </c>
      <c r="F172" s="50" t="s">
        <v>1189</v>
      </c>
      <c r="G172" s="55">
        <v>10000000</v>
      </c>
      <c r="H172" s="55"/>
      <c r="I172" s="55"/>
      <c r="J172" s="51">
        <v>800000</v>
      </c>
      <c r="K172" s="51"/>
      <c r="L172" s="52">
        <v>46182</v>
      </c>
      <c r="M172" s="53">
        <v>46121</v>
      </c>
      <c r="N172" s="50" t="s">
        <v>168</v>
      </c>
      <c r="O172" s="50" t="s">
        <v>1190</v>
      </c>
      <c r="P172" s="50" t="s">
        <v>1189</v>
      </c>
      <c r="Q172" s="55" t="s">
        <v>1191</v>
      </c>
      <c r="R172" s="55" t="s">
        <v>1192</v>
      </c>
      <c r="S172" s="53">
        <v>47216</v>
      </c>
      <c r="T172" s="50" t="s">
        <v>1193</v>
      </c>
      <c r="U172" s="50" t="s">
        <v>166</v>
      </c>
      <c r="V172" s="56"/>
      <c r="W172" s="50"/>
      <c r="X172" s="50"/>
      <c r="Y172" s="56"/>
      <c r="Z172" s="56"/>
      <c r="AA172" s="56"/>
      <c r="AB172" s="56"/>
      <c r="AC172" s="56"/>
      <c r="AD172" s="56"/>
    </row>
    <row x14ac:dyDescent="0.25" r="173" customHeight="1" ht="18.75" hidden="1">
      <c r="A173" s="56"/>
      <c r="B173" s="56"/>
      <c r="C173" s="50" t="s">
        <v>16</v>
      </c>
      <c r="D173" s="50"/>
      <c r="E173" s="50"/>
      <c r="F173" s="50" t="s">
        <v>746</v>
      </c>
      <c r="G173" s="55">
        <v>10000000</v>
      </c>
      <c r="H173" s="55"/>
      <c r="I173" s="55"/>
      <c r="J173" s="51">
        <v>800000</v>
      </c>
      <c r="K173" s="51"/>
      <c r="L173" s="52">
        <v>46151</v>
      </c>
      <c r="M173" s="53">
        <v>46090</v>
      </c>
      <c r="N173" s="50" t="s">
        <v>239</v>
      </c>
      <c r="O173" s="50" t="s">
        <v>662</v>
      </c>
      <c r="P173" s="50" t="s">
        <v>746</v>
      </c>
      <c r="Q173" s="55" t="s">
        <v>747</v>
      </c>
      <c r="R173" s="55" t="s">
        <v>748</v>
      </c>
      <c r="S173" s="53">
        <v>47185</v>
      </c>
      <c r="T173" s="50"/>
      <c r="U173" s="50" t="s">
        <v>166</v>
      </c>
      <c r="V173" s="56"/>
      <c r="W173" s="50"/>
      <c r="X173" s="50"/>
      <c r="Y173" s="56"/>
      <c r="Z173" s="56"/>
      <c r="AA173" s="56"/>
      <c r="AB173" s="56"/>
      <c r="AC173" s="56"/>
      <c r="AD173" s="56"/>
    </row>
    <row x14ac:dyDescent="0.25" r="174" customHeight="1" ht="18.75" hidden="1">
      <c r="A174" s="63"/>
      <c r="B174" s="63"/>
      <c r="C174" s="49" t="s">
        <v>16</v>
      </c>
      <c r="D174" s="49" t="s">
        <v>153</v>
      </c>
      <c r="E174" s="50" t="s">
        <v>318</v>
      </c>
      <c r="F174" s="49" t="s">
        <v>746</v>
      </c>
      <c r="G174" s="64">
        <v>20000000</v>
      </c>
      <c r="H174" s="64"/>
      <c r="I174" s="64"/>
      <c r="J174" s="65">
        <f>IF(G174&gt;0,_xludf.IFS(G174=10000000,800000,G174=20000000,1528000,G174=30000000,2028000,G174=60000000,4056000),"")</f>
      </c>
      <c r="K174" s="64"/>
      <c r="L174" s="66">
        <v>46152</v>
      </c>
      <c r="M174" s="67">
        <f>IF(L174&gt;0,EDATE(L174,-2),"")</f>
        <v>25569.375</v>
      </c>
      <c r="N174" s="49" t="s">
        <v>239</v>
      </c>
      <c r="O174" s="49" t="s">
        <v>662</v>
      </c>
      <c r="P174" s="68">
        <f>IF(F174&gt;0,F174,"")</f>
      </c>
      <c r="Q174" s="69" t="s">
        <v>747</v>
      </c>
      <c r="R174" s="69">
        <v>84657237</v>
      </c>
      <c r="S174" s="67">
        <f>IF(ISNUMBER(M174), EDATE(M174,36)-1, "")</f>
        <v>25569.375</v>
      </c>
      <c r="T174" s="49"/>
      <c r="U174" s="49"/>
      <c r="V174" s="63" t="s">
        <v>750</v>
      </c>
      <c r="W174" s="50"/>
      <c r="X174" s="50"/>
      <c r="Y174" s="56"/>
      <c r="Z174" s="56"/>
      <c r="AA174" s="56"/>
      <c r="AB174" s="56"/>
      <c r="AC174" s="56"/>
      <c r="AD174" s="56"/>
    </row>
    <row x14ac:dyDescent="0.25" r="175" customHeight="1" ht="18.75" hidden="1">
      <c r="A175" s="56"/>
      <c r="B175" s="56"/>
      <c r="C175" s="50" t="s">
        <v>16</v>
      </c>
      <c r="D175" s="50"/>
      <c r="E175" s="50"/>
      <c r="F175" s="50" t="s">
        <v>751</v>
      </c>
      <c r="G175" s="55">
        <v>30000000</v>
      </c>
      <c r="H175" s="55"/>
      <c r="I175" s="55"/>
      <c r="J175" s="51">
        <v>2028000</v>
      </c>
      <c r="K175" s="51"/>
      <c r="L175" s="52">
        <v>46028</v>
      </c>
      <c r="M175" s="53">
        <v>45967</v>
      </c>
      <c r="N175" s="50" t="s">
        <v>306</v>
      </c>
      <c r="O175" s="50" t="s">
        <v>752</v>
      </c>
      <c r="P175" s="50" t="s">
        <v>3262</v>
      </c>
      <c r="Q175" s="55" t="s">
        <v>753</v>
      </c>
      <c r="R175" s="55" t="s">
        <v>754</v>
      </c>
      <c r="S175" s="53">
        <v>47062</v>
      </c>
      <c r="T175" s="50"/>
      <c r="U175" s="50" t="s">
        <v>293</v>
      </c>
      <c r="V175" s="56"/>
      <c r="W175" s="50"/>
      <c r="X175" s="50"/>
      <c r="Y175" s="56"/>
      <c r="Z175" s="56"/>
      <c r="AA175" s="56"/>
      <c r="AB175" s="56"/>
      <c r="AC175" s="56"/>
      <c r="AD175" s="56"/>
    </row>
    <row x14ac:dyDescent="0.25" r="176" customHeight="1" ht="18.75">
      <c r="A176" s="71" t="s">
        <v>3232</v>
      </c>
      <c r="B176" s="71"/>
      <c r="C176" s="72" t="s">
        <v>16</v>
      </c>
      <c r="D176" s="72"/>
      <c r="E176" s="72"/>
      <c r="F176" s="72" t="s">
        <v>1189</v>
      </c>
      <c r="G176" s="73">
        <v>10000000</v>
      </c>
      <c r="H176" s="73"/>
      <c r="I176" s="73"/>
      <c r="J176" s="74"/>
      <c r="K176" s="74"/>
      <c r="L176" s="75">
        <v>46182</v>
      </c>
      <c r="M176" s="76">
        <v>46121</v>
      </c>
      <c r="N176" s="72" t="s">
        <v>217</v>
      </c>
      <c r="O176" s="72" t="s">
        <v>1194</v>
      </c>
      <c r="P176" s="72" t="s">
        <v>1189</v>
      </c>
      <c r="Q176" s="73" t="s">
        <v>1191</v>
      </c>
      <c r="R176" s="73" t="s">
        <v>1192</v>
      </c>
      <c r="S176" s="76">
        <v>47216</v>
      </c>
      <c r="T176" s="72"/>
      <c r="U176" s="72" t="s">
        <v>166</v>
      </c>
      <c r="V176" s="71"/>
      <c r="W176" s="50"/>
      <c r="X176" s="50"/>
      <c r="Y176" s="56"/>
      <c r="Z176" s="56"/>
      <c r="AA176" s="56"/>
      <c r="AB176" s="56"/>
      <c r="AC176" s="56"/>
      <c r="AD176" s="56"/>
    </row>
    <row x14ac:dyDescent="0.25" r="177" customHeight="1" ht="18.75" hidden="1">
      <c r="A177" s="71"/>
      <c r="B177" s="71"/>
      <c r="C177" s="72" t="s">
        <v>16</v>
      </c>
      <c r="D177" s="72"/>
      <c r="E177" s="72"/>
      <c r="F177" s="72" t="s">
        <v>759</v>
      </c>
      <c r="G177" s="73">
        <v>20000000</v>
      </c>
      <c r="H177" s="73"/>
      <c r="I177" s="73"/>
      <c r="J177" s="88"/>
      <c r="K177" s="88"/>
      <c r="L177" s="75">
        <v>46138</v>
      </c>
      <c r="M177" s="76">
        <v>46079</v>
      </c>
      <c r="N177" s="72" t="s">
        <v>217</v>
      </c>
      <c r="O177" s="72" t="s">
        <v>760</v>
      </c>
      <c r="P177" s="72" t="s">
        <v>759</v>
      </c>
      <c r="Q177" s="73" t="s">
        <v>761</v>
      </c>
      <c r="R177" s="73" t="s">
        <v>762</v>
      </c>
      <c r="S177" s="76">
        <v>47174</v>
      </c>
      <c r="T177" s="72"/>
      <c r="U177" s="72" t="s">
        <v>166</v>
      </c>
      <c r="V177" s="71" t="s">
        <v>70</v>
      </c>
      <c r="W177" s="50"/>
      <c r="X177" s="50"/>
      <c r="Y177" s="56"/>
      <c r="Z177" s="56"/>
      <c r="AA177" s="56"/>
      <c r="AB177" s="56"/>
      <c r="AC177" s="56"/>
      <c r="AD177" s="56"/>
    </row>
    <row x14ac:dyDescent="0.25" r="178" customHeight="1" ht="18.75" hidden="1">
      <c r="A178" s="56"/>
      <c r="B178" s="56"/>
      <c r="C178" s="50" t="s">
        <v>16</v>
      </c>
      <c r="D178" s="50"/>
      <c r="E178" s="50" t="s">
        <v>22</v>
      </c>
      <c r="F178" s="50" t="s">
        <v>759</v>
      </c>
      <c r="G178" s="55">
        <v>60000000</v>
      </c>
      <c r="H178" s="55"/>
      <c r="I178" s="55"/>
      <c r="J178" s="51">
        <v>4056000</v>
      </c>
      <c r="K178" s="51"/>
      <c r="L178" s="52">
        <v>46147</v>
      </c>
      <c r="M178" s="53">
        <v>46086</v>
      </c>
      <c r="N178" s="50" t="s">
        <v>217</v>
      </c>
      <c r="O178" s="50" t="s">
        <v>760</v>
      </c>
      <c r="P178" s="50" t="s">
        <v>759</v>
      </c>
      <c r="Q178" s="55" t="s">
        <v>761</v>
      </c>
      <c r="R178" s="55" t="s">
        <v>762</v>
      </c>
      <c r="S178" s="53">
        <v>47181</v>
      </c>
      <c r="T178" s="50"/>
      <c r="U178" s="50" t="s">
        <v>166</v>
      </c>
      <c r="V178" s="56"/>
      <c r="W178" s="50"/>
      <c r="X178" s="50"/>
      <c r="Y178" s="56"/>
      <c r="Z178" s="56"/>
      <c r="AA178" s="56"/>
      <c r="AB178" s="56"/>
      <c r="AC178" s="56"/>
      <c r="AD178" s="56"/>
    </row>
    <row x14ac:dyDescent="0.25" r="179" customHeight="1" ht="18.75">
      <c r="A179" s="63" t="s">
        <v>252</v>
      </c>
      <c r="B179" s="63"/>
      <c r="C179" s="49" t="s">
        <v>16</v>
      </c>
      <c r="D179" s="49" t="s">
        <v>143</v>
      </c>
      <c r="E179" s="49" t="s">
        <v>22</v>
      </c>
      <c r="F179" s="49" t="s">
        <v>1189</v>
      </c>
      <c r="G179" s="64">
        <v>10000000</v>
      </c>
      <c r="H179" s="64"/>
      <c r="I179" s="64"/>
      <c r="J179" s="65">
        <f>IF(G179&gt;0,_xludf.IFS(G179=10000000,800000,G179=20000000,1528000,G179=30000000,2028000,G179=60000000,4056000),"")</f>
      </c>
      <c r="K179" s="64"/>
      <c r="L179" s="66">
        <v>46182</v>
      </c>
      <c r="M179" s="67">
        <f>IF(L179&gt;0,EDATE(L179,-2),"")</f>
        <v>25569.375</v>
      </c>
      <c r="N179" s="49" t="s">
        <v>217</v>
      </c>
      <c r="O179" s="49" t="s">
        <v>1194</v>
      </c>
      <c r="P179" s="49" t="s">
        <v>3263</v>
      </c>
      <c r="Q179" s="69" t="s">
        <v>1191</v>
      </c>
      <c r="R179" s="69">
        <v>86341255</v>
      </c>
      <c r="S179" s="67">
        <f>IF(ISNUMBER(M179), EDATE(M179,36)-1, "")</f>
        <v>25569.375</v>
      </c>
      <c r="T179" s="49"/>
      <c r="U179" s="49"/>
      <c r="V179" s="63"/>
      <c r="W179" s="50"/>
      <c r="X179" s="50"/>
      <c r="Y179" s="56"/>
      <c r="Z179" s="56"/>
      <c r="AA179" s="56"/>
      <c r="AB179" s="56"/>
      <c r="AC179" s="56"/>
      <c r="AD179" s="56"/>
    </row>
    <row x14ac:dyDescent="0.25" r="180" customHeight="1" ht="18.75">
      <c r="A180" s="56"/>
      <c r="B180" s="56"/>
      <c r="C180" s="50" t="s">
        <v>16</v>
      </c>
      <c r="D180" s="50"/>
      <c r="E180" s="50" t="s">
        <v>22</v>
      </c>
      <c r="F180" s="50" t="s">
        <v>1669</v>
      </c>
      <c r="G180" s="55">
        <v>10000000</v>
      </c>
      <c r="H180" s="55"/>
      <c r="I180" s="55"/>
      <c r="J180" s="51">
        <v>800000</v>
      </c>
      <c r="K180" s="51"/>
      <c r="L180" s="52">
        <v>46182</v>
      </c>
      <c r="M180" s="53">
        <v>46121</v>
      </c>
      <c r="N180" s="50" t="s">
        <v>217</v>
      </c>
      <c r="O180" s="50" t="s">
        <v>1670</v>
      </c>
      <c r="P180" s="50" t="s">
        <v>1669</v>
      </c>
      <c r="Q180" s="55" t="s">
        <v>1671</v>
      </c>
      <c r="R180" s="55" t="s">
        <v>1672</v>
      </c>
      <c r="S180" s="53">
        <v>47216</v>
      </c>
      <c r="T180" s="50" t="s">
        <v>1673</v>
      </c>
      <c r="U180" s="50" t="s">
        <v>166</v>
      </c>
      <c r="V180" s="56"/>
      <c r="W180" s="50"/>
      <c r="X180" s="50"/>
      <c r="Y180" s="56"/>
      <c r="Z180" s="56"/>
      <c r="AA180" s="56"/>
      <c r="AB180" s="56"/>
      <c r="AC180" s="56"/>
      <c r="AD180" s="56"/>
    </row>
    <row x14ac:dyDescent="0.25" r="181" customHeight="1" ht="18.75" hidden="1">
      <c r="A181" s="63"/>
      <c r="B181" s="63"/>
      <c r="C181" s="49" t="s">
        <v>16</v>
      </c>
      <c r="D181" s="49" t="s">
        <v>454</v>
      </c>
      <c r="E181" s="49" t="s">
        <v>574</v>
      </c>
      <c r="F181" s="49" t="s">
        <v>773</v>
      </c>
      <c r="G181" s="64">
        <v>10000000</v>
      </c>
      <c r="H181" s="64"/>
      <c r="I181" s="64"/>
      <c r="J181" s="64">
        <v>500000</v>
      </c>
      <c r="K181" s="64"/>
      <c r="L181" s="66">
        <v>46147</v>
      </c>
      <c r="M181" s="67">
        <f>IF(L181&gt;0,EDATE(L181,-2),"")</f>
        <v>25569.375</v>
      </c>
      <c r="N181" s="49" t="s">
        <v>155</v>
      </c>
      <c r="O181" s="49" t="s">
        <v>774</v>
      </c>
      <c r="P181" s="68">
        <f>IF(F181&gt;0,F181,"")</f>
      </c>
      <c r="Q181" s="69" t="s">
        <v>775</v>
      </c>
      <c r="R181" s="69">
        <v>72567538</v>
      </c>
      <c r="S181" s="67">
        <f>IF(ISNUMBER(M181), EDATE(M181,36)-1, "")</f>
        <v>25569.375</v>
      </c>
      <c r="T181" s="49"/>
      <c r="U181" s="49"/>
      <c r="V181" s="63"/>
      <c r="W181" s="50"/>
      <c r="X181" s="50"/>
      <c r="Y181" s="56"/>
      <c r="Z181" s="56"/>
      <c r="AA181" s="56"/>
      <c r="AB181" s="56"/>
      <c r="AC181" s="56"/>
      <c r="AD181" s="56"/>
    </row>
    <row x14ac:dyDescent="0.25" r="182" customHeight="1" ht="18.75">
      <c r="A182" s="71"/>
      <c r="B182" s="71"/>
      <c r="C182" s="72" t="s">
        <v>16</v>
      </c>
      <c r="D182" s="72"/>
      <c r="E182" s="72"/>
      <c r="F182" s="72" t="s">
        <v>108</v>
      </c>
      <c r="G182" s="73">
        <v>10000000</v>
      </c>
      <c r="H182" s="73"/>
      <c r="I182" s="73"/>
      <c r="J182" s="74"/>
      <c r="K182" s="74"/>
      <c r="L182" s="75">
        <v>46182</v>
      </c>
      <c r="M182" s="76">
        <v>46121</v>
      </c>
      <c r="N182" s="72" t="s">
        <v>161</v>
      </c>
      <c r="O182" s="72" t="s">
        <v>2393</v>
      </c>
      <c r="P182" s="72" t="s">
        <v>108</v>
      </c>
      <c r="Q182" s="73" t="s">
        <v>2394</v>
      </c>
      <c r="R182" s="73" t="s">
        <v>2395</v>
      </c>
      <c r="S182" s="76">
        <v>47216</v>
      </c>
      <c r="T182" s="72" t="s">
        <v>2396</v>
      </c>
      <c r="U182" s="72" t="s">
        <v>166</v>
      </c>
      <c r="V182" s="71"/>
      <c r="W182" s="50"/>
      <c r="X182" s="50"/>
      <c r="Y182" s="56"/>
      <c r="Z182" s="56"/>
      <c r="AA182" s="56"/>
      <c r="AB182" s="56"/>
      <c r="AC182" s="56"/>
      <c r="AD182" s="56"/>
    </row>
    <row x14ac:dyDescent="0.25" r="183" customHeight="1" ht="18.75" hidden="1">
      <c r="A183" s="56"/>
      <c r="B183" s="56"/>
      <c r="C183" s="50" t="s">
        <v>16</v>
      </c>
      <c r="D183" s="50"/>
      <c r="E183" s="50"/>
      <c r="F183" s="50" t="s">
        <v>781</v>
      </c>
      <c r="G183" s="55">
        <v>30000000</v>
      </c>
      <c r="H183" s="55"/>
      <c r="I183" s="55"/>
      <c r="J183" s="51">
        <v>2400000</v>
      </c>
      <c r="K183" s="51"/>
      <c r="L183" s="52">
        <v>46088</v>
      </c>
      <c r="M183" s="53">
        <v>46022</v>
      </c>
      <c r="N183" s="50" t="s">
        <v>155</v>
      </c>
      <c r="O183" s="50" t="s">
        <v>782</v>
      </c>
      <c r="P183" s="50" t="s">
        <v>781</v>
      </c>
      <c r="Q183" s="55" t="s">
        <v>783</v>
      </c>
      <c r="R183" s="55" t="s">
        <v>784</v>
      </c>
      <c r="S183" s="53">
        <v>46758</v>
      </c>
      <c r="T183" s="50"/>
      <c r="U183" s="50"/>
      <c r="V183" s="56"/>
      <c r="W183" s="50"/>
      <c r="X183" s="50"/>
      <c r="Y183" s="56"/>
      <c r="Z183" s="56"/>
      <c r="AA183" s="56"/>
      <c r="AB183" s="56"/>
      <c r="AC183" s="56"/>
      <c r="AD183" s="56"/>
    </row>
    <row x14ac:dyDescent="0.25" r="184" customHeight="1" ht="18.75" hidden="1">
      <c r="A184" s="56"/>
      <c r="B184" s="56"/>
      <c r="C184" s="50" t="s">
        <v>16</v>
      </c>
      <c r="D184" s="50"/>
      <c r="E184" s="50"/>
      <c r="F184" s="50" t="s">
        <v>785</v>
      </c>
      <c r="G184" s="55">
        <v>30000000</v>
      </c>
      <c r="H184" s="55"/>
      <c r="I184" s="55"/>
      <c r="J184" s="51">
        <v>2028000</v>
      </c>
      <c r="K184" s="51"/>
      <c r="L184" s="52">
        <v>46118</v>
      </c>
      <c r="M184" s="53">
        <v>45969</v>
      </c>
      <c r="N184" s="50" t="s">
        <v>217</v>
      </c>
      <c r="O184" s="50" t="s">
        <v>786</v>
      </c>
      <c r="P184" s="50" t="s">
        <v>785</v>
      </c>
      <c r="Q184" s="55" t="s">
        <v>787</v>
      </c>
      <c r="R184" s="55" t="s">
        <v>788</v>
      </c>
      <c r="S184" s="53">
        <v>47064</v>
      </c>
      <c r="T184" s="50"/>
      <c r="U184" s="50"/>
      <c r="V184" s="56"/>
      <c r="W184" s="50"/>
      <c r="X184" s="50"/>
      <c r="Y184" s="56"/>
      <c r="Z184" s="56"/>
      <c r="AA184" s="56"/>
      <c r="AB184" s="56"/>
      <c r="AC184" s="56"/>
      <c r="AD184" s="56"/>
    </row>
    <row x14ac:dyDescent="0.25" r="185" customHeight="1" ht="18.75" hidden="1">
      <c r="A185" s="48" t="s">
        <v>152</v>
      </c>
      <c r="B185" s="48"/>
      <c r="C185" s="50" t="s">
        <v>16</v>
      </c>
      <c r="D185" s="50"/>
      <c r="E185" s="50"/>
      <c r="F185" s="50" t="s">
        <v>574</v>
      </c>
      <c r="G185" s="55">
        <v>30000000</v>
      </c>
      <c r="H185" s="55"/>
      <c r="I185" s="55"/>
      <c r="J185" s="51">
        <v>2028000</v>
      </c>
      <c r="K185" s="51"/>
      <c r="L185" s="52">
        <v>46076</v>
      </c>
      <c r="M185" s="53">
        <v>46014</v>
      </c>
      <c r="N185" s="50" t="s">
        <v>155</v>
      </c>
      <c r="O185" s="50" t="s">
        <v>789</v>
      </c>
      <c r="P185" s="50" t="s">
        <v>574</v>
      </c>
      <c r="Q185" s="55" t="s">
        <v>790</v>
      </c>
      <c r="R185" s="55" t="s">
        <v>791</v>
      </c>
      <c r="S185" s="53">
        <v>47109</v>
      </c>
      <c r="T185" s="50"/>
      <c r="U185" s="50"/>
      <c r="V185" s="48" t="s">
        <v>792</v>
      </c>
      <c r="W185" s="50"/>
      <c r="X185" s="50"/>
      <c r="Y185" s="56"/>
      <c r="Z185" s="56"/>
      <c r="AA185" s="56"/>
      <c r="AB185" s="56"/>
      <c r="AC185" s="56"/>
      <c r="AD185" s="56"/>
    </row>
    <row x14ac:dyDescent="0.25" r="186" customHeight="1" ht="18.75" hidden="1">
      <c r="A186" s="56"/>
      <c r="B186" s="56"/>
      <c r="C186" s="50" t="s">
        <v>16</v>
      </c>
      <c r="D186" s="50"/>
      <c r="E186" s="50" t="s">
        <v>29</v>
      </c>
      <c r="F186" s="50" t="s">
        <v>30</v>
      </c>
      <c r="G186" s="55">
        <v>10250000</v>
      </c>
      <c r="H186" s="55"/>
      <c r="I186" s="55"/>
      <c r="J186" s="51">
        <v>800000</v>
      </c>
      <c r="K186" s="51"/>
      <c r="L186" s="52">
        <v>46107</v>
      </c>
      <c r="M186" s="53">
        <v>46048</v>
      </c>
      <c r="N186" s="50" t="s">
        <v>306</v>
      </c>
      <c r="O186" s="50" t="s">
        <v>793</v>
      </c>
      <c r="P186" s="50" t="s">
        <v>30</v>
      </c>
      <c r="Q186" s="55" t="s">
        <v>794</v>
      </c>
      <c r="R186" s="55" t="s">
        <v>795</v>
      </c>
      <c r="S186" s="53">
        <v>47143</v>
      </c>
      <c r="T186" s="50" t="s">
        <v>31</v>
      </c>
      <c r="U186" s="50" t="s">
        <v>293</v>
      </c>
      <c r="V186" s="56"/>
      <c r="W186" s="50"/>
      <c r="X186" s="50"/>
      <c r="Y186" s="56"/>
      <c r="Z186" s="56"/>
      <c r="AA186" s="56"/>
      <c r="AB186" s="56"/>
      <c r="AC186" s="56"/>
      <c r="AD186" s="56"/>
    </row>
    <row x14ac:dyDescent="0.25" r="187" customHeight="1" ht="18.75" hidden="1">
      <c r="A187" s="89" t="s">
        <v>796</v>
      </c>
      <c r="B187" s="89"/>
      <c r="C187" s="90" t="s">
        <v>16</v>
      </c>
      <c r="D187" s="90"/>
      <c r="E187" s="90"/>
      <c r="F187" s="90" t="s">
        <v>32</v>
      </c>
      <c r="G187" s="91">
        <v>40000000</v>
      </c>
      <c r="H187" s="91"/>
      <c r="I187" s="91"/>
      <c r="J187" s="92">
        <v>2528000</v>
      </c>
      <c r="K187" s="92"/>
      <c r="L187" s="93">
        <v>46208</v>
      </c>
      <c r="M187" s="94">
        <v>46022</v>
      </c>
      <c r="N187" s="90" t="s">
        <v>217</v>
      </c>
      <c r="O187" s="90" t="s">
        <v>797</v>
      </c>
      <c r="P187" s="90" t="s">
        <v>32</v>
      </c>
      <c r="Q187" s="91" t="s">
        <v>798</v>
      </c>
      <c r="R187" s="91" t="s">
        <v>799</v>
      </c>
      <c r="S187" s="94">
        <v>47117</v>
      </c>
      <c r="T187" s="90"/>
      <c r="U187" s="90"/>
      <c r="V187" s="89" t="s">
        <v>33</v>
      </c>
      <c r="W187" s="50"/>
      <c r="X187" s="50"/>
      <c r="Y187" s="56"/>
      <c r="Z187" s="56"/>
      <c r="AA187" s="56"/>
      <c r="AB187" s="56"/>
      <c r="AC187" s="56"/>
      <c r="AD187" s="56"/>
    </row>
    <row x14ac:dyDescent="0.25" r="188" customHeight="1" ht="18.75">
      <c r="A188" s="56"/>
      <c r="B188" s="56"/>
      <c r="C188" s="50" t="s">
        <v>16</v>
      </c>
      <c r="D188" s="50" t="s">
        <v>80</v>
      </c>
      <c r="E188" s="50"/>
      <c r="F188" s="50" t="s">
        <v>118</v>
      </c>
      <c r="G188" s="55">
        <v>10000000</v>
      </c>
      <c r="H188" s="55"/>
      <c r="I188" s="55"/>
      <c r="J188" s="51">
        <v>800000</v>
      </c>
      <c r="K188" s="51"/>
      <c r="L188" s="52">
        <v>46182</v>
      </c>
      <c r="M188" s="53">
        <v>46121</v>
      </c>
      <c r="N188" s="50" t="s">
        <v>239</v>
      </c>
      <c r="O188" s="50" t="s">
        <v>2494</v>
      </c>
      <c r="P188" s="50" t="s">
        <v>118</v>
      </c>
      <c r="Q188" s="55" t="s">
        <v>2495</v>
      </c>
      <c r="R188" s="55" t="s">
        <v>2496</v>
      </c>
      <c r="S188" s="53">
        <v>47216</v>
      </c>
      <c r="T188" s="50" t="s">
        <v>2497</v>
      </c>
      <c r="U188" s="50" t="s">
        <v>166</v>
      </c>
      <c r="V188" s="56"/>
      <c r="W188" s="50"/>
      <c r="X188" s="50"/>
      <c r="Y188" s="56"/>
      <c r="Z188" s="56"/>
      <c r="AA188" s="56"/>
      <c r="AB188" s="56"/>
      <c r="AC188" s="56"/>
      <c r="AD188" s="56"/>
    </row>
    <row x14ac:dyDescent="0.25" r="189" customHeight="1" ht="18.75">
      <c r="A189" s="56"/>
      <c r="B189" s="56"/>
      <c r="C189" s="50" t="s">
        <v>16</v>
      </c>
      <c r="D189" s="50"/>
      <c r="E189" s="50"/>
      <c r="F189" s="50" t="s">
        <v>2977</v>
      </c>
      <c r="G189" s="55">
        <v>20000000</v>
      </c>
      <c r="H189" s="55"/>
      <c r="I189" s="55"/>
      <c r="J189" s="51">
        <v>1528000</v>
      </c>
      <c r="K189" s="51"/>
      <c r="L189" s="52">
        <v>46182</v>
      </c>
      <c r="M189" s="53">
        <v>46121</v>
      </c>
      <c r="N189" s="50" t="s">
        <v>217</v>
      </c>
      <c r="O189" s="50" t="s">
        <v>2978</v>
      </c>
      <c r="P189" s="50" t="s">
        <v>2977</v>
      </c>
      <c r="Q189" s="55" t="s">
        <v>2979</v>
      </c>
      <c r="R189" s="55" t="s">
        <v>2980</v>
      </c>
      <c r="S189" s="53">
        <v>47216</v>
      </c>
      <c r="T189" s="50" t="s">
        <v>2981</v>
      </c>
      <c r="U189" s="50" t="s">
        <v>166</v>
      </c>
      <c r="V189" s="56"/>
      <c r="W189" s="50"/>
      <c r="X189" s="50"/>
      <c r="Y189" s="56"/>
      <c r="Z189" s="56"/>
      <c r="AA189" s="56"/>
      <c r="AB189" s="56"/>
      <c r="AC189" s="56"/>
      <c r="AD189" s="56"/>
    </row>
    <row x14ac:dyDescent="0.25" r="190" customHeight="1" ht="18.75">
      <c r="A190" s="56"/>
      <c r="B190" s="56"/>
      <c r="C190" s="50" t="s">
        <v>16</v>
      </c>
      <c r="D190" s="50"/>
      <c r="E190" s="50"/>
      <c r="F190" s="50" t="s">
        <v>22</v>
      </c>
      <c r="G190" s="55">
        <v>20000000</v>
      </c>
      <c r="H190" s="55"/>
      <c r="I190" s="55"/>
      <c r="J190" s="51">
        <v>1528000</v>
      </c>
      <c r="K190" s="51"/>
      <c r="L190" s="52">
        <v>46182</v>
      </c>
      <c r="M190" s="53">
        <v>46121</v>
      </c>
      <c r="N190" s="50" t="s">
        <v>217</v>
      </c>
      <c r="O190" s="50" t="s">
        <v>3131</v>
      </c>
      <c r="P190" s="50" t="s">
        <v>22</v>
      </c>
      <c r="Q190" s="55" t="s">
        <v>3145</v>
      </c>
      <c r="R190" s="55" t="s">
        <v>3146</v>
      </c>
      <c r="S190" s="53">
        <v>47216</v>
      </c>
      <c r="T190" s="50" t="s">
        <v>3147</v>
      </c>
      <c r="U190" s="50" t="s">
        <v>166</v>
      </c>
      <c r="V190" s="56"/>
      <c r="W190" s="50"/>
      <c r="X190" s="50"/>
      <c r="Y190" s="56"/>
      <c r="Z190" s="56"/>
      <c r="AA190" s="56"/>
      <c r="AB190" s="56"/>
      <c r="AC190" s="56"/>
      <c r="AD190" s="56"/>
    </row>
    <row x14ac:dyDescent="0.25" r="191" customHeight="1" ht="18.75" hidden="1">
      <c r="A191" s="56"/>
      <c r="B191" s="56"/>
      <c r="C191" s="50" t="s">
        <v>16</v>
      </c>
      <c r="D191" s="50"/>
      <c r="E191" s="50"/>
      <c r="F191" s="50" t="s">
        <v>813</v>
      </c>
      <c r="G191" s="55">
        <v>60000000</v>
      </c>
      <c r="H191" s="55"/>
      <c r="I191" s="55"/>
      <c r="J191" s="51">
        <v>4800000</v>
      </c>
      <c r="K191" s="51"/>
      <c r="L191" s="52">
        <v>45969</v>
      </c>
      <c r="M191" s="53">
        <v>45848</v>
      </c>
      <c r="N191" s="50" t="s">
        <v>212</v>
      </c>
      <c r="O191" s="50" t="s">
        <v>401</v>
      </c>
      <c r="P191" s="50" t="s">
        <v>813</v>
      </c>
      <c r="Q191" s="55" t="s">
        <v>814</v>
      </c>
      <c r="R191" s="55" t="s">
        <v>815</v>
      </c>
      <c r="S191" s="53">
        <v>46943</v>
      </c>
      <c r="T191" s="50"/>
      <c r="U191" s="50"/>
      <c r="V191" s="56"/>
      <c r="W191" s="50"/>
      <c r="X191" s="50"/>
      <c r="Y191" s="56"/>
      <c r="Z191" s="56"/>
      <c r="AA191" s="56"/>
      <c r="AB191" s="56"/>
      <c r="AC191" s="56"/>
      <c r="AD191" s="56"/>
    </row>
    <row x14ac:dyDescent="0.25" r="192" customHeight="1" ht="18.75">
      <c r="A192" s="56"/>
      <c r="B192" s="56"/>
      <c r="C192" s="50" t="s">
        <v>16</v>
      </c>
      <c r="D192" s="50" t="s">
        <v>143</v>
      </c>
      <c r="E192" s="50" t="s">
        <v>14</v>
      </c>
      <c r="F192" s="50" t="s">
        <v>3190</v>
      </c>
      <c r="G192" s="55">
        <v>10000000</v>
      </c>
      <c r="H192" s="55"/>
      <c r="I192" s="55"/>
      <c r="J192" s="51">
        <v>1200000</v>
      </c>
      <c r="K192" s="51"/>
      <c r="L192" s="52">
        <v>46182</v>
      </c>
      <c r="M192" s="53">
        <v>46121</v>
      </c>
      <c r="N192" s="50" t="s">
        <v>302</v>
      </c>
      <c r="O192" s="50" t="s">
        <v>3191</v>
      </c>
      <c r="P192" s="50" t="s">
        <v>3190</v>
      </c>
      <c r="Q192" s="55" t="s">
        <v>3192</v>
      </c>
      <c r="R192" s="55" t="s">
        <v>3193</v>
      </c>
      <c r="S192" s="53">
        <v>47216</v>
      </c>
      <c r="T192" s="50" t="s">
        <v>3194</v>
      </c>
      <c r="U192" s="50"/>
      <c r="V192" s="56"/>
      <c r="W192" s="50"/>
      <c r="X192" s="50"/>
      <c r="Y192" s="56"/>
      <c r="Z192" s="56"/>
      <c r="AA192" s="56"/>
      <c r="AB192" s="56"/>
      <c r="AC192" s="56"/>
      <c r="AD192" s="56"/>
    </row>
    <row x14ac:dyDescent="0.25" r="193" customHeight="1" ht="18.75">
      <c r="A193" s="56"/>
      <c r="B193" s="56"/>
      <c r="C193" s="50" t="s">
        <v>16</v>
      </c>
      <c r="D193" s="50"/>
      <c r="E193" s="50" t="s">
        <v>22</v>
      </c>
      <c r="F193" s="50" t="s">
        <v>3190</v>
      </c>
      <c r="G193" s="55">
        <v>10000000</v>
      </c>
      <c r="H193" s="55"/>
      <c r="I193" s="55"/>
      <c r="J193" s="51">
        <v>800000</v>
      </c>
      <c r="K193" s="51"/>
      <c r="L193" s="52">
        <v>46182</v>
      </c>
      <c r="M193" s="53">
        <v>46121</v>
      </c>
      <c r="N193" s="50" t="s">
        <v>302</v>
      </c>
      <c r="O193" s="50" t="s">
        <v>3191</v>
      </c>
      <c r="P193" s="50" t="s">
        <v>3190</v>
      </c>
      <c r="Q193" s="55" t="s">
        <v>3192</v>
      </c>
      <c r="R193" s="55" t="s">
        <v>3193</v>
      </c>
      <c r="S193" s="53">
        <v>47216</v>
      </c>
      <c r="T193" s="50"/>
      <c r="U193" s="50" t="s">
        <v>166</v>
      </c>
      <c r="V193" s="56"/>
      <c r="W193" s="50"/>
      <c r="X193" s="50"/>
      <c r="Y193" s="56"/>
      <c r="Z193" s="56"/>
      <c r="AA193" s="56"/>
      <c r="AB193" s="56"/>
      <c r="AC193" s="56"/>
      <c r="AD193" s="56"/>
    </row>
    <row x14ac:dyDescent="0.25" r="194" customHeight="1" ht="18.75">
      <c r="A194" s="56"/>
      <c r="B194" s="56"/>
      <c r="C194" s="50" t="s">
        <v>16</v>
      </c>
      <c r="D194" s="50"/>
      <c r="E194" s="50"/>
      <c r="F194" s="50" t="s">
        <v>854</v>
      </c>
      <c r="G194" s="55">
        <v>10000000</v>
      </c>
      <c r="H194" s="55"/>
      <c r="I194" s="55"/>
      <c r="J194" s="51">
        <v>800000</v>
      </c>
      <c r="K194" s="51"/>
      <c r="L194" s="52">
        <v>46183</v>
      </c>
      <c r="M194" s="53">
        <v>46122</v>
      </c>
      <c r="N194" s="50" t="s">
        <v>239</v>
      </c>
      <c r="O194" s="50" t="s">
        <v>855</v>
      </c>
      <c r="P194" s="50" t="s">
        <v>854</v>
      </c>
      <c r="Q194" s="55" t="s">
        <v>856</v>
      </c>
      <c r="R194" s="55" t="s">
        <v>857</v>
      </c>
      <c r="S194" s="53">
        <v>47217</v>
      </c>
      <c r="T194" s="50" t="s">
        <v>858</v>
      </c>
      <c r="U194" s="50" t="s">
        <v>166</v>
      </c>
      <c r="V194" s="56"/>
      <c r="W194" s="50"/>
      <c r="X194" s="50"/>
      <c r="Y194" s="56"/>
      <c r="Z194" s="56"/>
      <c r="AA194" s="56"/>
      <c r="AB194" s="56"/>
      <c r="AC194" s="56"/>
      <c r="AD194" s="56"/>
    </row>
    <row x14ac:dyDescent="0.25" r="195" customHeight="1" ht="18.75" hidden="1">
      <c r="A195" s="56"/>
      <c r="B195" s="56"/>
      <c r="C195" s="49" t="s">
        <v>16</v>
      </c>
      <c r="D195" s="50"/>
      <c r="E195" s="50"/>
      <c r="F195" s="50" t="s">
        <v>828</v>
      </c>
      <c r="G195" s="51">
        <v>10000000</v>
      </c>
      <c r="H195" s="51"/>
      <c r="I195" s="51"/>
      <c r="J195" s="87">
        <f>IF(G195&gt;0,_xludf.IFS(G195=10000000,800000,G195=20000000,1528000,G195=30000000,2028000,G195=60000000,4056000),"")</f>
      </c>
      <c r="K195" s="51"/>
      <c r="L195" s="52">
        <v>46077</v>
      </c>
      <c r="M195" s="53">
        <f>IF(L195&gt;0,EDATE(L195,-2),"")</f>
        <v>25569.375</v>
      </c>
      <c r="N195" s="50" t="s">
        <v>155</v>
      </c>
      <c r="O195" s="50" t="s">
        <v>829</v>
      </c>
      <c r="P195" s="54">
        <f>IF(F195&gt;0,F195,"")</f>
      </c>
      <c r="Q195" s="55" t="s">
        <v>830</v>
      </c>
      <c r="R195" s="55">
        <v>53607324</v>
      </c>
      <c r="S195" s="53">
        <f>IF(ISNUMBER(M195), EDATE(M195,36)-1, "")</f>
        <v>25569.375</v>
      </c>
      <c r="T195" s="50"/>
      <c r="U195" s="50"/>
      <c r="V195" s="56"/>
      <c r="W195" s="50" t="s">
        <v>3238</v>
      </c>
      <c r="X195" s="50" t="s">
        <v>3238</v>
      </c>
      <c r="Y195" s="56"/>
      <c r="Z195" s="56"/>
      <c r="AA195" s="56"/>
      <c r="AB195" s="56"/>
      <c r="AC195" s="56"/>
      <c r="AD195" s="56"/>
    </row>
    <row x14ac:dyDescent="0.25" r="196" customHeight="1" ht="18.75" hidden="1">
      <c r="A196" s="71"/>
      <c r="B196" s="71"/>
      <c r="C196" s="72" t="s">
        <v>16</v>
      </c>
      <c r="D196" s="72"/>
      <c r="E196" s="72"/>
      <c r="F196" s="72" t="s">
        <v>832</v>
      </c>
      <c r="G196" s="73">
        <v>10000000</v>
      </c>
      <c r="H196" s="73"/>
      <c r="I196" s="73"/>
      <c r="J196" s="74"/>
      <c r="K196" s="74"/>
      <c r="L196" s="75">
        <v>46163</v>
      </c>
      <c r="M196" s="76">
        <v>46102</v>
      </c>
      <c r="N196" s="72" t="s">
        <v>161</v>
      </c>
      <c r="O196" s="72" t="s">
        <v>833</v>
      </c>
      <c r="P196" s="72" t="s">
        <v>832</v>
      </c>
      <c r="Q196" s="73" t="s">
        <v>834</v>
      </c>
      <c r="R196" s="73" t="s">
        <v>835</v>
      </c>
      <c r="S196" s="76">
        <v>47197</v>
      </c>
      <c r="T196" s="72" t="s">
        <v>836</v>
      </c>
      <c r="U196" s="72" t="s">
        <v>166</v>
      </c>
      <c r="V196" s="71"/>
      <c r="W196" s="50"/>
      <c r="X196" s="50"/>
      <c r="Y196" s="56"/>
      <c r="Z196" s="56"/>
      <c r="AA196" s="56"/>
      <c r="AB196" s="56"/>
      <c r="AC196" s="56"/>
      <c r="AD196" s="56"/>
    </row>
    <row x14ac:dyDescent="0.25" r="197" customHeight="1" ht="18.75">
      <c r="A197" s="56"/>
      <c r="B197" s="56"/>
      <c r="C197" s="49" t="s">
        <v>16</v>
      </c>
      <c r="D197" s="50" t="s">
        <v>202</v>
      </c>
      <c r="E197" s="50" t="s">
        <v>203</v>
      </c>
      <c r="F197" s="50" t="s">
        <v>34</v>
      </c>
      <c r="G197" s="51">
        <v>20000000</v>
      </c>
      <c r="H197" s="51"/>
      <c r="I197" s="51"/>
      <c r="J197" s="51">
        <v>1000000</v>
      </c>
      <c r="K197" s="51"/>
      <c r="L197" s="52">
        <v>46183</v>
      </c>
      <c r="M197" s="53">
        <f>IF(L197&gt;0,EDATE(L197,-2),"")</f>
        <v>25569.375</v>
      </c>
      <c r="N197" s="50" t="s">
        <v>940</v>
      </c>
      <c r="O197" s="50" t="s">
        <v>941</v>
      </c>
      <c r="P197" s="54">
        <f>IF(F197&gt;0,F197,"")</f>
      </c>
      <c r="Q197" s="55">
        <v>5109162052811</v>
      </c>
      <c r="R197" s="55">
        <v>84776122</v>
      </c>
      <c r="S197" s="53">
        <f>IF(ISNUMBER(M197), EDATE(M197,36)-1, "")</f>
        <v>25569.375</v>
      </c>
      <c r="T197" s="50"/>
      <c r="U197" s="50"/>
      <c r="V197" s="56"/>
      <c r="W197" s="50"/>
      <c r="X197" s="50"/>
      <c r="Y197" s="56"/>
      <c r="Z197" s="56"/>
      <c r="AA197" s="56"/>
      <c r="AB197" s="56"/>
      <c r="AC197" s="56"/>
      <c r="AD197" s="56"/>
    </row>
    <row x14ac:dyDescent="0.25" r="198" customHeight="1" ht="18.75">
      <c r="A198" s="56"/>
      <c r="B198" s="56"/>
      <c r="C198" s="50" t="s">
        <v>16</v>
      </c>
      <c r="D198" s="50"/>
      <c r="E198" s="50"/>
      <c r="F198" s="50" t="s">
        <v>1614</v>
      </c>
      <c r="G198" s="55">
        <v>10000000</v>
      </c>
      <c r="H198" s="55"/>
      <c r="I198" s="55"/>
      <c r="J198" s="51">
        <v>800000</v>
      </c>
      <c r="K198" s="51"/>
      <c r="L198" s="52">
        <v>46183</v>
      </c>
      <c r="M198" s="53">
        <v>46122</v>
      </c>
      <c r="N198" s="50" t="s">
        <v>168</v>
      </c>
      <c r="O198" s="50" t="s">
        <v>1615</v>
      </c>
      <c r="P198" s="50" t="s">
        <v>1614</v>
      </c>
      <c r="Q198" s="55" t="s">
        <v>1616</v>
      </c>
      <c r="R198" s="55" t="s">
        <v>1617</v>
      </c>
      <c r="S198" s="53">
        <v>47217</v>
      </c>
      <c r="T198" s="50" t="s">
        <v>1618</v>
      </c>
      <c r="U198" s="50" t="s">
        <v>166</v>
      </c>
      <c r="V198" s="56"/>
      <c r="W198" s="50"/>
      <c r="X198" s="50"/>
      <c r="Y198" s="56"/>
      <c r="Z198" s="56"/>
      <c r="AA198" s="56"/>
      <c r="AB198" s="56"/>
      <c r="AC198" s="56"/>
      <c r="AD198" s="56"/>
    </row>
    <row x14ac:dyDescent="0.25" r="199" customHeight="1" ht="18.75">
      <c r="A199" s="63"/>
      <c r="B199" s="63"/>
      <c r="C199" s="49" t="s">
        <v>16</v>
      </c>
      <c r="D199" s="49" t="s">
        <v>454</v>
      </c>
      <c r="E199" s="49" t="s">
        <v>574</v>
      </c>
      <c r="F199" s="49" t="s">
        <v>1621</v>
      </c>
      <c r="G199" s="64">
        <v>10000000</v>
      </c>
      <c r="H199" s="64"/>
      <c r="I199" s="64"/>
      <c r="J199" s="64">
        <v>500000</v>
      </c>
      <c r="K199" s="64"/>
      <c r="L199" s="66">
        <v>46183</v>
      </c>
      <c r="M199" s="67">
        <f>IF(L199&gt;0,EDATE(L199,-2),"")</f>
        <v>25569.375</v>
      </c>
      <c r="N199" s="49" t="s">
        <v>1202</v>
      </c>
      <c r="O199" s="49" t="s">
        <v>1622</v>
      </c>
      <c r="P199" s="68">
        <f>IF(F199&gt;0,F199,"")</f>
      </c>
      <c r="Q199" s="69" t="s">
        <v>1623</v>
      </c>
      <c r="R199" s="69">
        <v>63015432</v>
      </c>
      <c r="S199" s="67">
        <f>IF(ISNUMBER(M199), EDATE(M199,36)-1, "")</f>
        <v>25569.375</v>
      </c>
      <c r="T199" s="49"/>
      <c r="U199" s="49"/>
      <c r="V199" s="63"/>
      <c r="W199" s="50"/>
      <c r="X199" s="50"/>
      <c r="Y199" s="56"/>
      <c r="Z199" s="56"/>
      <c r="AA199" s="56"/>
      <c r="AB199" s="56"/>
      <c r="AC199" s="56"/>
      <c r="AD199" s="56"/>
    </row>
    <row x14ac:dyDescent="0.25" r="200" customHeight="1" ht="18.75" hidden="1">
      <c r="A200" s="56"/>
      <c r="B200" s="56"/>
      <c r="C200" s="50" t="s">
        <v>16</v>
      </c>
      <c r="D200" s="50"/>
      <c r="E200" s="50" t="s">
        <v>100</v>
      </c>
      <c r="F200" s="50" t="s">
        <v>842</v>
      </c>
      <c r="G200" s="55">
        <v>10000000</v>
      </c>
      <c r="H200" s="55"/>
      <c r="I200" s="55"/>
      <c r="J200" s="51">
        <v>800000</v>
      </c>
      <c r="K200" s="51"/>
      <c r="L200" s="52">
        <v>46103</v>
      </c>
      <c r="M200" s="53">
        <v>46044</v>
      </c>
      <c r="N200" s="50" t="s">
        <v>570</v>
      </c>
      <c r="O200" s="50" t="s">
        <v>843</v>
      </c>
      <c r="P200" s="50" t="s">
        <v>842</v>
      </c>
      <c r="Q200" s="55" t="s">
        <v>844</v>
      </c>
      <c r="R200" s="55" t="s">
        <v>845</v>
      </c>
      <c r="S200" s="53">
        <v>47139</v>
      </c>
      <c r="T200" s="50"/>
      <c r="U200" s="50" t="s">
        <v>166</v>
      </c>
      <c r="V200" s="56"/>
      <c r="W200" s="50"/>
      <c r="X200" s="50"/>
      <c r="Y200" s="56"/>
      <c r="Z200" s="56"/>
      <c r="AA200" s="56"/>
      <c r="AB200" s="56"/>
      <c r="AC200" s="56"/>
      <c r="AD200" s="56"/>
    </row>
    <row x14ac:dyDescent="0.25" r="201" customHeight="1" ht="18.75">
      <c r="A201" s="71"/>
      <c r="B201" s="71"/>
      <c r="C201" s="72" t="s">
        <v>16</v>
      </c>
      <c r="D201" s="72"/>
      <c r="E201" s="72"/>
      <c r="F201" s="72" t="s">
        <v>1844</v>
      </c>
      <c r="G201" s="73">
        <v>10000000</v>
      </c>
      <c r="H201" s="73"/>
      <c r="I201" s="73"/>
      <c r="J201" s="74"/>
      <c r="K201" s="74"/>
      <c r="L201" s="75">
        <v>46183</v>
      </c>
      <c r="M201" s="76">
        <v>46122</v>
      </c>
      <c r="N201" s="72" t="s">
        <v>168</v>
      </c>
      <c r="O201" s="72" t="s">
        <v>1845</v>
      </c>
      <c r="P201" s="72" t="s">
        <v>1844</v>
      </c>
      <c r="Q201" s="73" t="s">
        <v>1846</v>
      </c>
      <c r="R201" s="73" t="s">
        <v>1847</v>
      </c>
      <c r="S201" s="76">
        <v>47217</v>
      </c>
      <c r="T201" s="72" t="s">
        <v>1848</v>
      </c>
      <c r="U201" s="72" t="s">
        <v>166</v>
      </c>
      <c r="V201" s="71"/>
      <c r="W201" s="50"/>
      <c r="X201" s="50"/>
      <c r="Y201" s="56"/>
      <c r="Z201" s="56"/>
      <c r="AA201" s="56"/>
      <c r="AB201" s="56"/>
      <c r="AC201" s="56"/>
      <c r="AD201" s="56"/>
    </row>
    <row x14ac:dyDescent="0.25" r="202" customHeight="1" ht="18.75">
      <c r="A202" s="56"/>
      <c r="B202" s="56"/>
      <c r="C202" s="50" t="s">
        <v>16</v>
      </c>
      <c r="D202" s="50"/>
      <c r="E202" s="50" t="s">
        <v>357</v>
      </c>
      <c r="F202" s="50" t="s">
        <v>2401</v>
      </c>
      <c r="G202" s="55">
        <v>10000000</v>
      </c>
      <c r="H202" s="55"/>
      <c r="I202" s="55"/>
      <c r="J202" s="51">
        <v>800000</v>
      </c>
      <c r="K202" s="51"/>
      <c r="L202" s="52">
        <v>46183</v>
      </c>
      <c r="M202" s="53">
        <v>46122</v>
      </c>
      <c r="N202" s="50" t="s">
        <v>239</v>
      </c>
      <c r="O202" s="50" t="s">
        <v>2402</v>
      </c>
      <c r="P202" s="50" t="s">
        <v>2401</v>
      </c>
      <c r="Q202" s="55" t="s">
        <v>3264</v>
      </c>
      <c r="R202" s="55" t="s">
        <v>3265</v>
      </c>
      <c r="S202" s="53">
        <v>47217</v>
      </c>
      <c r="T202" s="50"/>
      <c r="U202" s="50" t="s">
        <v>166</v>
      </c>
      <c r="V202" s="48" t="s">
        <v>3266</v>
      </c>
      <c r="W202" s="50"/>
      <c r="X202" s="50"/>
      <c r="Y202" s="56"/>
      <c r="Z202" s="56"/>
      <c r="AA202" s="56"/>
      <c r="AB202" s="56"/>
      <c r="AC202" s="56"/>
      <c r="AD202" s="56"/>
    </row>
    <row x14ac:dyDescent="0.25" r="203" customHeight="1" ht="18.75">
      <c r="A203" s="56"/>
      <c r="B203" s="56"/>
      <c r="C203" s="50" t="s">
        <v>16</v>
      </c>
      <c r="D203" s="50" t="s">
        <v>737</v>
      </c>
      <c r="E203" s="50" t="s">
        <v>357</v>
      </c>
      <c r="F203" s="50" t="s">
        <v>2401</v>
      </c>
      <c r="G203" s="51">
        <v>60000000</v>
      </c>
      <c r="H203" s="51"/>
      <c r="I203" s="51"/>
      <c r="J203" s="51">
        <v>4056000</v>
      </c>
      <c r="K203" s="51"/>
      <c r="L203" s="52">
        <v>46183</v>
      </c>
      <c r="M203" s="53">
        <f>IF(L203&gt;0,EDATE(L203,-2),"")</f>
        <v>25569.375</v>
      </c>
      <c r="N203" s="50" t="s">
        <v>239</v>
      </c>
      <c r="O203" s="50" t="s">
        <v>2402</v>
      </c>
      <c r="P203" s="54">
        <f>IF(F203&gt;0,F203,"")</f>
      </c>
      <c r="Q203" s="55">
        <v>8106032019513</v>
      </c>
      <c r="R203" s="55">
        <v>74792585</v>
      </c>
      <c r="S203" s="53">
        <f>IF(ISNUMBER(M203), EDATE(M203,36)-1, "")</f>
        <v>25569.375</v>
      </c>
      <c r="T203" s="50"/>
      <c r="U203" s="50"/>
      <c r="V203" s="50"/>
      <c r="W203" s="50"/>
      <c r="X203" s="50"/>
      <c r="Y203" s="56"/>
      <c r="Z203" s="56"/>
      <c r="AA203" s="56"/>
      <c r="AB203" s="56"/>
      <c r="AC203" s="56"/>
      <c r="AD203" s="56"/>
    </row>
    <row x14ac:dyDescent="0.25" r="204" customHeight="1" ht="18.75" hidden="1">
      <c r="A204" s="56"/>
      <c r="B204" s="56"/>
      <c r="C204" s="50" t="s">
        <v>16</v>
      </c>
      <c r="D204" s="50"/>
      <c r="E204" s="50"/>
      <c r="F204" s="50" t="s">
        <v>411</v>
      </c>
      <c r="G204" s="55">
        <v>60000000</v>
      </c>
      <c r="H204" s="55"/>
      <c r="I204" s="55"/>
      <c r="J204" s="51">
        <v>4800000</v>
      </c>
      <c r="K204" s="51"/>
      <c r="L204" s="52">
        <v>45850</v>
      </c>
      <c r="M204" s="53">
        <v>45789</v>
      </c>
      <c r="N204" s="50" t="s">
        <v>306</v>
      </c>
      <c r="O204" s="50" t="s">
        <v>859</v>
      </c>
      <c r="P204" s="50" t="s">
        <v>411</v>
      </c>
      <c r="Q204" s="55" t="s">
        <v>860</v>
      </c>
      <c r="R204" s="55" t="s">
        <v>861</v>
      </c>
      <c r="S204" s="53">
        <v>46884</v>
      </c>
      <c r="T204" s="50"/>
      <c r="U204" s="50"/>
      <c r="V204" s="56"/>
      <c r="W204" s="50"/>
      <c r="X204" s="50"/>
      <c r="Y204" s="56"/>
      <c r="Z204" s="56"/>
      <c r="AA204" s="56"/>
      <c r="AB204" s="56"/>
      <c r="AC204" s="56"/>
      <c r="AD204" s="56"/>
    </row>
    <row x14ac:dyDescent="0.25" r="205" customHeight="1" ht="18.75" hidden="1">
      <c r="A205" s="56"/>
      <c r="B205" s="56"/>
      <c r="C205" s="50" t="s">
        <v>16</v>
      </c>
      <c r="D205" s="50"/>
      <c r="E205" s="50" t="s">
        <v>862</v>
      </c>
      <c r="F205" s="50" t="s">
        <v>276</v>
      </c>
      <c r="G205" s="55">
        <v>10000000</v>
      </c>
      <c r="H205" s="55"/>
      <c r="I205" s="55"/>
      <c r="J205" s="51">
        <v>800000</v>
      </c>
      <c r="K205" s="51"/>
      <c r="L205" s="52">
        <v>46125</v>
      </c>
      <c r="M205" s="53">
        <v>46066</v>
      </c>
      <c r="N205" s="50" t="s">
        <v>306</v>
      </c>
      <c r="O205" s="50" t="s">
        <v>863</v>
      </c>
      <c r="P205" s="50" t="s">
        <v>276</v>
      </c>
      <c r="Q205" s="55" t="s">
        <v>864</v>
      </c>
      <c r="R205" s="55" t="s">
        <v>865</v>
      </c>
      <c r="S205" s="53">
        <v>47161</v>
      </c>
      <c r="T205" s="50" t="s">
        <v>866</v>
      </c>
      <c r="U205" s="50" t="s">
        <v>166</v>
      </c>
      <c r="V205" s="56"/>
      <c r="W205" s="50"/>
      <c r="X205" s="50"/>
      <c r="Y205" s="56"/>
      <c r="Z205" s="56"/>
      <c r="AA205" s="56"/>
      <c r="AB205" s="56"/>
      <c r="AC205" s="56"/>
      <c r="AD205" s="56"/>
    </row>
    <row x14ac:dyDescent="0.25" r="206" customHeight="1" ht="18.75" hidden="1">
      <c r="A206" s="48" t="s">
        <v>152</v>
      </c>
      <c r="B206" s="48"/>
      <c r="C206" s="50" t="s">
        <v>16</v>
      </c>
      <c r="D206" s="50" t="s">
        <v>202</v>
      </c>
      <c r="E206" s="50" t="s">
        <v>203</v>
      </c>
      <c r="F206" s="50" t="s">
        <v>276</v>
      </c>
      <c r="G206" s="51">
        <v>20000000</v>
      </c>
      <c r="H206" s="51"/>
      <c r="I206" s="51"/>
      <c r="J206" s="51">
        <v>1000000</v>
      </c>
      <c r="K206" s="51"/>
      <c r="L206" s="52">
        <v>46159</v>
      </c>
      <c r="M206" s="53">
        <f>IF(L206&gt;0,EDATE(L206,-2),"")</f>
        <v>25569.375</v>
      </c>
      <c r="N206" s="50" t="s">
        <v>205</v>
      </c>
      <c r="O206" s="50" t="s">
        <v>867</v>
      </c>
      <c r="P206" s="54">
        <f>IF(F206&gt;0,F206,"")</f>
      </c>
      <c r="Q206" s="55">
        <v>6801022667718</v>
      </c>
      <c r="R206" s="55">
        <v>62695067</v>
      </c>
      <c r="S206" s="53">
        <f>IF(ISNUMBER(M206), EDATE(M206,36)-1, "")</f>
        <v>25569.375</v>
      </c>
      <c r="T206" s="50"/>
      <c r="U206" s="50"/>
      <c r="V206" s="48" t="s">
        <v>868</v>
      </c>
      <c r="W206" s="50" t="s">
        <v>3238</v>
      </c>
      <c r="X206" s="50" t="s">
        <v>3238</v>
      </c>
      <c r="Y206" s="56"/>
      <c r="Z206" s="56"/>
      <c r="AA206" s="56"/>
      <c r="AB206" s="56"/>
      <c r="AC206" s="56"/>
      <c r="AD206" s="56"/>
    </row>
    <row x14ac:dyDescent="0.25" r="207" customHeight="1" ht="18.75" hidden="1">
      <c r="A207" s="56"/>
      <c r="B207" s="56"/>
      <c r="C207" s="50" t="s">
        <v>16</v>
      </c>
      <c r="D207" s="50"/>
      <c r="E207" s="50"/>
      <c r="F207" s="50" t="s">
        <v>869</v>
      </c>
      <c r="G207" s="55">
        <v>30000000</v>
      </c>
      <c r="H207" s="55"/>
      <c r="I207" s="55"/>
      <c r="J207" s="51">
        <v>2028000</v>
      </c>
      <c r="K207" s="51"/>
      <c r="L207" s="52">
        <v>45974</v>
      </c>
      <c r="M207" s="53">
        <v>45913</v>
      </c>
      <c r="N207" s="50" t="s">
        <v>155</v>
      </c>
      <c r="O207" s="50" t="s">
        <v>870</v>
      </c>
      <c r="P207" s="50" t="s">
        <v>869</v>
      </c>
      <c r="Q207" s="55" t="s">
        <v>871</v>
      </c>
      <c r="R207" s="55" t="s">
        <v>872</v>
      </c>
      <c r="S207" s="53">
        <v>47008</v>
      </c>
      <c r="T207" s="50"/>
      <c r="U207" s="50"/>
      <c r="V207" s="56"/>
      <c r="W207" s="50"/>
      <c r="X207" s="50"/>
      <c r="Y207" s="56"/>
      <c r="Z207" s="56"/>
      <c r="AA207" s="56"/>
      <c r="AB207" s="56"/>
      <c r="AC207" s="56"/>
      <c r="AD207" s="56"/>
    </row>
    <row x14ac:dyDescent="0.25" r="208" customHeight="1" ht="18.75" hidden="1">
      <c r="A208" s="56"/>
      <c r="B208" s="56"/>
      <c r="C208" s="50" t="s">
        <v>16</v>
      </c>
      <c r="D208" s="50"/>
      <c r="E208" s="50"/>
      <c r="F208" s="50" t="s">
        <v>869</v>
      </c>
      <c r="G208" s="55">
        <v>20000000</v>
      </c>
      <c r="H208" s="55"/>
      <c r="I208" s="55"/>
      <c r="J208" s="51">
        <v>1528000</v>
      </c>
      <c r="K208" s="51"/>
      <c r="L208" s="52">
        <v>45985</v>
      </c>
      <c r="M208" s="53">
        <v>45920</v>
      </c>
      <c r="N208" s="50" t="s">
        <v>155</v>
      </c>
      <c r="O208" s="50" t="s">
        <v>870</v>
      </c>
      <c r="P208" s="50" t="s">
        <v>869</v>
      </c>
      <c r="Q208" s="55" t="s">
        <v>874</v>
      </c>
      <c r="R208" s="55" t="s">
        <v>875</v>
      </c>
      <c r="S208" s="53">
        <v>47015</v>
      </c>
      <c r="T208" s="50"/>
      <c r="U208" s="50"/>
      <c r="V208" s="56"/>
      <c r="W208" s="50"/>
      <c r="X208" s="50"/>
      <c r="Y208" s="56"/>
      <c r="Z208" s="56"/>
      <c r="AA208" s="56"/>
      <c r="AB208" s="56"/>
      <c r="AC208" s="56"/>
      <c r="AD208" s="56"/>
    </row>
    <row x14ac:dyDescent="0.25" r="209" customHeight="1" ht="18.75">
      <c r="A209" s="56"/>
      <c r="B209" s="56"/>
      <c r="C209" s="50" t="s">
        <v>16</v>
      </c>
      <c r="D209" s="50"/>
      <c r="E209" s="50"/>
      <c r="F209" s="50" t="s">
        <v>2652</v>
      </c>
      <c r="G209" s="55">
        <v>10000000</v>
      </c>
      <c r="H209" s="55"/>
      <c r="I209" s="55"/>
      <c r="J209" s="51">
        <v>800000</v>
      </c>
      <c r="K209" s="51"/>
      <c r="L209" s="52">
        <v>46183</v>
      </c>
      <c r="M209" s="53">
        <v>46122</v>
      </c>
      <c r="N209" s="50" t="s">
        <v>2653</v>
      </c>
      <c r="O209" s="50" t="s">
        <v>2654</v>
      </c>
      <c r="P209" s="50" t="s">
        <v>2652</v>
      </c>
      <c r="Q209" s="55" t="s">
        <v>2655</v>
      </c>
      <c r="R209" s="55" t="s">
        <v>2656</v>
      </c>
      <c r="S209" s="53">
        <v>47217</v>
      </c>
      <c r="T209" s="50" t="s">
        <v>2657</v>
      </c>
      <c r="U209" s="50" t="s">
        <v>179</v>
      </c>
      <c r="V209" s="56"/>
      <c r="W209" s="50"/>
      <c r="X209" s="50"/>
      <c r="Y209" s="56"/>
      <c r="Z209" s="56"/>
      <c r="AA209" s="56"/>
      <c r="AB209" s="56"/>
      <c r="AC209" s="56"/>
      <c r="AD209" s="56"/>
    </row>
    <row x14ac:dyDescent="0.25" r="210" customHeight="1" ht="18.75" hidden="1">
      <c r="A210" s="48" t="s">
        <v>63</v>
      </c>
      <c r="B210" s="48"/>
      <c r="C210" s="50" t="s">
        <v>16</v>
      </c>
      <c r="D210" s="50" t="s">
        <v>202</v>
      </c>
      <c r="E210" s="50" t="s">
        <v>203</v>
      </c>
      <c r="F210" s="50" t="s">
        <v>879</v>
      </c>
      <c r="G210" s="55">
        <v>60000000</v>
      </c>
      <c r="H210" s="55"/>
      <c r="I210" s="55"/>
      <c r="J210" s="51">
        <v>4056000</v>
      </c>
      <c r="K210" s="51"/>
      <c r="L210" s="52">
        <v>46153</v>
      </c>
      <c r="M210" s="53">
        <v>46092</v>
      </c>
      <c r="N210" s="50" t="s">
        <v>161</v>
      </c>
      <c r="O210" s="50" t="s">
        <v>880</v>
      </c>
      <c r="P210" s="50" t="s">
        <v>879</v>
      </c>
      <c r="Q210" s="55" t="s">
        <v>881</v>
      </c>
      <c r="R210" s="55" t="s">
        <v>882</v>
      </c>
      <c r="S210" s="53">
        <v>47187</v>
      </c>
      <c r="T210" s="50" t="s">
        <v>883</v>
      </c>
      <c r="U210" s="50" t="s">
        <v>166</v>
      </c>
      <c r="V210" s="48" t="s">
        <v>884</v>
      </c>
      <c r="W210" s="50"/>
      <c r="X210" s="50"/>
      <c r="Y210" s="56"/>
      <c r="Z210" s="56"/>
      <c r="AA210" s="56"/>
      <c r="AB210" s="56"/>
      <c r="AC210" s="56"/>
      <c r="AD210" s="56"/>
    </row>
    <row x14ac:dyDescent="0.25" r="211" customHeight="1" ht="18.75">
      <c r="A211" s="71"/>
      <c r="B211" s="71"/>
      <c r="C211" s="72" t="s">
        <v>16</v>
      </c>
      <c r="D211" s="72"/>
      <c r="E211" s="72"/>
      <c r="F211" s="72" t="s">
        <v>2996</v>
      </c>
      <c r="G211" s="73">
        <v>10000000</v>
      </c>
      <c r="H211" s="73"/>
      <c r="I211" s="73"/>
      <c r="J211" s="74"/>
      <c r="K211" s="74"/>
      <c r="L211" s="75">
        <v>46183</v>
      </c>
      <c r="M211" s="76">
        <v>46122</v>
      </c>
      <c r="N211" s="72" t="s">
        <v>161</v>
      </c>
      <c r="O211" s="72" t="s">
        <v>2997</v>
      </c>
      <c r="P211" s="72" t="s">
        <v>2996</v>
      </c>
      <c r="Q211" s="73" t="s">
        <v>2998</v>
      </c>
      <c r="R211" s="73" t="s">
        <v>2999</v>
      </c>
      <c r="S211" s="76">
        <v>47217</v>
      </c>
      <c r="T211" s="72" t="s">
        <v>3000</v>
      </c>
      <c r="U211" s="72" t="s">
        <v>166</v>
      </c>
      <c r="V211" s="71"/>
      <c r="W211" s="50"/>
      <c r="X211" s="50"/>
      <c r="Y211" s="56"/>
      <c r="Z211" s="56"/>
      <c r="AA211" s="56"/>
      <c r="AB211" s="56"/>
      <c r="AC211" s="56"/>
      <c r="AD211" s="56"/>
    </row>
    <row x14ac:dyDescent="0.25" r="212" customHeight="1" ht="18.75" hidden="1">
      <c r="A212" s="48" t="s">
        <v>152</v>
      </c>
      <c r="B212" s="48"/>
      <c r="C212" s="50" t="s">
        <v>16</v>
      </c>
      <c r="D212" s="50" t="s">
        <v>454</v>
      </c>
      <c r="E212" s="50" t="s">
        <v>455</v>
      </c>
      <c r="F212" s="50" t="s">
        <v>887</v>
      </c>
      <c r="G212" s="51">
        <v>10000000</v>
      </c>
      <c r="H212" s="51"/>
      <c r="I212" s="51"/>
      <c r="J212" s="51">
        <v>800000</v>
      </c>
      <c r="K212" s="51"/>
      <c r="L212" s="52">
        <v>46154</v>
      </c>
      <c r="M212" s="53">
        <f>IF(L212&gt;0,EDATE(L212,-2),"")</f>
        <v>25569.375</v>
      </c>
      <c r="N212" s="50" t="s">
        <v>155</v>
      </c>
      <c r="O212" s="50" t="s">
        <v>888</v>
      </c>
      <c r="P212" s="54">
        <f>IF(F212&gt;0,F212,"")</f>
      </c>
      <c r="Q212" s="55">
        <v>6104011480911</v>
      </c>
      <c r="R212" s="55">
        <v>65859986</v>
      </c>
      <c r="S212" s="53">
        <f>IF(ISNUMBER(M212), EDATE(M212,36)-1, "")</f>
        <v>25569.375</v>
      </c>
      <c r="T212" s="50"/>
      <c r="U212" s="50"/>
      <c r="V212" s="56" t="s">
        <v>889</v>
      </c>
      <c r="W212" s="50"/>
      <c r="X212" s="50"/>
      <c r="Y212" s="56"/>
      <c r="Z212" s="56"/>
      <c r="AA212" s="56"/>
      <c r="AB212" s="56"/>
      <c r="AC212" s="56"/>
      <c r="AD212" s="56"/>
    </row>
    <row x14ac:dyDescent="0.25" r="213" customHeight="1" ht="18.75">
      <c r="A213" s="56"/>
      <c r="B213" s="56"/>
      <c r="C213" s="50" t="s">
        <v>16</v>
      </c>
      <c r="D213" s="50"/>
      <c r="E213" s="50"/>
      <c r="F213" s="50" t="s">
        <v>470</v>
      </c>
      <c r="G213" s="55">
        <v>10000000</v>
      </c>
      <c r="H213" s="55"/>
      <c r="I213" s="55"/>
      <c r="J213" s="51">
        <v>500000</v>
      </c>
      <c r="K213" s="51"/>
      <c r="L213" s="52">
        <v>46184</v>
      </c>
      <c r="M213" s="53">
        <v>46123</v>
      </c>
      <c r="N213" s="50" t="s">
        <v>168</v>
      </c>
      <c r="O213" s="50" t="s">
        <v>471</v>
      </c>
      <c r="P213" s="50" t="s">
        <v>470</v>
      </c>
      <c r="Q213" s="55" t="s">
        <v>472</v>
      </c>
      <c r="R213" s="55" t="s">
        <v>473</v>
      </c>
      <c r="S213" s="53">
        <v>47218</v>
      </c>
      <c r="T213" s="50" t="s">
        <v>474</v>
      </c>
      <c r="U213" s="50"/>
      <c r="V213" s="56"/>
      <c r="W213" s="50"/>
      <c r="X213" s="50"/>
      <c r="Y213" s="56"/>
      <c r="Z213" s="56"/>
      <c r="AA213" s="56"/>
      <c r="AB213" s="56"/>
      <c r="AC213" s="56"/>
      <c r="AD213" s="56"/>
    </row>
    <row x14ac:dyDescent="0.25" r="214" customHeight="1" ht="18.75">
      <c r="A214" s="48" t="s">
        <v>275</v>
      </c>
      <c r="B214" s="62"/>
      <c r="C214" s="49" t="s">
        <v>16</v>
      </c>
      <c r="D214" s="50"/>
      <c r="E214" s="50"/>
      <c r="F214" s="50" t="s">
        <v>470</v>
      </c>
      <c r="G214" s="51">
        <v>10000000</v>
      </c>
      <c r="H214" s="51"/>
      <c r="I214" s="51"/>
      <c r="J214" s="87">
        <f>IF(G214&gt;0,_xludf.IFS(G214=10000000,800000,G214=20000000,1528000,G214=30000000,2028000,G214=60000000,4056000),"")</f>
      </c>
      <c r="K214" s="51"/>
      <c r="L214" s="52">
        <v>46184</v>
      </c>
      <c r="M214" s="53">
        <f>IF(L214&gt;0,EDATE(L214,-2),"")</f>
        <v>25569.375</v>
      </c>
      <c r="N214" s="50" t="s">
        <v>168</v>
      </c>
      <c r="O214" s="50" t="s">
        <v>471</v>
      </c>
      <c r="P214" s="50" t="s">
        <v>2213</v>
      </c>
      <c r="Q214" s="55" t="s">
        <v>472</v>
      </c>
      <c r="R214" s="55">
        <v>54690579</v>
      </c>
      <c r="S214" s="53">
        <f>IF(ISNUMBER(M214), EDATE(M214,36)-1, "")</f>
        <v>25569.375</v>
      </c>
      <c r="T214" s="50"/>
      <c r="U214" s="50"/>
      <c r="V214" s="48" t="s">
        <v>475</v>
      </c>
      <c r="W214" s="50"/>
      <c r="X214" s="50"/>
      <c r="Y214" s="56"/>
      <c r="Z214" s="56"/>
      <c r="AA214" s="56"/>
      <c r="AB214" s="56"/>
      <c r="AC214" s="56"/>
      <c r="AD214" s="56"/>
    </row>
    <row x14ac:dyDescent="0.25" r="215" customHeight="1" ht="18.75">
      <c r="A215" s="56"/>
      <c r="B215" s="56"/>
      <c r="C215" s="50" t="s">
        <v>16</v>
      </c>
      <c r="D215" s="50"/>
      <c r="E215" s="50"/>
      <c r="F215" s="50" t="s">
        <v>560</v>
      </c>
      <c r="G215" s="55">
        <v>30000000</v>
      </c>
      <c r="H215" s="55"/>
      <c r="I215" s="55"/>
      <c r="J215" s="51">
        <v>2028000</v>
      </c>
      <c r="K215" s="51"/>
      <c r="L215" s="52">
        <v>46184</v>
      </c>
      <c r="M215" s="53">
        <v>46123</v>
      </c>
      <c r="N215" s="50" t="s">
        <v>161</v>
      </c>
      <c r="O215" s="50" t="s">
        <v>561</v>
      </c>
      <c r="P215" s="50" t="s">
        <v>560</v>
      </c>
      <c r="Q215" s="55" t="s">
        <v>562</v>
      </c>
      <c r="R215" s="55" t="s">
        <v>563</v>
      </c>
      <c r="S215" s="53">
        <v>47218</v>
      </c>
      <c r="T215" s="50" t="s">
        <v>564</v>
      </c>
      <c r="U215" s="50" t="s">
        <v>166</v>
      </c>
      <c r="V215" s="56"/>
      <c r="W215" s="50"/>
      <c r="X215" s="50"/>
      <c r="Y215" s="56"/>
      <c r="Z215" s="56"/>
      <c r="AA215" s="56"/>
      <c r="AB215" s="56"/>
      <c r="AC215" s="56"/>
      <c r="AD215" s="56"/>
    </row>
    <row x14ac:dyDescent="0.25" r="216" customHeight="1" ht="18.75">
      <c r="A216" s="56"/>
      <c r="B216" s="56"/>
      <c r="C216" s="50" t="s">
        <v>16</v>
      </c>
      <c r="D216" s="50"/>
      <c r="E216" s="50"/>
      <c r="F216" s="50" t="s">
        <v>565</v>
      </c>
      <c r="G216" s="55">
        <v>10000000</v>
      </c>
      <c r="H216" s="55"/>
      <c r="I216" s="55"/>
      <c r="J216" s="51">
        <v>500000</v>
      </c>
      <c r="K216" s="51"/>
      <c r="L216" s="52">
        <v>46184</v>
      </c>
      <c r="M216" s="53">
        <v>46123</v>
      </c>
      <c r="N216" s="50" t="s">
        <v>168</v>
      </c>
      <c r="O216" s="50" t="s">
        <v>471</v>
      </c>
      <c r="P216" s="50" t="s">
        <v>565</v>
      </c>
      <c r="Q216" s="55" t="s">
        <v>566</v>
      </c>
      <c r="R216" s="55" t="s">
        <v>567</v>
      </c>
      <c r="S216" s="53">
        <v>47218</v>
      </c>
      <c r="T216" s="50"/>
      <c r="U216" s="50"/>
      <c r="V216" s="56"/>
      <c r="W216" s="50"/>
      <c r="X216" s="50"/>
      <c r="Y216" s="56"/>
      <c r="Z216" s="56"/>
      <c r="AA216" s="56"/>
      <c r="AB216" s="56"/>
      <c r="AC216" s="56"/>
      <c r="AD216" s="56"/>
    </row>
    <row x14ac:dyDescent="0.25" r="217" customHeight="1" ht="18.75">
      <c r="A217" s="71"/>
      <c r="B217" s="71"/>
      <c r="C217" s="72" t="s">
        <v>16</v>
      </c>
      <c r="D217" s="72" t="s">
        <v>80</v>
      </c>
      <c r="E217" s="72"/>
      <c r="F217" s="72" t="s">
        <v>631</v>
      </c>
      <c r="G217" s="73">
        <v>10000000</v>
      </c>
      <c r="H217" s="73"/>
      <c r="I217" s="73"/>
      <c r="J217" s="74"/>
      <c r="K217" s="74"/>
      <c r="L217" s="75">
        <v>46184</v>
      </c>
      <c r="M217" s="76">
        <v>46123</v>
      </c>
      <c r="N217" s="72" t="s">
        <v>217</v>
      </c>
      <c r="O217" s="72" t="s">
        <v>632</v>
      </c>
      <c r="P217" s="72" t="s">
        <v>631</v>
      </c>
      <c r="Q217" s="73" t="s">
        <v>633</v>
      </c>
      <c r="R217" s="73" t="s">
        <v>634</v>
      </c>
      <c r="S217" s="76">
        <v>47218</v>
      </c>
      <c r="T217" s="72" t="s">
        <v>635</v>
      </c>
      <c r="U217" s="72" t="s">
        <v>166</v>
      </c>
      <c r="V217" s="71"/>
      <c r="W217" s="50"/>
      <c r="X217" s="50"/>
      <c r="Y217" s="56"/>
      <c r="Z217" s="56"/>
      <c r="AA217" s="56"/>
      <c r="AB217" s="56"/>
      <c r="AC217" s="56"/>
      <c r="AD217" s="56"/>
    </row>
    <row x14ac:dyDescent="0.25" r="218" customHeight="1" ht="18.75" hidden="1">
      <c r="A218" s="48" t="s">
        <v>152</v>
      </c>
      <c r="B218" s="48"/>
      <c r="C218" s="50" t="s">
        <v>16</v>
      </c>
      <c r="D218" s="50" t="s">
        <v>900</v>
      </c>
      <c r="E218" s="50"/>
      <c r="F218" s="50" t="s">
        <v>901</v>
      </c>
      <c r="G218" s="55">
        <v>20000000</v>
      </c>
      <c r="H218" s="55"/>
      <c r="I218" s="55"/>
      <c r="J218" s="51">
        <v>1528000</v>
      </c>
      <c r="K218" s="51"/>
      <c r="L218" s="52">
        <v>46173</v>
      </c>
      <c r="M218" s="53">
        <v>46112</v>
      </c>
      <c r="N218" s="50" t="s">
        <v>212</v>
      </c>
      <c r="O218" s="50" t="s">
        <v>902</v>
      </c>
      <c r="P218" s="50" t="s">
        <v>901</v>
      </c>
      <c r="Q218" s="55" t="s">
        <v>903</v>
      </c>
      <c r="R218" s="55" t="s">
        <v>904</v>
      </c>
      <c r="S218" s="53">
        <v>47207</v>
      </c>
      <c r="T218" s="50"/>
      <c r="U218" s="50" t="s">
        <v>166</v>
      </c>
      <c r="V218" s="56" t="s">
        <v>905</v>
      </c>
      <c r="W218" s="50"/>
      <c r="X218" s="50"/>
      <c r="Y218" s="56"/>
      <c r="Z218" s="56"/>
      <c r="AA218" s="56"/>
      <c r="AB218" s="56"/>
      <c r="AC218" s="56"/>
      <c r="AD218" s="56"/>
    </row>
    <row x14ac:dyDescent="0.25" r="219" customHeight="1" ht="18.75" hidden="1">
      <c r="A219" s="56"/>
      <c r="B219" s="56"/>
      <c r="C219" s="50" t="s">
        <v>16</v>
      </c>
      <c r="D219" s="50"/>
      <c r="E219" s="50"/>
      <c r="F219" s="50" t="s">
        <v>906</v>
      </c>
      <c r="G219" s="55">
        <v>10000000</v>
      </c>
      <c r="H219" s="55"/>
      <c r="I219" s="55"/>
      <c r="J219" s="51">
        <v>800000</v>
      </c>
      <c r="K219" s="51"/>
      <c r="L219" s="52">
        <v>46162</v>
      </c>
      <c r="M219" s="53">
        <v>46101</v>
      </c>
      <c r="N219" s="50" t="s">
        <v>239</v>
      </c>
      <c r="O219" s="50" t="s">
        <v>907</v>
      </c>
      <c r="P219" s="50" t="s">
        <v>906</v>
      </c>
      <c r="Q219" s="55" t="s">
        <v>908</v>
      </c>
      <c r="R219" s="55" t="s">
        <v>909</v>
      </c>
      <c r="S219" s="53">
        <v>47196</v>
      </c>
      <c r="T219" s="50"/>
      <c r="U219" s="50" t="s">
        <v>166</v>
      </c>
      <c r="V219" s="56"/>
      <c r="W219" s="50"/>
      <c r="X219" s="50"/>
      <c r="Y219" s="56"/>
      <c r="Z219" s="56"/>
      <c r="AA219" s="56"/>
      <c r="AB219" s="56"/>
      <c r="AC219" s="56"/>
      <c r="AD219" s="56"/>
    </row>
    <row x14ac:dyDescent="0.25" r="220" customHeight="1" ht="18.75">
      <c r="A220" s="63" t="s">
        <v>152</v>
      </c>
      <c r="B220" s="63"/>
      <c r="C220" s="49" t="s">
        <v>16</v>
      </c>
      <c r="D220" s="49"/>
      <c r="E220" s="49"/>
      <c r="F220" s="49" t="s">
        <v>824</v>
      </c>
      <c r="G220" s="64">
        <v>10000000</v>
      </c>
      <c r="H220" s="64"/>
      <c r="I220" s="64"/>
      <c r="J220" s="64">
        <v>500000</v>
      </c>
      <c r="K220" s="64"/>
      <c r="L220" s="66">
        <v>46184</v>
      </c>
      <c r="M220" s="67">
        <f>IF(L220&gt;0,EDATE(L220,-2),"")</f>
        <v>25569.375</v>
      </c>
      <c r="N220" s="49" t="s">
        <v>155</v>
      </c>
      <c r="O220" s="49" t="s">
        <v>825</v>
      </c>
      <c r="P220" s="49" t="s">
        <v>3267</v>
      </c>
      <c r="Q220" s="69" t="s">
        <v>826</v>
      </c>
      <c r="R220" s="69">
        <v>47927788</v>
      </c>
      <c r="S220" s="67">
        <f>IF(ISNUMBER(M220), EDATE(M220,36)-1, "")</f>
        <v>25569.375</v>
      </c>
      <c r="T220" s="49"/>
      <c r="U220" s="49"/>
      <c r="V220" s="63" t="s">
        <v>827</v>
      </c>
      <c r="W220" s="50"/>
      <c r="X220" s="50"/>
      <c r="Y220" s="56"/>
      <c r="Z220" s="56"/>
      <c r="AA220" s="56"/>
      <c r="AB220" s="56"/>
      <c r="AC220" s="56"/>
      <c r="AD220" s="56"/>
    </row>
    <row x14ac:dyDescent="0.25" r="221" customHeight="1" ht="18.75">
      <c r="A221" s="56"/>
      <c r="B221" s="56"/>
      <c r="C221" s="50" t="s">
        <v>16</v>
      </c>
      <c r="D221" s="50"/>
      <c r="E221" s="50"/>
      <c r="F221" s="50" t="s">
        <v>837</v>
      </c>
      <c r="G221" s="55">
        <v>10000000</v>
      </c>
      <c r="H221" s="55"/>
      <c r="I221" s="55"/>
      <c r="J221" s="51">
        <v>500000</v>
      </c>
      <c r="K221" s="51"/>
      <c r="L221" s="52">
        <v>46184</v>
      </c>
      <c r="M221" s="53">
        <v>46123</v>
      </c>
      <c r="N221" s="50" t="s">
        <v>168</v>
      </c>
      <c r="O221" s="50" t="s">
        <v>471</v>
      </c>
      <c r="P221" s="50" t="s">
        <v>837</v>
      </c>
      <c r="Q221" s="55" t="s">
        <v>838</v>
      </c>
      <c r="R221" s="55" t="s">
        <v>839</v>
      </c>
      <c r="S221" s="53">
        <v>47218</v>
      </c>
      <c r="T221" s="50" t="s">
        <v>840</v>
      </c>
      <c r="U221" s="50"/>
      <c r="V221" s="56"/>
      <c r="W221" s="50"/>
      <c r="X221" s="50"/>
      <c r="Y221" s="56"/>
      <c r="Z221" s="56"/>
      <c r="AA221" s="56"/>
      <c r="AB221" s="56"/>
      <c r="AC221" s="56"/>
      <c r="AD221" s="56"/>
    </row>
    <row x14ac:dyDescent="0.25" r="222" customHeight="1" ht="18.75">
      <c r="A222" s="48" t="s">
        <v>275</v>
      </c>
      <c r="B222" s="62"/>
      <c r="C222" s="49" t="s">
        <v>16</v>
      </c>
      <c r="D222" s="50"/>
      <c r="E222" s="50"/>
      <c r="F222" s="50" t="s">
        <v>837</v>
      </c>
      <c r="G222" s="51">
        <v>10000000</v>
      </c>
      <c r="H222" s="51"/>
      <c r="I222" s="51"/>
      <c r="J222" s="87">
        <f>IF(G222&gt;0,_xludf.IFS(G222=10000000,800000,G222=20000000,1528000,G222=30000000,2028000,G222=60000000,4056000),"")</f>
      </c>
      <c r="K222" s="51"/>
      <c r="L222" s="52">
        <v>46184</v>
      </c>
      <c r="M222" s="53">
        <f>IF(L222&gt;0,EDATE(L222,-2),"")</f>
        <v>25569.375</v>
      </c>
      <c r="N222" s="50" t="s">
        <v>168</v>
      </c>
      <c r="O222" s="50" t="s">
        <v>471</v>
      </c>
      <c r="P222" s="50" t="s">
        <v>2213</v>
      </c>
      <c r="Q222" s="55" t="s">
        <v>838</v>
      </c>
      <c r="R222" s="55">
        <v>64712886</v>
      </c>
      <c r="S222" s="53">
        <f>IF(ISNUMBER(M222), EDATE(M222,36)-1, "")</f>
        <v>25569.375</v>
      </c>
      <c r="T222" s="50"/>
      <c r="U222" s="50"/>
      <c r="V222" s="48" t="s">
        <v>841</v>
      </c>
      <c r="W222" s="50"/>
      <c r="X222" s="50"/>
      <c r="Y222" s="56"/>
      <c r="Z222" s="56"/>
      <c r="AA222" s="56"/>
      <c r="AB222" s="56"/>
      <c r="AC222" s="56"/>
      <c r="AD222" s="56"/>
    </row>
    <row x14ac:dyDescent="0.25" r="223" customHeight="1" ht="18.75" hidden="1">
      <c r="A223" s="56"/>
      <c r="B223" s="56"/>
      <c r="C223" s="50" t="s">
        <v>16</v>
      </c>
      <c r="D223" s="50"/>
      <c r="E223" s="50"/>
      <c r="F223" s="50" t="s">
        <v>925</v>
      </c>
      <c r="G223" s="55">
        <v>10000000</v>
      </c>
      <c r="H223" s="55"/>
      <c r="I223" s="55"/>
      <c r="J223" s="51">
        <v>800000</v>
      </c>
      <c r="K223" s="51"/>
      <c r="L223" s="52">
        <v>46080</v>
      </c>
      <c r="M223" s="53">
        <v>46018</v>
      </c>
      <c r="N223" s="50" t="s">
        <v>239</v>
      </c>
      <c r="O223" s="50" t="s">
        <v>926</v>
      </c>
      <c r="P223" s="50" t="s">
        <v>925</v>
      </c>
      <c r="Q223" s="55" t="s">
        <v>927</v>
      </c>
      <c r="R223" s="55" t="s">
        <v>928</v>
      </c>
      <c r="S223" s="53">
        <v>47113</v>
      </c>
      <c r="T223" s="50"/>
      <c r="U223" s="50"/>
      <c r="V223" s="56"/>
      <c r="W223" s="50"/>
      <c r="X223" s="50"/>
      <c r="Y223" s="56"/>
      <c r="Z223" s="56"/>
      <c r="AA223" s="56"/>
      <c r="AB223" s="56"/>
      <c r="AC223" s="56"/>
      <c r="AD223" s="56"/>
    </row>
    <row x14ac:dyDescent="0.25" r="224" customHeight="1" ht="18.75" hidden="1">
      <c r="A224" s="56"/>
      <c r="B224" s="56"/>
      <c r="C224" s="50" t="s">
        <v>16</v>
      </c>
      <c r="D224" s="50"/>
      <c r="E224" s="50"/>
      <c r="F224" s="50" t="s">
        <v>929</v>
      </c>
      <c r="G224" s="55">
        <v>10000000</v>
      </c>
      <c r="H224" s="55"/>
      <c r="I224" s="55"/>
      <c r="J224" s="51">
        <v>800000</v>
      </c>
      <c r="K224" s="51"/>
      <c r="L224" s="52">
        <v>46008</v>
      </c>
      <c r="M224" s="53">
        <v>45947</v>
      </c>
      <c r="N224" s="50" t="s">
        <v>168</v>
      </c>
      <c r="O224" s="50" t="s">
        <v>930</v>
      </c>
      <c r="P224" s="50" t="s">
        <v>929</v>
      </c>
      <c r="Q224" s="55" t="s">
        <v>931</v>
      </c>
      <c r="R224" s="55" t="s">
        <v>932</v>
      </c>
      <c r="S224" s="53">
        <v>47042</v>
      </c>
      <c r="T224" s="50"/>
      <c r="U224" s="50"/>
      <c r="V224" s="56"/>
      <c r="W224" s="50"/>
      <c r="X224" s="50"/>
      <c r="Y224" s="56"/>
      <c r="Z224" s="56"/>
      <c r="AA224" s="56"/>
      <c r="AB224" s="56"/>
      <c r="AC224" s="56"/>
      <c r="AD224" s="56"/>
    </row>
    <row x14ac:dyDescent="0.25" r="225" customHeight="1" ht="18.75" hidden="1">
      <c r="A225" s="48" t="s">
        <v>252</v>
      </c>
      <c r="B225" s="48"/>
      <c r="C225" s="50" t="s">
        <v>16</v>
      </c>
      <c r="D225" s="50"/>
      <c r="E225" s="50"/>
      <c r="F225" s="50" t="s">
        <v>34</v>
      </c>
      <c r="G225" s="55">
        <v>60000000</v>
      </c>
      <c r="H225" s="55"/>
      <c r="I225" s="55"/>
      <c r="J225" s="51">
        <v>4056000</v>
      </c>
      <c r="K225" s="51"/>
      <c r="L225" s="52">
        <v>44145</v>
      </c>
      <c r="M225" s="53">
        <v>44084</v>
      </c>
      <c r="N225" s="50" t="s">
        <v>933</v>
      </c>
      <c r="O225" s="50" t="s">
        <v>934</v>
      </c>
      <c r="P225" s="50" t="s">
        <v>34</v>
      </c>
      <c r="Q225" s="55" t="s">
        <v>935</v>
      </c>
      <c r="R225" s="55" t="s">
        <v>936</v>
      </c>
      <c r="S225" s="53">
        <v>45178</v>
      </c>
      <c r="T225" s="50"/>
      <c r="U225" s="50"/>
      <c r="V225" s="56"/>
      <c r="W225" s="50"/>
      <c r="X225" s="50"/>
      <c r="Y225" s="56"/>
      <c r="Z225" s="56"/>
      <c r="AA225" s="56"/>
      <c r="AB225" s="56"/>
      <c r="AC225" s="56"/>
      <c r="AD225" s="56"/>
    </row>
    <row x14ac:dyDescent="0.25" r="226" customHeight="1" ht="18.75" hidden="1">
      <c r="A226" s="56"/>
      <c r="B226" s="56"/>
      <c r="C226" s="50" t="s">
        <v>16</v>
      </c>
      <c r="D226" s="50"/>
      <c r="E226" s="50"/>
      <c r="F226" s="50" t="s">
        <v>34</v>
      </c>
      <c r="G226" s="55">
        <v>60000000</v>
      </c>
      <c r="H226" s="55"/>
      <c r="I226" s="55"/>
      <c r="J226" s="51">
        <v>4800000</v>
      </c>
      <c r="K226" s="51"/>
      <c r="L226" s="52">
        <v>45909</v>
      </c>
      <c r="M226" s="53">
        <v>45847</v>
      </c>
      <c r="N226" s="50" t="s">
        <v>155</v>
      </c>
      <c r="O226" s="50" t="s">
        <v>937</v>
      </c>
      <c r="P226" s="50" t="s">
        <v>34</v>
      </c>
      <c r="Q226" s="55" t="s">
        <v>935</v>
      </c>
      <c r="R226" s="55" t="s">
        <v>938</v>
      </c>
      <c r="S226" s="53">
        <v>46942</v>
      </c>
      <c r="T226" s="50"/>
      <c r="U226" s="50"/>
      <c r="V226" s="56"/>
      <c r="W226" s="50"/>
      <c r="X226" s="50"/>
      <c r="Y226" s="56"/>
      <c r="Z226" s="56"/>
      <c r="AA226" s="56"/>
      <c r="AB226" s="56"/>
      <c r="AC226" s="56"/>
      <c r="AD226" s="56"/>
    </row>
    <row x14ac:dyDescent="0.25" r="227" customHeight="1" ht="18.75" hidden="1">
      <c r="A227" s="48" t="s">
        <v>252</v>
      </c>
      <c r="B227" s="48"/>
      <c r="C227" s="50" t="s">
        <v>16</v>
      </c>
      <c r="D227" s="50"/>
      <c r="E227" s="50"/>
      <c r="F227" s="50" t="s">
        <v>34</v>
      </c>
      <c r="G227" s="55">
        <v>60000000</v>
      </c>
      <c r="H227" s="55"/>
      <c r="I227" s="55"/>
      <c r="J227" s="51">
        <v>4800000</v>
      </c>
      <c r="K227" s="51"/>
      <c r="L227" s="52">
        <v>45971</v>
      </c>
      <c r="M227" s="53">
        <v>45910</v>
      </c>
      <c r="N227" s="50" t="s">
        <v>933</v>
      </c>
      <c r="O227" s="50" t="s">
        <v>939</v>
      </c>
      <c r="P227" s="50" t="s">
        <v>34</v>
      </c>
      <c r="Q227" s="55" t="s">
        <v>935</v>
      </c>
      <c r="R227" s="55" t="s">
        <v>938</v>
      </c>
      <c r="S227" s="53">
        <v>47005</v>
      </c>
      <c r="T227" s="50"/>
      <c r="U227" s="50"/>
      <c r="V227" s="56"/>
      <c r="W227" s="50"/>
      <c r="X227" s="50"/>
      <c r="Y227" s="56"/>
      <c r="Z227" s="56"/>
      <c r="AA227" s="56"/>
      <c r="AB227" s="56"/>
      <c r="AC227" s="56"/>
      <c r="AD227" s="56"/>
    </row>
    <row x14ac:dyDescent="0.25" r="228" customHeight="1" ht="18.75">
      <c r="A228" s="56"/>
      <c r="B228" s="56"/>
      <c r="C228" s="50" t="s">
        <v>16</v>
      </c>
      <c r="D228" s="50"/>
      <c r="E228" s="50"/>
      <c r="F228" s="50" t="s">
        <v>890</v>
      </c>
      <c r="G228" s="55">
        <v>10000000</v>
      </c>
      <c r="H228" s="55"/>
      <c r="I228" s="55"/>
      <c r="J228" s="51">
        <v>500000</v>
      </c>
      <c r="K228" s="51"/>
      <c r="L228" s="52">
        <v>46184</v>
      </c>
      <c r="M228" s="53">
        <v>46123</v>
      </c>
      <c r="N228" s="50" t="s">
        <v>168</v>
      </c>
      <c r="O228" s="50" t="s">
        <v>471</v>
      </c>
      <c r="P228" s="50" t="s">
        <v>890</v>
      </c>
      <c r="Q228" s="55" t="s">
        <v>891</v>
      </c>
      <c r="R228" s="55" t="s">
        <v>892</v>
      </c>
      <c r="S228" s="53">
        <v>47218</v>
      </c>
      <c r="T228" s="50" t="s">
        <v>893</v>
      </c>
      <c r="U228" s="50"/>
      <c r="V228" s="56"/>
      <c r="W228" s="50"/>
      <c r="X228" s="50"/>
      <c r="Y228" s="56"/>
      <c r="Z228" s="56"/>
      <c r="AA228" s="56"/>
      <c r="AB228" s="56"/>
      <c r="AC228" s="56"/>
      <c r="AD228" s="56"/>
    </row>
    <row x14ac:dyDescent="0.25" r="229" customHeight="1" ht="18.75" hidden="1">
      <c r="A229" s="56"/>
      <c r="B229" s="56"/>
      <c r="C229" s="50" t="s">
        <v>16</v>
      </c>
      <c r="D229" s="50"/>
      <c r="E229" s="50"/>
      <c r="F229" s="50" t="s">
        <v>942</v>
      </c>
      <c r="G229" s="55">
        <v>10000000</v>
      </c>
      <c r="H229" s="55"/>
      <c r="I229" s="55"/>
      <c r="J229" s="51">
        <v>800000</v>
      </c>
      <c r="K229" s="51"/>
      <c r="L229" s="52">
        <v>46133</v>
      </c>
      <c r="M229" s="53">
        <v>46074</v>
      </c>
      <c r="N229" s="50" t="s">
        <v>182</v>
      </c>
      <c r="O229" s="50" t="s">
        <v>3268</v>
      </c>
      <c r="P229" s="50" t="s">
        <v>942</v>
      </c>
      <c r="Q229" s="55" t="s">
        <v>944</v>
      </c>
      <c r="R229" s="55" t="s">
        <v>3269</v>
      </c>
      <c r="S229" s="53">
        <v>47169</v>
      </c>
      <c r="T229" s="50"/>
      <c r="U229" s="50" t="s">
        <v>166</v>
      </c>
      <c r="V229" s="56"/>
      <c r="W229" s="50"/>
      <c r="X229" s="50"/>
      <c r="Y229" s="56"/>
      <c r="Z229" s="56"/>
      <c r="AA229" s="56"/>
      <c r="AB229" s="56"/>
      <c r="AC229" s="56"/>
      <c r="AD229" s="56"/>
    </row>
    <row x14ac:dyDescent="0.25" r="230" customHeight="1" ht="18.75" hidden="1">
      <c r="A230" s="63"/>
      <c r="B230" s="63"/>
      <c r="C230" s="49" t="s">
        <v>16</v>
      </c>
      <c r="D230" s="49"/>
      <c r="E230" s="49"/>
      <c r="F230" s="49" t="s">
        <v>942</v>
      </c>
      <c r="G230" s="64">
        <v>30000000</v>
      </c>
      <c r="H230" s="64"/>
      <c r="I230" s="64"/>
      <c r="J230" s="65">
        <f>IF(G230&gt;0,_xludf.IFS(G230=10000000,800000,G230=20000000,1528000,G230=30000000,2028000,G230=60000000,4056000),"")</f>
      </c>
      <c r="K230" s="64"/>
      <c r="L230" s="66">
        <v>46133</v>
      </c>
      <c r="M230" s="67">
        <f>IF(L230&gt;0,EDATE(L230,-2),"")</f>
        <v>25569.375</v>
      </c>
      <c r="N230" s="49" t="s">
        <v>239</v>
      </c>
      <c r="O230" s="49" t="s">
        <v>943</v>
      </c>
      <c r="P230" s="68">
        <f>IF(F230&gt;0,F230,"")</f>
      </c>
      <c r="Q230" s="69" t="s">
        <v>944</v>
      </c>
      <c r="R230" s="69">
        <v>85439498</v>
      </c>
      <c r="S230" s="53">
        <f>IF(M230&gt;0,EDATE(M230,36)-1,"")</f>
        <v>25569.375</v>
      </c>
      <c r="T230" s="49"/>
      <c r="U230" s="49"/>
      <c r="V230" s="63"/>
      <c r="W230" s="50"/>
      <c r="X230" s="50"/>
      <c r="Y230" s="56"/>
      <c r="Z230" s="56"/>
      <c r="AA230" s="56"/>
      <c r="AB230" s="56"/>
      <c r="AC230" s="56"/>
      <c r="AD230" s="56"/>
    </row>
    <row x14ac:dyDescent="0.25" r="231" customHeight="1" ht="18.75" hidden="1">
      <c r="A231" s="56"/>
      <c r="B231" s="56"/>
      <c r="C231" s="50" t="s">
        <v>16</v>
      </c>
      <c r="D231" s="50"/>
      <c r="E231" s="50"/>
      <c r="F231" s="50" t="s">
        <v>945</v>
      </c>
      <c r="G231" s="55">
        <v>10000000</v>
      </c>
      <c r="H231" s="55"/>
      <c r="I231" s="55"/>
      <c r="J231" s="51">
        <v>800000</v>
      </c>
      <c r="K231" s="51"/>
      <c r="L231" s="52">
        <v>46111</v>
      </c>
      <c r="M231" s="53">
        <v>46052</v>
      </c>
      <c r="N231" s="50" t="s">
        <v>155</v>
      </c>
      <c r="O231" s="50" t="s">
        <v>946</v>
      </c>
      <c r="P231" s="50" t="s">
        <v>945</v>
      </c>
      <c r="Q231" s="55" t="s">
        <v>947</v>
      </c>
      <c r="R231" s="55" t="s">
        <v>948</v>
      </c>
      <c r="S231" s="53">
        <v>47147</v>
      </c>
      <c r="T231" s="50"/>
      <c r="U231" s="50" t="s">
        <v>949</v>
      </c>
      <c r="V231" s="56"/>
      <c r="W231" s="50"/>
      <c r="X231" s="50"/>
      <c r="Y231" s="56"/>
      <c r="Z231" s="56"/>
      <c r="AA231" s="56"/>
      <c r="AB231" s="56"/>
      <c r="AC231" s="56"/>
      <c r="AD231" s="56"/>
    </row>
    <row x14ac:dyDescent="0.25" r="232" customHeight="1" ht="18.75">
      <c r="A232" s="48" t="s">
        <v>275</v>
      </c>
      <c r="B232" s="62"/>
      <c r="C232" s="49" t="s">
        <v>16</v>
      </c>
      <c r="D232" s="50"/>
      <c r="E232" s="50"/>
      <c r="F232" s="50" t="s">
        <v>890</v>
      </c>
      <c r="G232" s="51">
        <v>10000000</v>
      </c>
      <c r="H232" s="51"/>
      <c r="I232" s="51"/>
      <c r="J232" s="87">
        <f>IF(G232&gt;0,_xludf.IFS(G232=10000000,800000,G232=20000000,1528000,G232=30000000,2028000,G232=60000000,4056000),"")</f>
      </c>
      <c r="K232" s="51"/>
      <c r="L232" s="52">
        <v>46184</v>
      </c>
      <c r="M232" s="53">
        <f>IF(L232&gt;0,EDATE(L232,-2),"")</f>
        <v>25569.375</v>
      </c>
      <c r="N232" s="50" t="s">
        <v>168</v>
      </c>
      <c r="O232" s="50" t="s">
        <v>471</v>
      </c>
      <c r="P232" s="50" t="s">
        <v>2213</v>
      </c>
      <c r="Q232" s="55" t="s">
        <v>891</v>
      </c>
      <c r="R232" s="55">
        <v>88047179</v>
      </c>
      <c r="S232" s="53">
        <f>IF(ISNUMBER(M232), EDATE(M232,36)-1, "")</f>
        <v>25569.375</v>
      </c>
      <c r="T232" s="50"/>
      <c r="U232" s="50"/>
      <c r="V232" s="48" t="s">
        <v>894</v>
      </c>
      <c r="W232" s="50"/>
      <c r="X232" s="50"/>
      <c r="Y232" s="56"/>
      <c r="Z232" s="56"/>
      <c r="AA232" s="56"/>
      <c r="AB232" s="56"/>
      <c r="AC232" s="56"/>
      <c r="AD232" s="56"/>
    </row>
    <row x14ac:dyDescent="0.25" r="233" customHeight="1" ht="18.75" hidden="1">
      <c r="A233" s="56"/>
      <c r="B233" s="56"/>
      <c r="C233" s="50" t="s">
        <v>16</v>
      </c>
      <c r="D233" s="50"/>
      <c r="E233" s="50"/>
      <c r="F233" s="50" t="s">
        <v>952</v>
      </c>
      <c r="G233" s="55">
        <v>20000000</v>
      </c>
      <c r="H233" s="55"/>
      <c r="I233" s="55"/>
      <c r="J233" s="51">
        <v>1528000</v>
      </c>
      <c r="K233" s="51"/>
      <c r="L233" s="52">
        <v>46052</v>
      </c>
      <c r="M233" s="53">
        <v>45990</v>
      </c>
      <c r="N233" s="50" t="s">
        <v>155</v>
      </c>
      <c r="O233" s="50" t="s">
        <v>953</v>
      </c>
      <c r="P233" s="50" t="s">
        <v>952</v>
      </c>
      <c r="Q233" s="55" t="s">
        <v>954</v>
      </c>
      <c r="R233" s="55" t="s">
        <v>955</v>
      </c>
      <c r="S233" s="53">
        <v>47085</v>
      </c>
      <c r="T233" s="50"/>
      <c r="U233" s="50"/>
      <c r="V233" s="56"/>
      <c r="W233" s="50"/>
      <c r="X233" s="50"/>
      <c r="Y233" s="56"/>
      <c r="Z233" s="56"/>
      <c r="AA233" s="56"/>
      <c r="AB233" s="56"/>
      <c r="AC233" s="56"/>
      <c r="AD233" s="56"/>
    </row>
    <row x14ac:dyDescent="0.25" r="234" customHeight="1" ht="18.75">
      <c r="A234" s="56"/>
      <c r="B234" s="56"/>
      <c r="C234" s="50" t="s">
        <v>16</v>
      </c>
      <c r="D234" s="50"/>
      <c r="E234" s="50"/>
      <c r="F234" s="50" t="s">
        <v>895</v>
      </c>
      <c r="G234" s="55">
        <v>10000000</v>
      </c>
      <c r="H234" s="55"/>
      <c r="I234" s="55"/>
      <c r="J234" s="51">
        <v>500000</v>
      </c>
      <c r="K234" s="51"/>
      <c r="L234" s="52">
        <v>46184</v>
      </c>
      <c r="M234" s="53">
        <v>46123</v>
      </c>
      <c r="N234" s="50" t="s">
        <v>168</v>
      </c>
      <c r="O234" s="50" t="s">
        <v>471</v>
      </c>
      <c r="P234" s="50" t="s">
        <v>2213</v>
      </c>
      <c r="Q234" s="55" t="s">
        <v>896</v>
      </c>
      <c r="R234" s="55" t="s">
        <v>897</v>
      </c>
      <c r="S234" s="53">
        <v>47218</v>
      </c>
      <c r="T234" s="50" t="s">
        <v>898</v>
      </c>
      <c r="U234" s="50" t="s">
        <v>166</v>
      </c>
      <c r="V234" s="56"/>
      <c r="W234" s="50"/>
      <c r="X234" s="50"/>
      <c r="Y234" s="56"/>
      <c r="Z234" s="56"/>
      <c r="AA234" s="56"/>
      <c r="AB234" s="56"/>
      <c r="AC234" s="56"/>
      <c r="AD234" s="56"/>
    </row>
    <row x14ac:dyDescent="0.25" r="235" customHeight="1" ht="18.75" hidden="1">
      <c r="A235" s="56"/>
      <c r="B235" s="56"/>
      <c r="C235" s="50" t="s">
        <v>16</v>
      </c>
      <c r="D235" s="50"/>
      <c r="E235" s="50" t="s">
        <v>958</v>
      </c>
      <c r="F235" s="50" t="s">
        <v>959</v>
      </c>
      <c r="G235" s="55">
        <v>10000000</v>
      </c>
      <c r="H235" s="55"/>
      <c r="I235" s="55"/>
      <c r="J235" s="51">
        <v>500000</v>
      </c>
      <c r="K235" s="51"/>
      <c r="L235" s="52">
        <v>46083</v>
      </c>
      <c r="M235" s="53">
        <v>46024</v>
      </c>
      <c r="N235" s="50" t="s">
        <v>155</v>
      </c>
      <c r="O235" s="50" t="s">
        <v>960</v>
      </c>
      <c r="P235" s="50" t="s">
        <v>959</v>
      </c>
      <c r="Q235" s="55" t="s">
        <v>961</v>
      </c>
      <c r="R235" s="55" t="s">
        <v>962</v>
      </c>
      <c r="S235" s="53">
        <v>47119</v>
      </c>
      <c r="T235" s="50"/>
      <c r="U235" s="50"/>
      <c r="V235" s="56"/>
      <c r="W235" s="50"/>
      <c r="X235" s="50"/>
      <c r="Y235" s="56"/>
      <c r="Z235" s="56"/>
      <c r="AA235" s="56"/>
      <c r="AB235" s="56"/>
      <c r="AC235" s="56"/>
      <c r="AD235" s="56"/>
    </row>
    <row x14ac:dyDescent="0.25" r="236" customHeight="1" ht="18.75">
      <c r="A236" s="48" t="s">
        <v>275</v>
      </c>
      <c r="B236" s="62"/>
      <c r="C236" s="49" t="s">
        <v>16</v>
      </c>
      <c r="D236" s="50"/>
      <c r="E236" s="50"/>
      <c r="F236" s="50" t="s">
        <v>895</v>
      </c>
      <c r="G236" s="51">
        <v>10000000</v>
      </c>
      <c r="H236" s="51"/>
      <c r="I236" s="51"/>
      <c r="J236" s="87">
        <f>IF(G236&gt;0,_xludf.IFS(G236=10000000,800000,G236=20000000,1528000,G236=30000000,2028000,G236=60000000,4056000),"")</f>
      </c>
      <c r="K236" s="51"/>
      <c r="L236" s="52">
        <v>46184</v>
      </c>
      <c r="M236" s="53">
        <f>IF(L236&gt;0,EDATE(L236,-2),"")</f>
        <v>25569.375</v>
      </c>
      <c r="N236" s="50" t="s">
        <v>168</v>
      </c>
      <c r="O236" s="50" t="s">
        <v>471</v>
      </c>
      <c r="P236" s="50" t="s">
        <v>2213</v>
      </c>
      <c r="Q236" s="55" t="s">
        <v>896</v>
      </c>
      <c r="R236" s="55">
        <v>74120680</v>
      </c>
      <c r="S236" s="53">
        <f>IF(ISNUMBER(M236), EDATE(M236,36)-1, "")</f>
        <v>25569.375</v>
      </c>
      <c r="T236" s="50"/>
      <c r="U236" s="50"/>
      <c r="V236" s="48" t="s">
        <v>475</v>
      </c>
      <c r="W236" s="50"/>
      <c r="X236" s="50"/>
      <c r="Y236" s="56"/>
      <c r="Z236" s="56"/>
      <c r="AA236" s="56"/>
      <c r="AB236" s="56"/>
      <c r="AC236" s="56"/>
      <c r="AD236" s="56"/>
    </row>
    <row x14ac:dyDescent="0.25" r="237" customHeight="1" ht="18.75" hidden="1">
      <c r="A237" s="56"/>
      <c r="B237" s="56"/>
      <c r="C237" s="50" t="s">
        <v>13</v>
      </c>
      <c r="D237" s="50"/>
      <c r="E237" s="50"/>
      <c r="F237" s="50" t="s">
        <v>967</v>
      </c>
      <c r="G237" s="55">
        <v>60000000</v>
      </c>
      <c r="H237" s="55"/>
      <c r="I237" s="55"/>
      <c r="J237" s="51">
        <v>4800000</v>
      </c>
      <c r="K237" s="51"/>
      <c r="L237" s="52">
        <v>45778</v>
      </c>
      <c r="M237" s="53">
        <v>45717</v>
      </c>
      <c r="N237" s="50" t="s">
        <v>155</v>
      </c>
      <c r="O237" s="50" t="s">
        <v>968</v>
      </c>
      <c r="P237" s="50" t="s">
        <v>967</v>
      </c>
      <c r="Q237" s="55" t="s">
        <v>969</v>
      </c>
      <c r="R237" s="55" t="s">
        <v>970</v>
      </c>
      <c r="S237" s="53">
        <v>46812</v>
      </c>
      <c r="T237" s="50"/>
      <c r="U237" s="50" t="s">
        <v>971</v>
      </c>
      <c r="V237" s="56"/>
      <c r="W237" s="50"/>
      <c r="X237" s="50"/>
      <c r="Y237" s="56"/>
      <c r="Z237" s="56"/>
      <c r="AA237" s="56"/>
      <c r="AB237" s="56"/>
      <c r="AC237" s="56"/>
      <c r="AD237" s="56"/>
    </row>
    <row x14ac:dyDescent="0.25" r="238" customHeight="1" ht="18.75" hidden="1">
      <c r="A238" s="56"/>
      <c r="B238" s="56"/>
      <c r="C238" s="50" t="s">
        <v>972</v>
      </c>
      <c r="D238" s="50"/>
      <c r="E238" s="50"/>
      <c r="F238" s="50" t="s">
        <v>967</v>
      </c>
      <c r="G238" s="55">
        <v>60000000</v>
      </c>
      <c r="H238" s="55"/>
      <c r="I238" s="55"/>
      <c r="J238" s="51">
        <v>4800000</v>
      </c>
      <c r="K238" s="51"/>
      <c r="L238" s="52">
        <v>45818</v>
      </c>
      <c r="M238" s="53">
        <v>45757</v>
      </c>
      <c r="N238" s="50" t="s">
        <v>282</v>
      </c>
      <c r="O238" s="50" t="s">
        <v>973</v>
      </c>
      <c r="P238" s="50" t="s">
        <v>967</v>
      </c>
      <c r="Q238" s="55" t="s">
        <v>969</v>
      </c>
      <c r="R238" s="55" t="s">
        <v>970</v>
      </c>
      <c r="S238" s="53">
        <v>46852</v>
      </c>
      <c r="T238" s="50"/>
      <c r="U238" s="50"/>
      <c r="V238" s="56"/>
      <c r="W238" s="50"/>
      <c r="X238" s="50"/>
      <c r="Y238" s="56"/>
      <c r="Z238" s="56"/>
      <c r="AA238" s="56"/>
      <c r="AB238" s="56"/>
      <c r="AC238" s="56"/>
      <c r="AD238" s="56"/>
    </row>
    <row x14ac:dyDescent="0.25" r="239" customHeight="1" ht="18.75" hidden="1">
      <c r="A239" s="56"/>
      <c r="B239" s="56"/>
      <c r="C239" s="50" t="s">
        <v>16</v>
      </c>
      <c r="D239" s="50"/>
      <c r="E239" s="50"/>
      <c r="F239" s="50" t="s">
        <v>967</v>
      </c>
      <c r="G239" s="55">
        <v>30000000</v>
      </c>
      <c r="H239" s="55"/>
      <c r="I239" s="55"/>
      <c r="J239" s="51">
        <v>2400000</v>
      </c>
      <c r="K239" s="51"/>
      <c r="L239" s="52">
        <v>45938</v>
      </c>
      <c r="M239" s="53">
        <v>45877</v>
      </c>
      <c r="N239" s="50" t="s">
        <v>282</v>
      </c>
      <c r="O239" s="50" t="s">
        <v>973</v>
      </c>
      <c r="P239" s="50" t="s">
        <v>967</v>
      </c>
      <c r="Q239" s="55" t="s">
        <v>969</v>
      </c>
      <c r="R239" s="55" t="s">
        <v>970</v>
      </c>
      <c r="S239" s="53">
        <v>46972</v>
      </c>
      <c r="T239" s="50"/>
      <c r="U239" s="50"/>
      <c r="V239" s="56"/>
      <c r="W239" s="50"/>
      <c r="X239" s="50"/>
      <c r="Y239" s="56"/>
      <c r="Z239" s="56"/>
      <c r="AA239" s="56"/>
      <c r="AB239" s="56"/>
      <c r="AC239" s="56"/>
      <c r="AD239" s="56"/>
    </row>
    <row x14ac:dyDescent="0.25" r="240" customHeight="1" ht="18.75" hidden="1">
      <c r="A240" s="56"/>
      <c r="B240" s="56"/>
      <c r="C240" s="50" t="s">
        <v>16</v>
      </c>
      <c r="D240" s="50"/>
      <c r="E240" s="50"/>
      <c r="F240" s="50" t="s">
        <v>967</v>
      </c>
      <c r="G240" s="55">
        <v>30000000</v>
      </c>
      <c r="H240" s="55"/>
      <c r="I240" s="55"/>
      <c r="J240" s="51">
        <v>2400000</v>
      </c>
      <c r="K240" s="51"/>
      <c r="L240" s="52">
        <v>45940</v>
      </c>
      <c r="M240" s="53">
        <v>45879</v>
      </c>
      <c r="N240" s="50" t="s">
        <v>282</v>
      </c>
      <c r="O240" s="50" t="s">
        <v>973</v>
      </c>
      <c r="P240" s="50" t="s">
        <v>967</v>
      </c>
      <c r="Q240" s="55" t="s">
        <v>969</v>
      </c>
      <c r="R240" s="55" t="s">
        <v>970</v>
      </c>
      <c r="S240" s="53">
        <v>45943</v>
      </c>
      <c r="T240" s="50"/>
      <c r="U240" s="50"/>
      <c r="V240" s="56"/>
      <c r="W240" s="50"/>
      <c r="X240" s="50"/>
      <c r="Y240" s="56"/>
      <c r="Z240" s="56"/>
      <c r="AA240" s="56"/>
      <c r="AB240" s="56"/>
      <c r="AC240" s="56"/>
      <c r="AD240" s="56"/>
    </row>
    <row x14ac:dyDescent="0.25" r="241" customHeight="1" ht="18.75" hidden="1">
      <c r="A241" s="56"/>
      <c r="B241" s="56"/>
      <c r="C241" s="50" t="s">
        <v>16</v>
      </c>
      <c r="D241" s="50"/>
      <c r="E241" s="50"/>
      <c r="F241" s="50" t="s">
        <v>974</v>
      </c>
      <c r="G241" s="55">
        <v>20000000</v>
      </c>
      <c r="H241" s="55"/>
      <c r="I241" s="55"/>
      <c r="J241" s="51">
        <v>1528000</v>
      </c>
      <c r="K241" s="51"/>
      <c r="L241" s="52">
        <v>46001</v>
      </c>
      <c r="M241" s="53">
        <v>45940</v>
      </c>
      <c r="N241" s="50" t="s">
        <v>580</v>
      </c>
      <c r="O241" s="50" t="s">
        <v>975</v>
      </c>
      <c r="P241" s="50" t="s">
        <v>974</v>
      </c>
      <c r="Q241" s="55" t="s">
        <v>976</v>
      </c>
      <c r="R241" s="55" t="s">
        <v>977</v>
      </c>
      <c r="S241" s="53">
        <v>47035</v>
      </c>
      <c r="T241" s="50"/>
      <c r="U241" s="50"/>
      <c r="V241" s="56"/>
      <c r="W241" s="50"/>
      <c r="X241" s="50"/>
      <c r="Y241" s="56"/>
      <c r="Z241" s="56"/>
      <c r="AA241" s="56"/>
      <c r="AB241" s="56"/>
      <c r="AC241" s="56"/>
      <c r="AD241" s="56"/>
    </row>
    <row x14ac:dyDescent="0.25" r="242" customHeight="1" ht="18.75">
      <c r="A242" s="56"/>
      <c r="B242" s="56"/>
      <c r="C242" s="50" t="s">
        <v>16</v>
      </c>
      <c r="D242" s="50"/>
      <c r="E242" s="50"/>
      <c r="F242" s="50" t="s">
        <v>899</v>
      </c>
      <c r="G242" s="55">
        <v>10000000</v>
      </c>
      <c r="H242" s="55"/>
      <c r="I242" s="55"/>
      <c r="J242" s="51">
        <v>500000</v>
      </c>
      <c r="K242" s="51"/>
      <c r="L242" s="52">
        <v>46184</v>
      </c>
      <c r="M242" s="53">
        <v>46123</v>
      </c>
      <c r="N242" s="50" t="s">
        <v>168</v>
      </c>
      <c r="O242" s="50" t="s">
        <v>471</v>
      </c>
      <c r="P242" s="50" t="s">
        <v>899</v>
      </c>
      <c r="Q242" s="55" t="s">
        <v>896</v>
      </c>
      <c r="R242" s="55" t="s">
        <v>897</v>
      </c>
      <c r="S242" s="53">
        <v>47218</v>
      </c>
      <c r="T242" s="50"/>
      <c r="U242" s="50" t="s">
        <v>166</v>
      </c>
      <c r="V242" s="56"/>
      <c r="W242" s="50"/>
      <c r="X242" s="50"/>
      <c r="Y242" s="56"/>
      <c r="Z242" s="56"/>
      <c r="AA242" s="56"/>
      <c r="AB242" s="56"/>
      <c r="AC242" s="56"/>
      <c r="AD242" s="56"/>
    </row>
    <row x14ac:dyDescent="0.25" r="243" customHeight="1" ht="18.75">
      <c r="A243" s="56"/>
      <c r="B243" s="56"/>
      <c r="C243" s="50" t="s">
        <v>16</v>
      </c>
      <c r="D243" s="50"/>
      <c r="E243" s="50"/>
      <c r="F243" s="50" t="s">
        <v>1003</v>
      </c>
      <c r="G243" s="55">
        <v>10000000</v>
      </c>
      <c r="H243" s="55"/>
      <c r="I243" s="55"/>
      <c r="J243" s="51">
        <v>500000</v>
      </c>
      <c r="K243" s="51"/>
      <c r="L243" s="52">
        <v>46184</v>
      </c>
      <c r="M243" s="53">
        <v>46123</v>
      </c>
      <c r="N243" s="50" t="s">
        <v>168</v>
      </c>
      <c r="O243" s="50" t="s">
        <v>471</v>
      </c>
      <c r="P243" s="50" t="s">
        <v>1003</v>
      </c>
      <c r="Q243" s="55" t="s">
        <v>1004</v>
      </c>
      <c r="R243" s="55" t="s">
        <v>1005</v>
      </c>
      <c r="S243" s="53">
        <v>47218</v>
      </c>
      <c r="T243" s="50" t="s">
        <v>1006</v>
      </c>
      <c r="U243" s="50"/>
      <c r="V243" s="56"/>
      <c r="W243" s="50"/>
      <c r="X243" s="50"/>
      <c r="Y243" s="56"/>
      <c r="Z243" s="56"/>
      <c r="AA243" s="56"/>
      <c r="AB243" s="56"/>
      <c r="AC243" s="56"/>
      <c r="AD243" s="56"/>
    </row>
    <row x14ac:dyDescent="0.25" r="244" customHeight="1" ht="18.75" hidden="1">
      <c r="A244" s="56"/>
      <c r="B244" s="56"/>
      <c r="C244" s="50" t="s">
        <v>16</v>
      </c>
      <c r="D244" s="50"/>
      <c r="E244" s="50"/>
      <c r="F244" s="50" t="s">
        <v>983</v>
      </c>
      <c r="G244" s="55">
        <v>10000000</v>
      </c>
      <c r="H244" s="55"/>
      <c r="I244" s="55"/>
      <c r="J244" s="51">
        <v>800000</v>
      </c>
      <c r="K244" s="51"/>
      <c r="L244" s="52">
        <v>46159</v>
      </c>
      <c r="M244" s="53">
        <v>46098</v>
      </c>
      <c r="N244" s="50" t="s">
        <v>239</v>
      </c>
      <c r="O244" s="50" t="s">
        <v>907</v>
      </c>
      <c r="P244" s="50" t="s">
        <v>983</v>
      </c>
      <c r="Q244" s="55" t="s">
        <v>984</v>
      </c>
      <c r="R244" s="55" t="s">
        <v>985</v>
      </c>
      <c r="S244" s="53">
        <v>47193</v>
      </c>
      <c r="T244" s="50" t="s">
        <v>986</v>
      </c>
      <c r="U244" s="50" t="s">
        <v>166</v>
      </c>
      <c r="V244" s="56"/>
      <c r="W244" s="50"/>
      <c r="X244" s="50"/>
      <c r="Y244" s="56"/>
      <c r="Z244" s="56"/>
      <c r="AA244" s="56"/>
      <c r="AB244" s="56"/>
      <c r="AC244" s="56"/>
      <c r="AD244" s="56"/>
    </row>
    <row x14ac:dyDescent="0.25" r="245" customHeight="1" ht="18.75">
      <c r="A245" s="48" t="s">
        <v>275</v>
      </c>
      <c r="B245" s="62"/>
      <c r="C245" s="49" t="s">
        <v>16</v>
      </c>
      <c r="D245" s="50"/>
      <c r="E245" s="50"/>
      <c r="F245" s="50" t="s">
        <v>1003</v>
      </c>
      <c r="G245" s="51">
        <v>10000000</v>
      </c>
      <c r="H245" s="51"/>
      <c r="I245" s="51"/>
      <c r="J245" s="87">
        <f>IF(G245&gt;0,_xludf.IFS(G245=10000000,800000,G245=20000000,1528000,G245=30000000,2028000,G245=60000000,4056000),"")</f>
      </c>
      <c r="K245" s="51"/>
      <c r="L245" s="52">
        <v>46184</v>
      </c>
      <c r="M245" s="53">
        <f>IF(L245&gt;0,EDATE(L245,-2),"")</f>
        <v>25569.375</v>
      </c>
      <c r="N245" s="50" t="s">
        <v>168</v>
      </c>
      <c r="O245" s="50" t="s">
        <v>471</v>
      </c>
      <c r="P245" s="50" t="s">
        <v>2213</v>
      </c>
      <c r="Q245" s="55" t="s">
        <v>1007</v>
      </c>
      <c r="R245" s="55">
        <v>43350369</v>
      </c>
      <c r="S245" s="53">
        <f>IF(ISNUMBER(M245), EDATE(M245,36)-1, "")</f>
        <v>25569.375</v>
      </c>
      <c r="T245" s="50"/>
      <c r="U245" s="50"/>
      <c r="V245" s="48" t="s">
        <v>475</v>
      </c>
      <c r="W245" s="50"/>
      <c r="X245" s="50"/>
      <c r="Y245" s="56"/>
      <c r="Z245" s="56"/>
      <c r="AA245" s="56"/>
      <c r="AB245" s="56"/>
      <c r="AC245" s="56"/>
      <c r="AD245" s="56"/>
    </row>
    <row x14ac:dyDescent="0.25" r="246" customHeight="1" ht="18.75" hidden="1">
      <c r="A246" s="56"/>
      <c r="B246" s="56"/>
      <c r="C246" s="50" t="s">
        <v>16</v>
      </c>
      <c r="D246" s="50"/>
      <c r="E246" s="50"/>
      <c r="F246" s="50" t="s">
        <v>992</v>
      </c>
      <c r="G246" s="55">
        <v>10000000</v>
      </c>
      <c r="H246" s="55"/>
      <c r="I246" s="55"/>
      <c r="J246" s="51">
        <v>800000</v>
      </c>
      <c r="K246" s="51"/>
      <c r="L246" s="52">
        <v>46093</v>
      </c>
      <c r="M246" s="53">
        <v>46034</v>
      </c>
      <c r="N246" s="50" t="s">
        <v>282</v>
      </c>
      <c r="O246" s="50" t="s">
        <v>993</v>
      </c>
      <c r="P246" s="50" t="s">
        <v>992</v>
      </c>
      <c r="Q246" s="55" t="s">
        <v>994</v>
      </c>
      <c r="R246" s="55" t="s">
        <v>995</v>
      </c>
      <c r="S246" s="53">
        <v>47129</v>
      </c>
      <c r="T246" s="50"/>
      <c r="U246" s="50" t="s">
        <v>166</v>
      </c>
      <c r="V246" s="56"/>
      <c r="W246" s="50"/>
      <c r="X246" s="50"/>
      <c r="Y246" s="56"/>
      <c r="Z246" s="56"/>
      <c r="AA246" s="56"/>
      <c r="AB246" s="56"/>
      <c r="AC246" s="56"/>
      <c r="AD246" s="56"/>
    </row>
    <row x14ac:dyDescent="0.25" r="247" customHeight="1" ht="18.75">
      <c r="A247" s="71"/>
      <c r="B247" s="71"/>
      <c r="C247" s="72" t="s">
        <v>16</v>
      </c>
      <c r="D247" s="72"/>
      <c r="E247" s="72"/>
      <c r="F247" s="72" t="s">
        <v>1063</v>
      </c>
      <c r="G247" s="73"/>
      <c r="H247" s="73"/>
      <c r="I247" s="73"/>
      <c r="J247" s="74"/>
      <c r="K247" s="74"/>
      <c r="L247" s="75">
        <v>46184</v>
      </c>
      <c r="M247" s="76">
        <v>46123</v>
      </c>
      <c r="N247" s="72" t="s">
        <v>168</v>
      </c>
      <c r="O247" s="72" t="s">
        <v>471</v>
      </c>
      <c r="P247" s="72" t="s">
        <v>1063</v>
      </c>
      <c r="Q247" s="73" t="s">
        <v>1064</v>
      </c>
      <c r="R247" s="73" t="s">
        <v>1065</v>
      </c>
      <c r="S247" s="76">
        <v>47218</v>
      </c>
      <c r="T247" s="72" t="s">
        <v>1066</v>
      </c>
      <c r="U247" s="72"/>
      <c r="V247" s="71" t="s">
        <v>3270</v>
      </c>
      <c r="W247" s="50"/>
      <c r="X247" s="50"/>
      <c r="Y247" s="56"/>
      <c r="Z247" s="56"/>
      <c r="AA247" s="56"/>
      <c r="AB247" s="56"/>
      <c r="AC247" s="56"/>
      <c r="AD247" s="56"/>
    </row>
    <row x14ac:dyDescent="0.25" r="248" customHeight="1" ht="18.75">
      <c r="A248" s="48" t="s">
        <v>275</v>
      </c>
      <c r="B248" s="62"/>
      <c r="C248" s="49" t="s">
        <v>16</v>
      </c>
      <c r="D248" s="50"/>
      <c r="E248" s="50"/>
      <c r="F248" s="50" t="s">
        <v>1063</v>
      </c>
      <c r="G248" s="51">
        <v>10000000</v>
      </c>
      <c r="H248" s="51"/>
      <c r="I248" s="51"/>
      <c r="J248" s="87">
        <f>IF(G248&gt;0,_xludf.IFS(G248=10000000,800000,G248=20000000,1528000,G248=30000000,2028000,G248=60000000,4056000),"")</f>
      </c>
      <c r="K248" s="51"/>
      <c r="L248" s="52">
        <v>46184</v>
      </c>
      <c r="M248" s="53">
        <f>IF(L248&gt;0,EDATE(L248,-2),"")</f>
        <v>25569.375</v>
      </c>
      <c r="N248" s="50" t="s">
        <v>168</v>
      </c>
      <c r="O248" s="50" t="s">
        <v>471</v>
      </c>
      <c r="P248" s="50" t="s">
        <v>2213</v>
      </c>
      <c r="Q248" s="55" t="s">
        <v>1064</v>
      </c>
      <c r="R248" s="55">
        <v>65102880</v>
      </c>
      <c r="S248" s="53">
        <f>IF(ISNUMBER(M248), EDATE(M248,36)-1, "")</f>
        <v>25569.375</v>
      </c>
      <c r="T248" s="50"/>
      <c r="U248" s="50"/>
      <c r="V248" s="48" t="s">
        <v>894</v>
      </c>
      <c r="W248" s="50"/>
      <c r="X248" s="50"/>
      <c r="Y248" s="56"/>
      <c r="Z248" s="56"/>
      <c r="AA248" s="56"/>
      <c r="AB248" s="56"/>
      <c r="AC248" s="56"/>
      <c r="AD248" s="56"/>
    </row>
    <row x14ac:dyDescent="0.25" r="249" customHeight="1" ht="18.75">
      <c r="A249" s="56"/>
      <c r="B249" s="56"/>
      <c r="C249" s="50" t="s">
        <v>16</v>
      </c>
      <c r="D249" s="50"/>
      <c r="E249" s="50"/>
      <c r="F249" s="50" t="s">
        <v>1067</v>
      </c>
      <c r="G249" s="55">
        <v>10000000</v>
      </c>
      <c r="H249" s="55"/>
      <c r="I249" s="55"/>
      <c r="J249" s="51">
        <v>500000</v>
      </c>
      <c r="K249" s="51"/>
      <c r="L249" s="52">
        <v>46184</v>
      </c>
      <c r="M249" s="53">
        <v>46123</v>
      </c>
      <c r="N249" s="50" t="s">
        <v>168</v>
      </c>
      <c r="O249" s="50" t="s">
        <v>471</v>
      </c>
      <c r="P249" s="50" t="s">
        <v>1067</v>
      </c>
      <c r="Q249" s="55" t="s">
        <v>1068</v>
      </c>
      <c r="R249" s="55" t="s">
        <v>1069</v>
      </c>
      <c r="S249" s="53">
        <v>47218</v>
      </c>
      <c r="T249" s="50" t="s">
        <v>1070</v>
      </c>
      <c r="U249" s="50"/>
      <c r="V249" s="56"/>
      <c r="W249" s="50"/>
      <c r="X249" s="50"/>
      <c r="Y249" s="56"/>
      <c r="Z249" s="56"/>
      <c r="AA249" s="56"/>
      <c r="AB249" s="56"/>
      <c r="AC249" s="56"/>
      <c r="AD249" s="56"/>
    </row>
    <row x14ac:dyDescent="0.25" r="250" customHeight="1" ht="18.75">
      <c r="A250" s="48" t="s">
        <v>275</v>
      </c>
      <c r="B250" s="62"/>
      <c r="C250" s="49" t="s">
        <v>16</v>
      </c>
      <c r="D250" s="50"/>
      <c r="E250" s="50"/>
      <c r="F250" s="50" t="s">
        <v>1067</v>
      </c>
      <c r="G250" s="51">
        <v>10000000</v>
      </c>
      <c r="H250" s="51"/>
      <c r="I250" s="51"/>
      <c r="J250" s="87">
        <f>IF(G250&gt;0,_xludf.IFS(G250=10000000,800000,G250=20000000,1528000,G250=30000000,2028000,G250=60000000,4056000),"")</f>
      </c>
      <c r="K250" s="51"/>
      <c r="L250" s="52">
        <v>46184</v>
      </c>
      <c r="M250" s="53">
        <f>IF(L250&gt;0,EDATE(L250,-2),"")</f>
        <v>25569.375</v>
      </c>
      <c r="N250" s="50" t="s">
        <v>168</v>
      </c>
      <c r="O250" s="50" t="s">
        <v>471</v>
      </c>
      <c r="P250" s="50" t="s">
        <v>2213</v>
      </c>
      <c r="Q250" s="55" t="s">
        <v>1068</v>
      </c>
      <c r="R250" s="55">
        <v>51121416</v>
      </c>
      <c r="S250" s="53">
        <f>IF(ISNUMBER(M250), EDATE(M250,36)-1, "")</f>
        <v>25569.375</v>
      </c>
      <c r="T250" s="50"/>
      <c r="U250" s="50"/>
      <c r="V250" s="48" t="s">
        <v>894</v>
      </c>
      <c r="W250" s="50"/>
      <c r="X250" s="50"/>
      <c r="Y250" s="56"/>
      <c r="Z250" s="56"/>
      <c r="AA250" s="56"/>
      <c r="AB250" s="56"/>
      <c r="AC250" s="56"/>
      <c r="AD250" s="56"/>
    </row>
    <row x14ac:dyDescent="0.25" r="251" customHeight="1" ht="18.75">
      <c r="A251" s="56"/>
      <c r="B251" s="56"/>
      <c r="C251" s="50" t="s">
        <v>16</v>
      </c>
      <c r="D251" s="50"/>
      <c r="E251" s="50"/>
      <c r="F251" s="50" t="s">
        <v>1106</v>
      </c>
      <c r="G251" s="55">
        <v>10000000</v>
      </c>
      <c r="H251" s="55"/>
      <c r="I251" s="55"/>
      <c r="J251" s="51">
        <v>500000</v>
      </c>
      <c r="K251" s="51"/>
      <c r="L251" s="52">
        <v>46184</v>
      </c>
      <c r="M251" s="53">
        <v>46123</v>
      </c>
      <c r="N251" s="50" t="s">
        <v>168</v>
      </c>
      <c r="O251" s="50" t="s">
        <v>471</v>
      </c>
      <c r="P251" s="50" t="s">
        <v>1106</v>
      </c>
      <c r="Q251" s="55" t="s">
        <v>1107</v>
      </c>
      <c r="R251" s="55" t="s">
        <v>1108</v>
      </c>
      <c r="S251" s="53">
        <v>47218</v>
      </c>
      <c r="T251" s="50" t="s">
        <v>1109</v>
      </c>
      <c r="U251" s="50"/>
      <c r="V251" s="56"/>
      <c r="W251" s="50"/>
      <c r="X251" s="50"/>
      <c r="Y251" s="56"/>
      <c r="Z251" s="56"/>
      <c r="AA251" s="56"/>
      <c r="AB251" s="56"/>
      <c r="AC251" s="56"/>
      <c r="AD251" s="56"/>
    </row>
    <row x14ac:dyDescent="0.25" r="252" customHeight="1" ht="18.75">
      <c r="A252" s="48" t="s">
        <v>275</v>
      </c>
      <c r="B252" s="62"/>
      <c r="C252" s="49" t="s">
        <v>16</v>
      </c>
      <c r="D252" s="50"/>
      <c r="E252" s="50"/>
      <c r="F252" s="50" t="s">
        <v>1106</v>
      </c>
      <c r="G252" s="51">
        <v>10000000</v>
      </c>
      <c r="H252" s="51"/>
      <c r="I252" s="51"/>
      <c r="J252" s="87">
        <f>IF(G252&gt;0,_xludf.IFS(G252=10000000,800000,G252=20000000,1528000,G252=30000000,2028000,G252=60000000,4056000),"")</f>
      </c>
      <c r="K252" s="51"/>
      <c r="L252" s="52">
        <v>46184</v>
      </c>
      <c r="M252" s="53">
        <f>IF(L252&gt;0,EDATE(L252,-2),"")</f>
        <v>25569.375</v>
      </c>
      <c r="N252" s="50" t="s">
        <v>168</v>
      </c>
      <c r="O252" s="50" t="s">
        <v>471</v>
      </c>
      <c r="P252" s="50" t="s">
        <v>2213</v>
      </c>
      <c r="Q252" s="55" t="s">
        <v>1110</v>
      </c>
      <c r="R252" s="55">
        <v>63650889</v>
      </c>
      <c r="S252" s="53">
        <f>IF(ISNUMBER(M252), EDATE(M252,36)-1, "")</f>
        <v>25569.375</v>
      </c>
      <c r="T252" s="50"/>
      <c r="U252" s="50"/>
      <c r="V252" s="48" t="s">
        <v>894</v>
      </c>
      <c r="W252" s="50"/>
      <c r="X252" s="50"/>
      <c r="Y252" s="56"/>
      <c r="Z252" s="56"/>
      <c r="AA252" s="56"/>
      <c r="AB252" s="56"/>
      <c r="AC252" s="56"/>
      <c r="AD252" s="56"/>
    </row>
    <row x14ac:dyDescent="0.25" r="253" customHeight="1" ht="18.75">
      <c r="A253" s="48" t="s">
        <v>275</v>
      </c>
      <c r="B253" s="62"/>
      <c r="C253" s="49" t="s">
        <v>16</v>
      </c>
      <c r="D253" s="50"/>
      <c r="E253" s="50"/>
      <c r="F253" s="50" t="s">
        <v>59</v>
      </c>
      <c r="G253" s="51">
        <v>10000000</v>
      </c>
      <c r="H253" s="51"/>
      <c r="I253" s="51"/>
      <c r="J253" s="87">
        <f>IF(G253&gt;0,_xludf.IFS(G253=10000000,800000,G253=20000000,1528000,G253=30000000,2028000,G253=60000000,4056000),"")</f>
      </c>
      <c r="K253" s="51"/>
      <c r="L253" s="52">
        <v>46184</v>
      </c>
      <c r="M253" s="53">
        <f>IF(L253&gt;0,EDATE(L253,-2),"")</f>
        <v>25569.375</v>
      </c>
      <c r="N253" s="50" t="s">
        <v>168</v>
      </c>
      <c r="O253" s="50" t="s">
        <v>471</v>
      </c>
      <c r="P253" s="50" t="s">
        <v>2213</v>
      </c>
      <c r="Q253" s="55" t="s">
        <v>1594</v>
      </c>
      <c r="R253" s="55">
        <v>84335153</v>
      </c>
      <c r="S253" s="53">
        <f>IF(ISNUMBER(M253), EDATE(M253,36)-1, "")</f>
        <v>25569.375</v>
      </c>
      <c r="T253" s="50"/>
      <c r="U253" s="50"/>
      <c r="V253" s="48" t="s">
        <v>841</v>
      </c>
      <c r="W253" s="50"/>
      <c r="X253" s="50"/>
      <c r="Y253" s="56"/>
      <c r="Z253" s="56"/>
      <c r="AA253" s="56"/>
      <c r="AB253" s="56"/>
      <c r="AC253" s="56"/>
      <c r="AD253" s="56"/>
    </row>
    <row x14ac:dyDescent="0.25" r="254" customHeight="1" ht="18.75">
      <c r="A254" s="56"/>
      <c r="B254" s="56"/>
      <c r="C254" s="50" t="s">
        <v>16</v>
      </c>
      <c r="D254" s="50"/>
      <c r="E254" s="50"/>
      <c r="F254" s="50" t="s">
        <v>1611</v>
      </c>
      <c r="G254" s="55">
        <v>10000000</v>
      </c>
      <c r="H254" s="55"/>
      <c r="I254" s="55"/>
      <c r="J254" s="51">
        <v>500000</v>
      </c>
      <c r="K254" s="51"/>
      <c r="L254" s="52">
        <v>46184</v>
      </c>
      <c r="M254" s="53">
        <v>46123</v>
      </c>
      <c r="N254" s="50" t="s">
        <v>168</v>
      </c>
      <c r="O254" s="50" t="s">
        <v>471</v>
      </c>
      <c r="P254" s="50" t="s">
        <v>1611</v>
      </c>
      <c r="Q254" s="55" t="s">
        <v>1612</v>
      </c>
      <c r="R254" s="55" t="s">
        <v>1613</v>
      </c>
      <c r="S254" s="53">
        <v>47218</v>
      </c>
      <c r="T254" s="50" t="s">
        <v>1066</v>
      </c>
      <c r="U254" s="50"/>
      <c r="V254" s="56"/>
      <c r="W254" s="50"/>
      <c r="X254" s="50"/>
      <c r="Y254" s="56"/>
      <c r="Z254" s="56"/>
      <c r="AA254" s="56"/>
      <c r="AB254" s="56"/>
      <c r="AC254" s="56"/>
      <c r="AD254" s="56"/>
    </row>
    <row x14ac:dyDescent="0.25" r="255" customHeight="1" ht="18.75">
      <c r="A255" s="48" t="s">
        <v>275</v>
      </c>
      <c r="B255" s="62"/>
      <c r="C255" s="49" t="s">
        <v>16</v>
      </c>
      <c r="D255" s="50"/>
      <c r="E255" s="50"/>
      <c r="F255" s="50" t="s">
        <v>1611</v>
      </c>
      <c r="G255" s="51">
        <v>10000000</v>
      </c>
      <c r="H255" s="51"/>
      <c r="I255" s="51"/>
      <c r="J255" s="87">
        <f>IF(G255&gt;0,_xludf.IFS(G255=10000000,800000,G255=20000000,1528000,G255=30000000,2028000,G255=60000000,4056000),"")</f>
      </c>
      <c r="K255" s="51"/>
      <c r="L255" s="52">
        <v>46184</v>
      </c>
      <c r="M255" s="53">
        <f>IF(L255&gt;0,EDATE(L255,-2),"")</f>
        <v>25569.375</v>
      </c>
      <c r="N255" s="50" t="s">
        <v>168</v>
      </c>
      <c r="O255" s="50" t="s">
        <v>471</v>
      </c>
      <c r="P255" s="50" t="s">
        <v>2213</v>
      </c>
      <c r="Q255" s="55" t="s">
        <v>1612</v>
      </c>
      <c r="R255" s="55">
        <v>80655448</v>
      </c>
      <c r="S255" s="53">
        <f>IF(ISNUMBER(M255), EDATE(M255,36)-1, "")</f>
        <v>25569.375</v>
      </c>
      <c r="T255" s="50"/>
      <c r="U255" s="50"/>
      <c r="V255" s="48" t="s">
        <v>894</v>
      </c>
      <c r="W255" s="50"/>
      <c r="X255" s="50"/>
      <c r="Y255" s="56"/>
      <c r="Z255" s="56"/>
      <c r="AA255" s="56"/>
      <c r="AB255" s="56"/>
      <c r="AC255" s="56"/>
      <c r="AD255" s="56"/>
    </row>
    <row x14ac:dyDescent="0.25" r="256" customHeight="1" ht="18.75" hidden="1">
      <c r="A256" s="56"/>
      <c r="B256" s="56"/>
      <c r="C256" s="50" t="s">
        <v>16</v>
      </c>
      <c r="D256" s="50"/>
      <c r="E256" s="50"/>
      <c r="F256" s="50" t="s">
        <v>1022</v>
      </c>
      <c r="G256" s="55">
        <v>60000000</v>
      </c>
      <c r="H256" s="55"/>
      <c r="I256" s="55"/>
      <c r="J256" s="51">
        <v>4800000</v>
      </c>
      <c r="K256" s="51"/>
      <c r="L256" s="52">
        <v>45931</v>
      </c>
      <c r="M256" s="53">
        <v>45848</v>
      </c>
      <c r="N256" s="50" t="s">
        <v>168</v>
      </c>
      <c r="O256" s="50" t="s">
        <v>1023</v>
      </c>
      <c r="P256" s="50" t="s">
        <v>1022</v>
      </c>
      <c r="Q256" s="55" t="s">
        <v>1024</v>
      </c>
      <c r="R256" s="55" t="s">
        <v>1025</v>
      </c>
      <c r="S256" s="53">
        <v>46943</v>
      </c>
      <c r="T256" s="50"/>
      <c r="U256" s="50"/>
      <c r="V256" s="56"/>
      <c r="W256" s="50"/>
      <c r="X256" s="50"/>
      <c r="Y256" s="56"/>
      <c r="Z256" s="56"/>
      <c r="AA256" s="56"/>
      <c r="AB256" s="56"/>
      <c r="AC256" s="56"/>
      <c r="AD256" s="56"/>
    </row>
    <row x14ac:dyDescent="0.25" r="257" customHeight="1" ht="18.75" hidden="1">
      <c r="A257" s="56"/>
      <c r="B257" s="56"/>
      <c r="C257" s="50" t="s">
        <v>16</v>
      </c>
      <c r="D257" s="50"/>
      <c r="E257" s="50" t="s">
        <v>18</v>
      </c>
      <c r="F257" s="50" t="s">
        <v>1022</v>
      </c>
      <c r="G257" s="55">
        <v>10000000</v>
      </c>
      <c r="H257" s="55"/>
      <c r="I257" s="55"/>
      <c r="J257" s="51">
        <v>800000</v>
      </c>
      <c r="K257" s="51"/>
      <c r="L257" s="52">
        <v>46116</v>
      </c>
      <c r="M257" s="53">
        <v>46057</v>
      </c>
      <c r="N257" s="50" t="s">
        <v>155</v>
      </c>
      <c r="O257" s="50" t="s">
        <v>1026</v>
      </c>
      <c r="P257" s="50" t="s">
        <v>1022</v>
      </c>
      <c r="Q257" s="55" t="s">
        <v>1027</v>
      </c>
      <c r="R257" s="55" t="s">
        <v>1028</v>
      </c>
      <c r="S257" s="53">
        <v>47152</v>
      </c>
      <c r="T257" s="50" t="s">
        <v>1029</v>
      </c>
      <c r="U257" s="50"/>
      <c r="V257" s="56"/>
      <c r="W257" s="50"/>
      <c r="X257" s="50"/>
      <c r="Y257" s="56"/>
      <c r="Z257" s="56"/>
      <c r="AA257" s="56"/>
      <c r="AB257" s="56"/>
      <c r="AC257" s="56"/>
      <c r="AD257" s="56"/>
    </row>
    <row x14ac:dyDescent="0.25" r="258" customHeight="1" ht="18.75">
      <c r="A258" s="56"/>
      <c r="B258" s="56"/>
      <c r="C258" s="50" t="s">
        <v>16</v>
      </c>
      <c r="D258" s="50" t="s">
        <v>153</v>
      </c>
      <c r="E258" s="50"/>
      <c r="F258" s="50" t="s">
        <v>1720</v>
      </c>
      <c r="G258" s="55">
        <v>10000000</v>
      </c>
      <c r="H258" s="55"/>
      <c r="I258" s="55"/>
      <c r="J258" s="51">
        <v>800000</v>
      </c>
      <c r="K258" s="51"/>
      <c r="L258" s="52">
        <v>46184</v>
      </c>
      <c r="M258" s="53">
        <v>46123</v>
      </c>
      <c r="N258" s="50" t="s">
        <v>161</v>
      </c>
      <c r="O258" s="50" t="s">
        <v>1721</v>
      </c>
      <c r="P258" s="50" t="s">
        <v>1720</v>
      </c>
      <c r="Q258" s="55" t="s">
        <v>1722</v>
      </c>
      <c r="R258" s="55" t="s">
        <v>1723</v>
      </c>
      <c r="S258" s="53">
        <v>47218</v>
      </c>
      <c r="T258" s="50" t="s">
        <v>1724</v>
      </c>
      <c r="U258" s="50" t="s">
        <v>166</v>
      </c>
      <c r="V258" s="56"/>
      <c r="W258" s="50"/>
      <c r="X258" s="50"/>
      <c r="Y258" s="56"/>
      <c r="Z258" s="56"/>
      <c r="AA258" s="56"/>
      <c r="AB258" s="56"/>
      <c r="AC258" s="56"/>
      <c r="AD258" s="56"/>
    </row>
    <row x14ac:dyDescent="0.25" r="259" customHeight="1" ht="18.75" hidden="1">
      <c r="A259" s="71"/>
      <c r="B259" s="71"/>
      <c r="C259" s="72" t="s">
        <v>16</v>
      </c>
      <c r="D259" s="72"/>
      <c r="E259" s="72"/>
      <c r="F259" s="72" t="s">
        <v>1032</v>
      </c>
      <c r="G259" s="73">
        <v>10000000</v>
      </c>
      <c r="H259" s="73"/>
      <c r="I259" s="73"/>
      <c r="J259" s="74"/>
      <c r="K259" s="74"/>
      <c r="L259" s="75">
        <v>46159</v>
      </c>
      <c r="M259" s="76">
        <v>46098</v>
      </c>
      <c r="N259" s="72" t="s">
        <v>239</v>
      </c>
      <c r="O259" s="72" t="s">
        <v>1033</v>
      </c>
      <c r="P259" s="72" t="s">
        <v>1032</v>
      </c>
      <c r="Q259" s="73" t="s">
        <v>1034</v>
      </c>
      <c r="R259" s="73" t="s">
        <v>1035</v>
      </c>
      <c r="S259" s="76">
        <v>47193</v>
      </c>
      <c r="T259" s="72" t="s">
        <v>1036</v>
      </c>
      <c r="U259" s="72" t="s">
        <v>179</v>
      </c>
      <c r="V259" s="71" t="s">
        <v>1037</v>
      </c>
      <c r="W259" s="50"/>
      <c r="X259" s="50"/>
      <c r="Y259" s="56"/>
      <c r="Z259" s="56"/>
      <c r="AA259" s="56"/>
      <c r="AB259" s="56"/>
      <c r="AC259" s="56"/>
      <c r="AD259" s="56"/>
    </row>
    <row x14ac:dyDescent="0.25" r="260" customHeight="1" ht="18.75" hidden="1">
      <c r="A260" s="56"/>
      <c r="B260" s="56"/>
      <c r="C260" s="50" t="s">
        <v>972</v>
      </c>
      <c r="D260" s="50"/>
      <c r="E260" s="50"/>
      <c r="F260" s="50" t="s">
        <v>1038</v>
      </c>
      <c r="G260" s="55">
        <v>60000000</v>
      </c>
      <c r="H260" s="55"/>
      <c r="I260" s="55"/>
      <c r="J260" s="51">
        <v>4800000</v>
      </c>
      <c r="K260" s="51"/>
      <c r="L260" s="52">
        <v>45802</v>
      </c>
      <c r="M260" s="53">
        <v>45741</v>
      </c>
      <c r="N260" s="50" t="s">
        <v>282</v>
      </c>
      <c r="O260" s="50" t="s">
        <v>1039</v>
      </c>
      <c r="P260" s="50" t="s">
        <v>1038</v>
      </c>
      <c r="Q260" s="55" t="s">
        <v>1040</v>
      </c>
      <c r="R260" s="55" t="s">
        <v>1041</v>
      </c>
      <c r="S260" s="53">
        <v>46836</v>
      </c>
      <c r="T260" s="50"/>
      <c r="U260" s="50"/>
      <c r="V260" s="56"/>
      <c r="W260" s="50"/>
      <c r="X260" s="50"/>
      <c r="Y260" s="56"/>
      <c r="Z260" s="56"/>
      <c r="AA260" s="56"/>
      <c r="AB260" s="56"/>
      <c r="AC260" s="56"/>
      <c r="AD260" s="56"/>
    </row>
    <row x14ac:dyDescent="0.25" r="261" customHeight="1" ht="18.75" hidden="1">
      <c r="A261" s="56"/>
      <c r="B261" s="56"/>
      <c r="C261" s="50" t="s">
        <v>16</v>
      </c>
      <c r="D261" s="50"/>
      <c r="E261" s="50"/>
      <c r="F261" s="50" t="s">
        <v>1042</v>
      </c>
      <c r="G261" s="51">
        <v>40000000</v>
      </c>
      <c r="H261" s="51"/>
      <c r="I261" s="51"/>
      <c r="J261" s="51">
        <v>2528000</v>
      </c>
      <c r="K261" s="51"/>
      <c r="L261" s="52">
        <v>46104</v>
      </c>
      <c r="M261" s="53">
        <f>IF(L261&gt;0,EDATE(L261,-2),"")</f>
        <v>25569.375</v>
      </c>
      <c r="N261" s="50" t="s">
        <v>217</v>
      </c>
      <c r="O261" s="50" t="s">
        <v>1043</v>
      </c>
      <c r="P261" s="50" t="s">
        <v>1042</v>
      </c>
      <c r="Q261" s="55">
        <v>6708152348056</v>
      </c>
      <c r="R261" s="55">
        <v>91487281</v>
      </c>
      <c r="S261" s="53">
        <f>IF(ISNUMBER(M261), EDATE(M261,36)-1, "")</f>
        <v>25569.375</v>
      </c>
      <c r="T261" s="50"/>
      <c r="U261" s="50"/>
      <c r="V261" s="48" t="s">
        <v>546</v>
      </c>
      <c r="W261" s="50"/>
      <c r="X261" s="50"/>
      <c r="Y261" s="56"/>
      <c r="Z261" s="56"/>
      <c r="AA261" s="56"/>
      <c r="AB261" s="56"/>
      <c r="AC261" s="56"/>
      <c r="AD261" s="56"/>
    </row>
    <row x14ac:dyDescent="0.25" r="262" customHeight="1" ht="18.75" hidden="1">
      <c r="A262" s="56"/>
      <c r="B262" s="56"/>
      <c r="C262" s="50" t="s">
        <v>16</v>
      </c>
      <c r="D262" s="50"/>
      <c r="E262" s="50" t="s">
        <v>1044</v>
      </c>
      <c r="F262" s="50" t="s">
        <v>1045</v>
      </c>
      <c r="G262" s="55">
        <v>10000000</v>
      </c>
      <c r="H262" s="55"/>
      <c r="I262" s="55"/>
      <c r="J262" s="51">
        <v>500000</v>
      </c>
      <c r="K262" s="51"/>
      <c r="L262" s="52">
        <v>46147</v>
      </c>
      <c r="M262" s="53">
        <v>46086</v>
      </c>
      <c r="N262" s="50" t="s">
        <v>161</v>
      </c>
      <c r="O262" s="50" t="s">
        <v>1046</v>
      </c>
      <c r="P262" s="50" t="s">
        <v>1045</v>
      </c>
      <c r="Q262" s="55" t="s">
        <v>1047</v>
      </c>
      <c r="R262" s="55" t="s">
        <v>1048</v>
      </c>
      <c r="S262" s="53">
        <v>47181</v>
      </c>
      <c r="T262" s="50" t="s">
        <v>1049</v>
      </c>
      <c r="U262" s="50" t="s">
        <v>166</v>
      </c>
      <c r="V262" s="56"/>
      <c r="W262" s="50"/>
      <c r="X262" s="50"/>
      <c r="Y262" s="56"/>
      <c r="Z262" s="56"/>
      <c r="AA262" s="56"/>
      <c r="AB262" s="56"/>
      <c r="AC262" s="56"/>
      <c r="AD262" s="56"/>
    </row>
    <row x14ac:dyDescent="0.25" r="263" customHeight="1" ht="18.75" hidden="1">
      <c r="A263" s="56"/>
      <c r="B263" s="56"/>
      <c r="C263" s="50" t="s">
        <v>16</v>
      </c>
      <c r="D263" s="50"/>
      <c r="E263" s="50"/>
      <c r="F263" s="50" t="s">
        <v>1050</v>
      </c>
      <c r="G263" s="55">
        <v>10000000</v>
      </c>
      <c r="H263" s="55"/>
      <c r="I263" s="55"/>
      <c r="J263" s="51">
        <v>800000</v>
      </c>
      <c r="K263" s="51"/>
      <c r="L263" s="52">
        <v>46018</v>
      </c>
      <c r="M263" s="53">
        <v>45957</v>
      </c>
      <c r="N263" s="50" t="s">
        <v>155</v>
      </c>
      <c r="O263" s="50" t="s">
        <v>1051</v>
      </c>
      <c r="P263" s="50" t="s">
        <v>1050</v>
      </c>
      <c r="Q263" s="55" t="s">
        <v>1052</v>
      </c>
      <c r="R263" s="55" t="s">
        <v>1053</v>
      </c>
      <c r="S263" s="53">
        <v>47052</v>
      </c>
      <c r="T263" s="50"/>
      <c r="U263" s="50" t="s">
        <v>293</v>
      </c>
      <c r="V263" s="56"/>
      <c r="W263" s="50"/>
      <c r="X263" s="50"/>
      <c r="Y263" s="56"/>
      <c r="Z263" s="56"/>
      <c r="AA263" s="56"/>
      <c r="AB263" s="56"/>
      <c r="AC263" s="56"/>
      <c r="AD263" s="56"/>
    </row>
    <row x14ac:dyDescent="0.25" r="264" customHeight="1" ht="18.75">
      <c r="A264" s="63" t="s">
        <v>252</v>
      </c>
      <c r="B264" s="63"/>
      <c r="C264" s="49" t="s">
        <v>16</v>
      </c>
      <c r="D264" s="49"/>
      <c r="E264" s="49"/>
      <c r="F264" s="49" t="s">
        <v>1720</v>
      </c>
      <c r="G264" s="64">
        <v>10000000</v>
      </c>
      <c r="H264" s="64"/>
      <c r="I264" s="64"/>
      <c r="J264" s="65">
        <f>IF(G264&gt;0,_xludf.IFS(G264=10000000,800000,G264=20000000,1528000,G264=30000000,2028000,G264=60000000,4056000),"")</f>
      </c>
      <c r="K264" s="64"/>
      <c r="L264" s="66">
        <v>46184</v>
      </c>
      <c r="M264" s="67">
        <f>IF(L264&gt;0,EDATE(L264,-2),"")</f>
        <v>25569.375</v>
      </c>
      <c r="N264" s="49" t="s">
        <v>155</v>
      </c>
      <c r="O264" s="49" t="s">
        <v>1721</v>
      </c>
      <c r="P264" s="68">
        <f>IF(F264&gt;0,F264,"")</f>
      </c>
      <c r="Q264" s="69" t="s">
        <v>1722</v>
      </c>
      <c r="R264" s="69">
        <v>66891123</v>
      </c>
      <c r="S264" s="53">
        <f>IF(M264&gt;0,EDATE(M264,36)-1,"")</f>
        <v>25569.375</v>
      </c>
      <c r="T264" s="49"/>
      <c r="U264" s="49"/>
      <c r="V264" s="63" t="s">
        <v>1725</v>
      </c>
      <c r="W264" s="50"/>
      <c r="X264" s="50"/>
      <c r="Y264" s="56"/>
      <c r="Z264" s="56"/>
      <c r="AA264" s="56"/>
      <c r="AB264" s="56"/>
      <c r="AC264" s="56"/>
      <c r="AD264" s="56"/>
    </row>
    <row x14ac:dyDescent="0.25" r="265" customHeight="1" ht="18.75" hidden="1">
      <c r="A265" s="48" t="s">
        <v>152</v>
      </c>
      <c r="B265" s="48"/>
      <c r="C265" s="49" t="s">
        <v>16</v>
      </c>
      <c r="D265" s="50" t="s">
        <v>116</v>
      </c>
      <c r="E265" s="50" t="s">
        <v>117</v>
      </c>
      <c r="F265" s="50" t="s">
        <v>1050</v>
      </c>
      <c r="G265" s="51">
        <v>30000000</v>
      </c>
      <c r="H265" s="51"/>
      <c r="I265" s="51"/>
      <c r="J265" s="87">
        <f>IF(G265&gt;0,_xludf.IFS(G265=10000000,800000,G265=20000000,1528000,G265=30000000,2028000,G265=60000000,4056000),"")</f>
      </c>
      <c r="K265" s="51"/>
      <c r="L265" s="52">
        <v>46115</v>
      </c>
      <c r="M265" s="53">
        <f>IF(L265&gt;0,EDATE(L265,-2),"")</f>
        <v>25569.375</v>
      </c>
      <c r="N265" s="50" t="s">
        <v>155</v>
      </c>
      <c r="O265" s="50" t="s">
        <v>1055</v>
      </c>
      <c r="P265" s="54">
        <f>IF(F265&gt;0,F265,"")</f>
      </c>
      <c r="Q265" s="55" t="s">
        <v>1056</v>
      </c>
      <c r="R265" s="55">
        <v>45703237</v>
      </c>
      <c r="S265" s="53">
        <f>IF(ISNUMBER(M265), EDATE(M265,36)-1, "")</f>
        <v>25569.375</v>
      </c>
      <c r="T265" s="50"/>
      <c r="U265" s="50"/>
      <c r="V265" s="48" t="s">
        <v>1057</v>
      </c>
      <c r="W265" s="50"/>
      <c r="X265" s="50"/>
      <c r="Y265" s="56"/>
      <c r="Z265" s="56"/>
      <c r="AA265" s="56"/>
      <c r="AB265" s="56"/>
      <c r="AC265" s="56"/>
      <c r="AD265" s="56"/>
    </row>
    <row x14ac:dyDescent="0.25" r="266" customHeight="1" ht="18.75" hidden="1">
      <c r="A266" s="56"/>
      <c r="B266" s="56"/>
      <c r="C266" s="50" t="s">
        <v>16</v>
      </c>
      <c r="D266" s="50" t="s">
        <v>816</v>
      </c>
      <c r="E266" s="50"/>
      <c r="F266" s="50" t="s">
        <v>1058</v>
      </c>
      <c r="G266" s="55">
        <v>20000000</v>
      </c>
      <c r="H266" s="55"/>
      <c r="I266" s="55"/>
      <c r="J266" s="51">
        <v>1528000</v>
      </c>
      <c r="K266" s="51"/>
      <c r="L266" s="52">
        <v>46156</v>
      </c>
      <c r="M266" s="53">
        <v>46095</v>
      </c>
      <c r="N266" s="50" t="s">
        <v>161</v>
      </c>
      <c r="O266" s="50" t="s">
        <v>1059</v>
      </c>
      <c r="P266" s="50" t="s">
        <v>1058</v>
      </c>
      <c r="Q266" s="55" t="s">
        <v>1060</v>
      </c>
      <c r="R266" s="55" t="s">
        <v>1061</v>
      </c>
      <c r="S266" s="53">
        <v>47190</v>
      </c>
      <c r="T266" s="50" t="s">
        <v>1062</v>
      </c>
      <c r="U266" s="50" t="s">
        <v>166</v>
      </c>
      <c r="V266" s="56"/>
      <c r="W266" s="50"/>
      <c r="X266" s="50"/>
      <c r="Y266" s="56"/>
      <c r="Z266" s="56"/>
      <c r="AA266" s="56"/>
      <c r="AB266" s="56"/>
      <c r="AC266" s="56"/>
      <c r="AD266" s="56"/>
    </row>
    <row x14ac:dyDescent="0.25" r="267" customHeight="1" ht="18.75">
      <c r="A267" s="56"/>
      <c r="B267" s="56"/>
      <c r="C267" s="50" t="s">
        <v>16</v>
      </c>
      <c r="D267" s="50"/>
      <c r="E267" s="50"/>
      <c r="F267" s="50" t="s">
        <v>1901</v>
      </c>
      <c r="G267" s="55">
        <v>10000000</v>
      </c>
      <c r="H267" s="55"/>
      <c r="I267" s="55"/>
      <c r="J267" s="51">
        <v>500000</v>
      </c>
      <c r="K267" s="51"/>
      <c r="L267" s="52">
        <v>46184</v>
      </c>
      <c r="M267" s="53">
        <v>46123</v>
      </c>
      <c r="N267" s="50" t="s">
        <v>168</v>
      </c>
      <c r="O267" s="50" t="s">
        <v>471</v>
      </c>
      <c r="P267" s="50" t="s">
        <v>1901</v>
      </c>
      <c r="Q267" s="55" t="s">
        <v>1902</v>
      </c>
      <c r="R267" s="55" t="s">
        <v>1903</v>
      </c>
      <c r="S267" s="53">
        <v>47218</v>
      </c>
      <c r="T267" s="50" t="s">
        <v>1904</v>
      </c>
      <c r="U267" s="50"/>
      <c r="V267" s="56"/>
      <c r="W267" s="50"/>
      <c r="X267" s="50"/>
      <c r="Y267" s="56"/>
      <c r="Z267" s="56"/>
      <c r="AA267" s="56"/>
      <c r="AB267" s="56"/>
      <c r="AC267" s="56"/>
      <c r="AD267" s="56"/>
    </row>
    <row x14ac:dyDescent="0.25" r="268" customHeight="1" ht="18.75">
      <c r="A268" s="48" t="s">
        <v>275</v>
      </c>
      <c r="B268" s="62"/>
      <c r="C268" s="49" t="s">
        <v>16</v>
      </c>
      <c r="D268" s="50"/>
      <c r="E268" s="50"/>
      <c r="F268" s="50" t="s">
        <v>1901</v>
      </c>
      <c r="G268" s="51">
        <v>10000000</v>
      </c>
      <c r="H268" s="51"/>
      <c r="I268" s="51"/>
      <c r="J268" s="87">
        <f>IF(G268&gt;0,_xludf.IFS(G268=10000000,800000,G268=20000000,1528000,G268=30000000,2028000,G268=60000000,4056000),"")</f>
      </c>
      <c r="K268" s="51"/>
      <c r="L268" s="52">
        <v>46184</v>
      </c>
      <c r="M268" s="53">
        <f>IF(L268&gt;0,EDATE(L268,-2),"")</f>
        <v>25569.375</v>
      </c>
      <c r="N268" s="50" t="s">
        <v>168</v>
      </c>
      <c r="O268" s="50" t="s">
        <v>471</v>
      </c>
      <c r="P268" s="50" t="s">
        <v>2213</v>
      </c>
      <c r="Q268" s="55" t="s">
        <v>1902</v>
      </c>
      <c r="R268" s="55">
        <v>44432021</v>
      </c>
      <c r="S268" s="53">
        <f>IF(ISNUMBER(M268), EDATE(M268,36)-1, "")</f>
        <v>25569.375</v>
      </c>
      <c r="T268" s="50"/>
      <c r="U268" s="50"/>
      <c r="V268" s="48" t="s">
        <v>841</v>
      </c>
      <c r="W268" s="50"/>
      <c r="X268" s="50"/>
      <c r="Y268" s="56"/>
      <c r="Z268" s="56"/>
      <c r="AA268" s="56"/>
      <c r="AB268" s="56"/>
      <c r="AC268" s="56"/>
      <c r="AD268" s="56"/>
    </row>
    <row x14ac:dyDescent="0.25" r="269" customHeight="1" ht="18.75">
      <c r="A269" s="71"/>
      <c r="B269" s="71"/>
      <c r="C269" s="72" t="s">
        <v>16</v>
      </c>
      <c r="D269" s="72"/>
      <c r="E269" s="72"/>
      <c r="F269" s="72" t="s">
        <v>2416</v>
      </c>
      <c r="G269" s="73"/>
      <c r="H269" s="73"/>
      <c r="I269" s="73"/>
      <c r="J269" s="74"/>
      <c r="K269" s="74"/>
      <c r="L269" s="75">
        <v>46184</v>
      </c>
      <c r="M269" s="76">
        <v>46123</v>
      </c>
      <c r="N269" s="72" t="s">
        <v>168</v>
      </c>
      <c r="O269" s="72" t="s">
        <v>471</v>
      </c>
      <c r="P269" s="72" t="s">
        <v>2416</v>
      </c>
      <c r="Q269" s="73" t="s">
        <v>2417</v>
      </c>
      <c r="R269" s="73" t="s">
        <v>2418</v>
      </c>
      <c r="S269" s="76">
        <v>47218</v>
      </c>
      <c r="T269" s="72" t="s">
        <v>1070</v>
      </c>
      <c r="U269" s="72" t="s">
        <v>166</v>
      </c>
      <c r="V269" s="71" t="s">
        <v>3270</v>
      </c>
      <c r="W269" s="50"/>
      <c r="X269" s="50"/>
      <c r="Y269" s="56"/>
      <c r="Z269" s="56"/>
      <c r="AA269" s="56"/>
      <c r="AB269" s="56"/>
      <c r="AC269" s="56"/>
      <c r="AD269" s="56"/>
    </row>
    <row x14ac:dyDescent="0.25" r="270" customHeight="1" ht="18.75">
      <c r="A270" s="48" t="s">
        <v>275</v>
      </c>
      <c r="B270" s="48"/>
      <c r="C270" s="49" t="s">
        <v>16</v>
      </c>
      <c r="D270" s="50"/>
      <c r="E270" s="50"/>
      <c r="F270" s="50" t="s">
        <v>2416</v>
      </c>
      <c r="G270" s="51">
        <v>10000000</v>
      </c>
      <c r="H270" s="51"/>
      <c r="I270" s="51"/>
      <c r="J270" s="87">
        <f>IF(G270&gt;0,_xludf.IFS(G270=10000000,800000,G270=20000000,1528000,G270=30000000,2028000,G270=60000000,4056000),"")</f>
      </c>
      <c r="K270" s="51"/>
      <c r="L270" s="52">
        <v>46184</v>
      </c>
      <c r="M270" s="53">
        <f>IF(L270&gt;0,EDATE(L270,-2),"")</f>
        <v>25569.375</v>
      </c>
      <c r="N270" s="50" t="s">
        <v>168</v>
      </c>
      <c r="O270" s="50" t="s">
        <v>471</v>
      </c>
      <c r="P270" s="50" t="s">
        <v>2213</v>
      </c>
      <c r="Q270" s="55" t="s">
        <v>2417</v>
      </c>
      <c r="R270" s="55">
        <v>73184544</v>
      </c>
      <c r="S270" s="53">
        <f>IF(ISNUMBER(M270), EDATE(M270,36)-1, "")</f>
        <v>25569.375</v>
      </c>
      <c r="T270" s="50"/>
      <c r="U270" s="50"/>
      <c r="V270" s="48" t="s">
        <v>475</v>
      </c>
      <c r="W270" s="50"/>
      <c r="X270" s="50"/>
      <c r="Y270" s="56"/>
      <c r="Z270" s="56"/>
      <c r="AA270" s="56"/>
      <c r="AB270" s="56"/>
      <c r="AC270" s="56"/>
      <c r="AD270" s="56"/>
    </row>
    <row x14ac:dyDescent="0.25" r="271" customHeight="1" ht="18.75" hidden="1">
      <c r="A271" s="56"/>
      <c r="B271" s="56"/>
      <c r="C271" s="50" t="s">
        <v>16</v>
      </c>
      <c r="D271" s="50"/>
      <c r="E271" s="50"/>
      <c r="F271" s="50" t="s">
        <v>1071</v>
      </c>
      <c r="G271" s="55">
        <v>20000000</v>
      </c>
      <c r="H271" s="55"/>
      <c r="I271" s="55"/>
      <c r="J271" s="51">
        <v>1528000</v>
      </c>
      <c r="K271" s="51"/>
      <c r="L271" s="52">
        <v>45993</v>
      </c>
      <c r="M271" s="53">
        <v>45932</v>
      </c>
      <c r="N271" s="50" t="s">
        <v>155</v>
      </c>
      <c r="O271" s="50" t="s">
        <v>1072</v>
      </c>
      <c r="P271" s="50" t="s">
        <v>1071</v>
      </c>
      <c r="Q271" s="55" t="s">
        <v>1073</v>
      </c>
      <c r="R271" s="55" t="s">
        <v>1074</v>
      </c>
      <c r="S271" s="53">
        <v>47027</v>
      </c>
      <c r="T271" s="50"/>
      <c r="U271" s="50"/>
      <c r="V271" s="56"/>
      <c r="W271" s="50"/>
      <c r="X271" s="50"/>
      <c r="Y271" s="56"/>
      <c r="Z271" s="56"/>
      <c r="AA271" s="56"/>
      <c r="AB271" s="56"/>
      <c r="AC271" s="56"/>
      <c r="AD271" s="56"/>
    </row>
    <row x14ac:dyDescent="0.25" r="272" customHeight="1" ht="18.75" hidden="1">
      <c r="A272" s="56"/>
      <c r="B272" s="56"/>
      <c r="C272" s="50" t="s">
        <v>16</v>
      </c>
      <c r="D272" s="50"/>
      <c r="E272" s="50"/>
      <c r="F272" s="50" t="s">
        <v>1075</v>
      </c>
      <c r="G272" s="55">
        <v>10000000</v>
      </c>
      <c r="H272" s="55"/>
      <c r="I272" s="55"/>
      <c r="J272" s="51">
        <v>800000</v>
      </c>
      <c r="K272" s="51"/>
      <c r="L272" s="52">
        <v>46155</v>
      </c>
      <c r="M272" s="53">
        <v>46094</v>
      </c>
      <c r="N272" s="50" t="s">
        <v>168</v>
      </c>
      <c r="O272" s="50" t="s">
        <v>1076</v>
      </c>
      <c r="P272" s="50" t="s">
        <v>1075</v>
      </c>
      <c r="Q272" s="55" t="s">
        <v>1077</v>
      </c>
      <c r="R272" s="55" t="s">
        <v>1078</v>
      </c>
      <c r="S272" s="53">
        <v>47189</v>
      </c>
      <c r="T272" s="50" t="s">
        <v>1079</v>
      </c>
      <c r="U272" s="50" t="s">
        <v>179</v>
      </c>
      <c r="V272" s="56"/>
      <c r="W272" s="50"/>
      <c r="X272" s="50"/>
      <c r="Y272" s="56"/>
      <c r="Z272" s="56"/>
      <c r="AA272" s="56"/>
      <c r="AB272" s="56"/>
      <c r="AC272" s="56"/>
      <c r="AD272" s="56"/>
    </row>
    <row x14ac:dyDescent="0.25" r="273" customHeight="1" ht="18.75" hidden="1">
      <c r="A273" s="56"/>
      <c r="B273" s="56"/>
      <c r="C273" s="50" t="s">
        <v>16</v>
      </c>
      <c r="D273" s="50"/>
      <c r="E273" s="50"/>
      <c r="F273" s="50" t="s">
        <v>1080</v>
      </c>
      <c r="G273" s="51">
        <v>10000000</v>
      </c>
      <c r="H273" s="51"/>
      <c r="I273" s="51"/>
      <c r="J273" s="51">
        <v>800000</v>
      </c>
      <c r="K273" s="51"/>
      <c r="L273" s="52">
        <v>46107</v>
      </c>
      <c r="M273" s="53">
        <f>IF(L273&gt;0,EDATE(L273,-2),"")</f>
        <v>25569.375</v>
      </c>
      <c r="N273" s="50" t="s">
        <v>168</v>
      </c>
      <c r="O273" s="50" t="s">
        <v>1081</v>
      </c>
      <c r="P273" s="50" t="s">
        <v>1080</v>
      </c>
      <c r="Q273" s="55">
        <v>6204102663515</v>
      </c>
      <c r="R273" s="55">
        <v>47567064</v>
      </c>
      <c r="S273" s="53">
        <f>IF(ISNUMBER(M273), EDATE(M273,36)-1, "")</f>
        <v>25569.375</v>
      </c>
      <c r="T273" s="50"/>
      <c r="U273" s="50"/>
      <c r="V273" s="48" t="s">
        <v>3271</v>
      </c>
      <c r="W273" s="50"/>
      <c r="X273" s="50"/>
      <c r="Y273" s="56"/>
      <c r="Z273" s="56"/>
      <c r="AA273" s="56"/>
      <c r="AB273" s="56"/>
      <c r="AC273" s="56"/>
      <c r="AD273" s="56"/>
    </row>
    <row x14ac:dyDescent="0.25" r="274" customHeight="1" ht="18.75" hidden="1">
      <c r="A274" s="56"/>
      <c r="B274" s="56"/>
      <c r="C274" s="50" t="s">
        <v>16</v>
      </c>
      <c r="D274" s="50"/>
      <c r="E274" s="50" t="s">
        <v>1044</v>
      </c>
      <c r="F274" s="50" t="s">
        <v>1083</v>
      </c>
      <c r="G274" s="55">
        <v>10000000</v>
      </c>
      <c r="H274" s="55"/>
      <c r="I274" s="55"/>
      <c r="J274" s="51">
        <v>500000</v>
      </c>
      <c r="K274" s="51"/>
      <c r="L274" s="52">
        <v>46159</v>
      </c>
      <c r="M274" s="53">
        <v>46098</v>
      </c>
      <c r="N274" s="50" t="s">
        <v>212</v>
      </c>
      <c r="O274" s="50" t="s">
        <v>1084</v>
      </c>
      <c r="P274" s="50" t="s">
        <v>1083</v>
      </c>
      <c r="Q274" s="55" t="s">
        <v>1085</v>
      </c>
      <c r="R274" s="55" t="s">
        <v>1086</v>
      </c>
      <c r="S274" s="53">
        <v>47193</v>
      </c>
      <c r="T274" s="50" t="s">
        <v>1087</v>
      </c>
      <c r="U274" s="50" t="s">
        <v>166</v>
      </c>
      <c r="V274" s="56"/>
      <c r="W274" s="50"/>
      <c r="X274" s="50"/>
      <c r="Y274" s="56"/>
      <c r="Z274" s="56"/>
      <c r="AA274" s="56"/>
      <c r="AB274" s="56"/>
      <c r="AC274" s="56"/>
      <c r="AD274" s="56"/>
    </row>
    <row x14ac:dyDescent="0.25" r="275" customHeight="1" ht="18.75" hidden="1">
      <c r="A275" s="56"/>
      <c r="B275" s="56"/>
      <c r="C275" s="50" t="s">
        <v>16</v>
      </c>
      <c r="D275" s="50"/>
      <c r="E275" s="50"/>
      <c r="F275" s="50" t="s">
        <v>1088</v>
      </c>
      <c r="G275" s="55">
        <v>10000000</v>
      </c>
      <c r="H275" s="55"/>
      <c r="I275" s="55"/>
      <c r="J275" s="51">
        <v>800000</v>
      </c>
      <c r="K275" s="51"/>
      <c r="L275" s="52">
        <v>45910</v>
      </c>
      <c r="M275" s="53">
        <v>45848</v>
      </c>
      <c r="N275" s="50" t="s">
        <v>239</v>
      </c>
      <c r="O275" s="50" t="s">
        <v>1089</v>
      </c>
      <c r="P275" s="50" t="s">
        <v>1088</v>
      </c>
      <c r="Q275" s="55" t="s">
        <v>1090</v>
      </c>
      <c r="R275" s="55" t="s">
        <v>1091</v>
      </c>
      <c r="S275" s="53">
        <v>46943</v>
      </c>
      <c r="T275" s="50"/>
      <c r="U275" s="50"/>
      <c r="V275" s="56"/>
      <c r="W275" s="50"/>
      <c r="X275" s="50"/>
      <c r="Y275" s="56"/>
      <c r="Z275" s="56"/>
      <c r="AA275" s="56"/>
      <c r="AB275" s="56"/>
      <c r="AC275" s="56"/>
      <c r="AD275" s="56"/>
    </row>
    <row x14ac:dyDescent="0.25" r="276" customHeight="1" ht="18.75" hidden="1">
      <c r="A276" s="56"/>
      <c r="B276" s="56"/>
      <c r="C276" s="50" t="s">
        <v>16</v>
      </c>
      <c r="D276" s="50"/>
      <c r="E276" s="50"/>
      <c r="F276" s="50" t="s">
        <v>1092</v>
      </c>
      <c r="G276" s="55">
        <v>60000000</v>
      </c>
      <c r="H276" s="55"/>
      <c r="I276" s="55"/>
      <c r="J276" s="51">
        <v>4056000</v>
      </c>
      <c r="K276" s="51"/>
      <c r="L276" s="52">
        <v>46152</v>
      </c>
      <c r="M276" s="53">
        <v>46091</v>
      </c>
      <c r="N276" s="50" t="s">
        <v>239</v>
      </c>
      <c r="O276" s="50" t="s">
        <v>1093</v>
      </c>
      <c r="P276" s="50" t="s">
        <v>1092</v>
      </c>
      <c r="Q276" s="55" t="s">
        <v>1094</v>
      </c>
      <c r="R276" s="55" t="s">
        <v>1095</v>
      </c>
      <c r="S276" s="53">
        <v>47186</v>
      </c>
      <c r="T276" s="50" t="s">
        <v>1096</v>
      </c>
      <c r="U276" s="50" t="s">
        <v>166</v>
      </c>
      <c r="V276" s="56"/>
      <c r="W276" s="50"/>
      <c r="X276" s="50"/>
      <c r="Y276" s="56"/>
      <c r="Z276" s="56"/>
      <c r="AA276" s="56"/>
      <c r="AB276" s="56"/>
      <c r="AC276" s="56"/>
      <c r="AD276" s="56"/>
    </row>
    <row x14ac:dyDescent="0.25" r="277" customHeight="1" ht="18.75">
      <c r="A277" s="63"/>
      <c r="B277" s="63"/>
      <c r="C277" s="49" t="s">
        <v>16</v>
      </c>
      <c r="D277" s="49" t="s">
        <v>116</v>
      </c>
      <c r="E277" s="49" t="s">
        <v>117</v>
      </c>
      <c r="F277" s="49" t="s">
        <v>2549</v>
      </c>
      <c r="G277" s="64">
        <v>10000000</v>
      </c>
      <c r="H277" s="64"/>
      <c r="I277" s="64"/>
      <c r="J277" s="65">
        <f>IF(G277&gt;0,_xludf.IFS(G277=10000000,800000,G277=20000000,1528000,G277=30000000,2028000,G277=60000000,4056000),"")</f>
      </c>
      <c r="K277" s="64"/>
      <c r="L277" s="66">
        <v>46184</v>
      </c>
      <c r="M277" s="67">
        <f>IF(L277&gt;0,EDATE(L277,-2),"")</f>
        <v>25569.375</v>
      </c>
      <c r="N277" s="49" t="s">
        <v>234</v>
      </c>
      <c r="O277" s="49" t="s">
        <v>2550</v>
      </c>
      <c r="P277" s="68">
        <f>IF(F277&gt;0,F277,"")</f>
      </c>
      <c r="Q277" s="69" t="s">
        <v>2551</v>
      </c>
      <c r="R277" s="69">
        <v>31508864</v>
      </c>
      <c r="S277" s="67">
        <f>IF(ISNUMBER(M277), EDATE(M277,36)-1, "")</f>
        <v>25569.375</v>
      </c>
      <c r="T277" s="49"/>
      <c r="U277" s="49"/>
      <c r="V277" s="63"/>
      <c r="W277" s="50"/>
      <c r="X277" s="50"/>
      <c r="Y277" s="56"/>
      <c r="Z277" s="56"/>
      <c r="AA277" s="56"/>
      <c r="AB277" s="56"/>
      <c r="AC277" s="56"/>
      <c r="AD277" s="56"/>
    </row>
    <row x14ac:dyDescent="0.25" r="278" customHeight="1" ht="18.75">
      <c r="A278" s="56"/>
      <c r="B278" s="56"/>
      <c r="C278" s="50" t="s">
        <v>16</v>
      </c>
      <c r="D278" s="50"/>
      <c r="E278" s="50"/>
      <c r="F278" s="50" t="s">
        <v>2565</v>
      </c>
      <c r="G278" s="55">
        <v>10000000</v>
      </c>
      <c r="H278" s="55"/>
      <c r="I278" s="55"/>
      <c r="J278" s="51">
        <v>500000</v>
      </c>
      <c r="K278" s="51"/>
      <c r="L278" s="52">
        <v>46184</v>
      </c>
      <c r="M278" s="53">
        <v>46123</v>
      </c>
      <c r="N278" s="50" t="s">
        <v>168</v>
      </c>
      <c r="O278" s="50" t="s">
        <v>471</v>
      </c>
      <c r="P278" s="50" t="s">
        <v>2565</v>
      </c>
      <c r="Q278" s="55" t="s">
        <v>2566</v>
      </c>
      <c r="R278" s="55" t="s">
        <v>2567</v>
      </c>
      <c r="S278" s="53">
        <v>47218</v>
      </c>
      <c r="T278" s="50" t="s">
        <v>2568</v>
      </c>
      <c r="U278" s="50"/>
      <c r="V278" s="56"/>
      <c r="W278" s="50"/>
      <c r="X278" s="50"/>
      <c r="Y278" s="56"/>
      <c r="Z278" s="56"/>
      <c r="AA278" s="56"/>
      <c r="AB278" s="56"/>
      <c r="AC278" s="56"/>
      <c r="AD278" s="56"/>
    </row>
    <row x14ac:dyDescent="0.25" r="279" customHeight="1" ht="18.75" hidden="1">
      <c r="A279" s="56"/>
      <c r="B279" s="56"/>
      <c r="C279" s="50" t="s">
        <v>16</v>
      </c>
      <c r="D279" s="50"/>
      <c r="E279" s="50"/>
      <c r="F279" s="50" t="s">
        <v>35</v>
      </c>
      <c r="G279" s="55">
        <v>10000000</v>
      </c>
      <c r="H279" s="55"/>
      <c r="I279" s="55"/>
      <c r="J279" s="51">
        <v>800000</v>
      </c>
      <c r="K279" s="51"/>
      <c r="L279" s="52">
        <v>46145</v>
      </c>
      <c r="M279" s="53">
        <v>46084</v>
      </c>
      <c r="N279" s="50" t="s">
        <v>302</v>
      </c>
      <c r="O279" s="50" t="s">
        <v>1103</v>
      </c>
      <c r="P279" s="50" t="s">
        <v>35</v>
      </c>
      <c r="Q279" s="55" t="s">
        <v>1104</v>
      </c>
      <c r="R279" s="55" t="s">
        <v>1105</v>
      </c>
      <c r="S279" s="53">
        <v>47179</v>
      </c>
      <c r="T279" s="50" t="s">
        <v>36</v>
      </c>
      <c r="U279" s="50" t="s">
        <v>293</v>
      </c>
      <c r="V279" s="56"/>
      <c r="W279" s="50"/>
      <c r="X279" s="50"/>
      <c r="Y279" s="56"/>
      <c r="Z279" s="56"/>
      <c r="AA279" s="56"/>
      <c r="AB279" s="56"/>
      <c r="AC279" s="56"/>
      <c r="AD279" s="56"/>
    </row>
    <row x14ac:dyDescent="0.25" r="280" customHeight="1" ht="18.75">
      <c r="A280" s="48" t="s">
        <v>275</v>
      </c>
      <c r="B280" s="48"/>
      <c r="C280" s="49" t="s">
        <v>16</v>
      </c>
      <c r="D280" s="50"/>
      <c r="E280" s="50"/>
      <c r="F280" s="50" t="s">
        <v>2565</v>
      </c>
      <c r="G280" s="51">
        <v>10000000</v>
      </c>
      <c r="H280" s="51"/>
      <c r="I280" s="51"/>
      <c r="J280" s="87">
        <f>IF(G280&gt;0,_xludf.IFS(G280=10000000,800000,G280=20000000,1528000,G280=30000000,2028000,G280=60000000,4056000),"")</f>
      </c>
      <c r="K280" s="51"/>
      <c r="L280" s="52">
        <v>46184</v>
      </c>
      <c r="M280" s="53">
        <f>IF(L280&gt;0,EDATE(L280,-2),"")</f>
        <v>25569.375</v>
      </c>
      <c r="N280" s="50" t="s">
        <v>168</v>
      </c>
      <c r="O280" s="50" t="s">
        <v>471</v>
      </c>
      <c r="P280" s="50" t="s">
        <v>2213</v>
      </c>
      <c r="Q280" s="55" t="s">
        <v>2566</v>
      </c>
      <c r="R280" s="55">
        <v>83222587</v>
      </c>
      <c r="S280" s="53">
        <f>IF(ISNUMBER(M280), EDATE(M280,36)-1, "")</f>
        <v>25569.375</v>
      </c>
      <c r="T280" s="50"/>
      <c r="U280" s="50"/>
      <c r="V280" s="48" t="s">
        <v>841</v>
      </c>
      <c r="W280" s="50"/>
      <c r="X280" s="50"/>
      <c r="Y280" s="56"/>
      <c r="Z280" s="56"/>
      <c r="AA280" s="56"/>
      <c r="AB280" s="56"/>
      <c r="AC280" s="56"/>
      <c r="AD280" s="56"/>
    </row>
    <row x14ac:dyDescent="0.25" r="281" customHeight="1" ht="18.75">
      <c r="A281" s="71"/>
      <c r="B281" s="71"/>
      <c r="C281" s="72" t="s">
        <v>16</v>
      </c>
      <c r="D281" s="72"/>
      <c r="E281" s="72"/>
      <c r="F281" s="72" t="s">
        <v>2608</v>
      </c>
      <c r="G281" s="73">
        <v>30000000</v>
      </c>
      <c r="H281" s="73"/>
      <c r="I281" s="73"/>
      <c r="J281" s="74"/>
      <c r="K281" s="74"/>
      <c r="L281" s="75">
        <v>46184</v>
      </c>
      <c r="M281" s="76">
        <v>46123</v>
      </c>
      <c r="N281" s="72" t="s">
        <v>2054</v>
      </c>
      <c r="O281" s="72" t="s">
        <v>2609</v>
      </c>
      <c r="P281" s="72" t="s">
        <v>2608</v>
      </c>
      <c r="Q281" s="73" t="s">
        <v>2610</v>
      </c>
      <c r="R281" s="73" t="s">
        <v>2611</v>
      </c>
      <c r="S281" s="76">
        <v>47218</v>
      </c>
      <c r="T281" s="72" t="s">
        <v>2612</v>
      </c>
      <c r="U281" s="72" t="s">
        <v>166</v>
      </c>
      <c r="V281" s="71"/>
      <c r="W281" s="50"/>
      <c r="X281" s="50"/>
      <c r="Y281" s="56"/>
      <c r="Z281" s="56"/>
      <c r="AA281" s="56"/>
      <c r="AB281" s="56"/>
      <c r="AC281" s="56"/>
      <c r="AD281" s="56"/>
    </row>
    <row x14ac:dyDescent="0.25" r="282" customHeight="1" ht="18.75" hidden="1">
      <c r="A282" s="56"/>
      <c r="B282" s="56"/>
      <c r="C282" s="50" t="s">
        <v>16</v>
      </c>
      <c r="D282" s="50"/>
      <c r="E282" s="50"/>
      <c r="F282" s="50" t="s">
        <v>1111</v>
      </c>
      <c r="G282" s="55">
        <v>10000000</v>
      </c>
      <c r="H282" s="55"/>
      <c r="I282" s="55"/>
      <c r="J282" s="51">
        <v>800000</v>
      </c>
      <c r="K282" s="51"/>
      <c r="L282" s="52">
        <v>46043</v>
      </c>
      <c r="M282" s="53">
        <v>45983</v>
      </c>
      <c r="N282" s="50" t="s">
        <v>168</v>
      </c>
      <c r="O282" s="50" t="s">
        <v>1112</v>
      </c>
      <c r="P282" s="50" t="s">
        <v>1111</v>
      </c>
      <c r="Q282" s="55" t="s">
        <v>1113</v>
      </c>
      <c r="R282" s="55" t="s">
        <v>1114</v>
      </c>
      <c r="S282" s="53">
        <v>47077</v>
      </c>
      <c r="T282" s="50"/>
      <c r="U282" s="50"/>
      <c r="V282" s="56"/>
      <c r="W282" s="50"/>
      <c r="X282" s="50"/>
      <c r="Y282" s="56"/>
      <c r="Z282" s="56"/>
      <c r="AA282" s="56"/>
      <c r="AB282" s="56"/>
      <c r="AC282" s="56"/>
      <c r="AD282" s="56"/>
    </row>
    <row x14ac:dyDescent="0.25" r="283" customHeight="1" ht="18.75" hidden="1">
      <c r="A283" s="56"/>
      <c r="B283" s="56"/>
      <c r="C283" s="50" t="s">
        <v>16</v>
      </c>
      <c r="D283" s="50"/>
      <c r="E283" s="50"/>
      <c r="F283" s="50" t="s">
        <v>1115</v>
      </c>
      <c r="G283" s="55">
        <v>10000000</v>
      </c>
      <c r="H283" s="55"/>
      <c r="I283" s="55"/>
      <c r="J283" s="51">
        <v>800000</v>
      </c>
      <c r="K283" s="51"/>
      <c r="L283" s="52">
        <v>46172</v>
      </c>
      <c r="M283" s="53">
        <v>46111</v>
      </c>
      <c r="N283" s="50" t="s">
        <v>212</v>
      </c>
      <c r="O283" s="50" t="s">
        <v>902</v>
      </c>
      <c r="P283" s="50" t="s">
        <v>1115</v>
      </c>
      <c r="Q283" s="55" t="s">
        <v>1116</v>
      </c>
      <c r="R283" s="55" t="s">
        <v>1117</v>
      </c>
      <c r="S283" s="53">
        <v>47206</v>
      </c>
      <c r="T283" s="50"/>
      <c r="U283" s="50" t="s">
        <v>166</v>
      </c>
      <c r="V283" s="56"/>
      <c r="W283" s="50"/>
      <c r="X283" s="50"/>
      <c r="Y283" s="56"/>
      <c r="Z283" s="56"/>
      <c r="AA283" s="56"/>
      <c r="AB283" s="56"/>
      <c r="AC283" s="56"/>
      <c r="AD283" s="56"/>
    </row>
    <row x14ac:dyDescent="0.25" r="284" customHeight="1" ht="18.75" hidden="1">
      <c r="A284" s="56"/>
      <c r="B284" s="56"/>
      <c r="C284" s="50" t="s">
        <v>16</v>
      </c>
      <c r="D284" s="50"/>
      <c r="E284" s="50"/>
      <c r="F284" s="50" t="s">
        <v>37</v>
      </c>
      <c r="G284" s="55">
        <v>10000000</v>
      </c>
      <c r="H284" s="55"/>
      <c r="I284" s="55"/>
      <c r="J284" s="51">
        <v>800000</v>
      </c>
      <c r="K284" s="51"/>
      <c r="L284" s="52">
        <v>46145</v>
      </c>
      <c r="M284" s="53">
        <v>46084</v>
      </c>
      <c r="N284" s="50" t="s">
        <v>239</v>
      </c>
      <c r="O284" s="50" t="s">
        <v>1118</v>
      </c>
      <c r="P284" s="50" t="s">
        <v>37</v>
      </c>
      <c r="Q284" s="55" t="s">
        <v>1119</v>
      </c>
      <c r="R284" s="55" t="s">
        <v>1120</v>
      </c>
      <c r="S284" s="53">
        <v>47179</v>
      </c>
      <c r="T284" s="50" t="s">
        <v>38</v>
      </c>
      <c r="U284" s="50" t="s">
        <v>293</v>
      </c>
      <c r="V284" s="56"/>
      <c r="W284" s="50"/>
      <c r="X284" s="50"/>
      <c r="Y284" s="56"/>
      <c r="Z284" s="56"/>
      <c r="AA284" s="56"/>
      <c r="AB284" s="56"/>
      <c r="AC284" s="56"/>
      <c r="AD284" s="56"/>
    </row>
    <row x14ac:dyDescent="0.25" r="285" customHeight="1" ht="18.75" hidden="1">
      <c r="A285" s="48" t="s">
        <v>152</v>
      </c>
      <c r="B285" s="48"/>
      <c r="C285" s="49" t="s">
        <v>16</v>
      </c>
      <c r="D285" s="50" t="s">
        <v>900</v>
      </c>
      <c r="E285" s="50" t="s">
        <v>1121</v>
      </c>
      <c r="F285" s="50" t="s">
        <v>1122</v>
      </c>
      <c r="G285" s="51">
        <v>10000000</v>
      </c>
      <c r="H285" s="51"/>
      <c r="I285" s="51"/>
      <c r="J285" s="87">
        <f>IF(G285&gt;0,_xludf.IFS(G285=10000000,800000,G285=20000000,1528000,G285=30000000,2028000,G285=60000000,4056000),"")</f>
      </c>
      <c r="K285" s="51"/>
      <c r="L285" s="52">
        <v>45981</v>
      </c>
      <c r="M285" s="53">
        <f>IF(L285&gt;0,EDATE(L285,-2),"")</f>
        <v>25569.375</v>
      </c>
      <c r="N285" s="50" t="s">
        <v>168</v>
      </c>
      <c r="O285" s="50" t="s">
        <v>1123</v>
      </c>
      <c r="P285" s="54">
        <f>IF(F285&gt;0,F285,"")</f>
      </c>
      <c r="Q285" s="55" t="s">
        <v>1124</v>
      </c>
      <c r="R285" s="55">
        <v>39254228</v>
      </c>
      <c r="S285" s="53">
        <f>IF(ISNUMBER(M285), EDATE(M285,36)-1, "")</f>
        <v>25569.375</v>
      </c>
      <c r="T285" s="50"/>
      <c r="U285" s="50"/>
      <c r="V285" s="48" t="s">
        <v>1125</v>
      </c>
      <c r="W285" s="50"/>
      <c r="X285" s="50"/>
      <c r="Y285" s="56"/>
      <c r="Z285" s="56"/>
      <c r="AA285" s="56"/>
      <c r="AB285" s="56"/>
      <c r="AC285" s="56"/>
      <c r="AD285" s="56"/>
    </row>
    <row x14ac:dyDescent="0.25" r="286" customHeight="1" ht="18.75" hidden="1">
      <c r="A286" s="56"/>
      <c r="B286" s="56"/>
      <c r="C286" s="50" t="s">
        <v>16</v>
      </c>
      <c r="D286" s="50"/>
      <c r="E286" s="50"/>
      <c r="F286" s="50" t="s">
        <v>1126</v>
      </c>
      <c r="G286" s="55">
        <v>60000000</v>
      </c>
      <c r="H286" s="55"/>
      <c r="I286" s="55"/>
      <c r="J286" s="51">
        <v>4056000</v>
      </c>
      <c r="K286" s="51"/>
      <c r="L286" s="52">
        <v>46012</v>
      </c>
      <c r="M286" s="53">
        <v>45951</v>
      </c>
      <c r="N286" s="50" t="s">
        <v>302</v>
      </c>
      <c r="O286" s="50" t="s">
        <v>1127</v>
      </c>
      <c r="P286" s="50" t="s">
        <v>1126</v>
      </c>
      <c r="Q286" s="55" t="s">
        <v>1128</v>
      </c>
      <c r="R286" s="55" t="s">
        <v>1129</v>
      </c>
      <c r="S286" s="53">
        <v>47046</v>
      </c>
      <c r="T286" s="50"/>
      <c r="U286" s="50"/>
      <c r="V286" s="56"/>
      <c r="W286" s="50"/>
      <c r="X286" s="50"/>
      <c r="Y286" s="56"/>
      <c r="Z286" s="56"/>
      <c r="AA286" s="56"/>
      <c r="AB286" s="56"/>
      <c r="AC286" s="56"/>
      <c r="AD286" s="56"/>
    </row>
    <row x14ac:dyDescent="0.25" r="287" customHeight="1" ht="18.75" hidden="1">
      <c r="A287" s="56"/>
      <c r="B287" s="56"/>
      <c r="C287" s="50" t="s">
        <v>16</v>
      </c>
      <c r="D287" s="50"/>
      <c r="E287" s="50"/>
      <c r="F287" s="50" t="s">
        <v>1126</v>
      </c>
      <c r="G287" s="55">
        <v>30000000</v>
      </c>
      <c r="H287" s="55"/>
      <c r="I287" s="55"/>
      <c r="J287" s="51">
        <v>2028000</v>
      </c>
      <c r="K287" s="51"/>
      <c r="L287" s="52">
        <v>46065</v>
      </c>
      <c r="M287" s="53">
        <v>46004</v>
      </c>
      <c r="N287" s="50" t="s">
        <v>239</v>
      </c>
      <c r="O287" s="50" t="s">
        <v>1130</v>
      </c>
      <c r="P287" s="50" t="s">
        <v>1126</v>
      </c>
      <c r="Q287" s="55" t="s">
        <v>1131</v>
      </c>
      <c r="R287" s="55" t="s">
        <v>1132</v>
      </c>
      <c r="S287" s="53">
        <v>47098</v>
      </c>
      <c r="T287" s="50"/>
      <c r="U287" s="50"/>
      <c r="V287" s="56"/>
      <c r="W287" s="50"/>
      <c r="X287" s="50"/>
      <c r="Y287" s="56"/>
      <c r="Z287" s="56"/>
      <c r="AA287" s="56"/>
      <c r="AB287" s="56"/>
      <c r="AC287" s="56"/>
      <c r="AD287" s="56"/>
    </row>
    <row x14ac:dyDescent="0.25" r="288" customHeight="1" ht="18.75" hidden="1">
      <c r="A288" s="48" t="s">
        <v>1133</v>
      </c>
      <c r="B288" s="48"/>
      <c r="C288" s="50" t="s">
        <v>16</v>
      </c>
      <c r="D288" s="50"/>
      <c r="E288" s="50"/>
      <c r="F288" s="50" t="s">
        <v>1134</v>
      </c>
      <c r="G288" s="55">
        <v>120000000</v>
      </c>
      <c r="H288" s="55"/>
      <c r="I288" s="55"/>
      <c r="J288" s="51">
        <v>9600000</v>
      </c>
      <c r="K288" s="51"/>
      <c r="L288" s="52">
        <v>46019</v>
      </c>
      <c r="M288" s="53">
        <v>45593</v>
      </c>
      <c r="N288" s="50" t="s">
        <v>239</v>
      </c>
      <c r="O288" s="50" t="s">
        <v>1135</v>
      </c>
      <c r="P288" s="50" t="s">
        <v>1134</v>
      </c>
      <c r="Q288" s="55" t="s">
        <v>1136</v>
      </c>
      <c r="R288" s="55" t="s">
        <v>1137</v>
      </c>
      <c r="S288" s="53">
        <v>47053</v>
      </c>
      <c r="T288" s="50"/>
      <c r="U288" s="50"/>
      <c r="V288" s="56"/>
      <c r="W288" s="50"/>
      <c r="X288" s="50"/>
      <c r="Y288" s="56"/>
      <c r="Z288" s="56"/>
      <c r="AA288" s="56"/>
      <c r="AB288" s="56"/>
      <c r="AC288" s="56"/>
      <c r="AD288" s="56"/>
    </row>
    <row x14ac:dyDescent="0.25" r="289" customHeight="1" ht="18.75" hidden="1">
      <c r="A289" s="56"/>
      <c r="B289" s="56"/>
      <c r="C289" s="50" t="s">
        <v>13</v>
      </c>
      <c r="D289" s="50"/>
      <c r="E289" s="50"/>
      <c r="F289" s="50" t="s">
        <v>1134</v>
      </c>
      <c r="G289" s="55">
        <v>10000000</v>
      </c>
      <c r="H289" s="55"/>
      <c r="I289" s="55"/>
      <c r="J289" s="51">
        <v>900000</v>
      </c>
      <c r="K289" s="51"/>
      <c r="L289" s="52">
        <v>45778</v>
      </c>
      <c r="M289" s="53">
        <v>45717</v>
      </c>
      <c r="N289" s="50" t="s">
        <v>239</v>
      </c>
      <c r="O289" s="50" t="s">
        <v>1135</v>
      </c>
      <c r="P289" s="50" t="s">
        <v>1134</v>
      </c>
      <c r="Q289" s="55" t="s">
        <v>1136</v>
      </c>
      <c r="R289" s="55" t="s">
        <v>1137</v>
      </c>
      <c r="S289" s="53">
        <v>46812</v>
      </c>
      <c r="T289" s="50"/>
      <c r="U289" s="50"/>
      <c r="V289" s="56"/>
      <c r="W289" s="50"/>
      <c r="X289" s="50"/>
      <c r="Y289" s="56"/>
      <c r="Z289" s="56"/>
      <c r="AA289" s="56"/>
      <c r="AB289" s="56"/>
      <c r="AC289" s="56"/>
      <c r="AD289" s="56"/>
    </row>
    <row x14ac:dyDescent="0.25" r="290" customHeight="1" ht="18.75" hidden="1">
      <c r="A290" s="56"/>
      <c r="B290" s="56"/>
      <c r="C290" s="50" t="s">
        <v>16</v>
      </c>
      <c r="D290" s="50"/>
      <c r="E290" s="50"/>
      <c r="F290" s="50" t="s">
        <v>1134</v>
      </c>
      <c r="G290" s="55">
        <v>20000000</v>
      </c>
      <c r="H290" s="55"/>
      <c r="I290" s="55"/>
      <c r="J290" s="51">
        <v>1600000</v>
      </c>
      <c r="K290" s="51"/>
      <c r="L290" s="52">
        <v>45840</v>
      </c>
      <c r="M290" s="53">
        <v>45779</v>
      </c>
      <c r="N290" s="50" t="s">
        <v>239</v>
      </c>
      <c r="O290" s="50" t="s">
        <v>1135</v>
      </c>
      <c r="P290" s="50" t="s">
        <v>1134</v>
      </c>
      <c r="Q290" s="55" t="s">
        <v>1136</v>
      </c>
      <c r="R290" s="55" t="s">
        <v>1137</v>
      </c>
      <c r="S290" s="53">
        <v>46874</v>
      </c>
      <c r="T290" s="50"/>
      <c r="U290" s="50"/>
      <c r="V290" s="56"/>
      <c r="W290" s="50"/>
      <c r="X290" s="50"/>
      <c r="Y290" s="56"/>
      <c r="Z290" s="56"/>
      <c r="AA290" s="56"/>
      <c r="AB290" s="56"/>
      <c r="AC290" s="56"/>
      <c r="AD290" s="56"/>
    </row>
    <row x14ac:dyDescent="0.25" r="291" customHeight="1" ht="18.75" hidden="1">
      <c r="A291" s="56"/>
      <c r="B291" s="56"/>
      <c r="C291" s="50" t="s">
        <v>16</v>
      </c>
      <c r="D291" s="50"/>
      <c r="E291" s="50"/>
      <c r="F291" s="50" t="s">
        <v>1134</v>
      </c>
      <c r="G291" s="55">
        <v>30000000</v>
      </c>
      <c r="H291" s="55"/>
      <c r="I291" s="55"/>
      <c r="J291" s="51">
        <v>2400000</v>
      </c>
      <c r="K291" s="51"/>
      <c r="L291" s="52">
        <v>45909</v>
      </c>
      <c r="M291" s="53">
        <v>45847</v>
      </c>
      <c r="N291" s="50" t="s">
        <v>239</v>
      </c>
      <c r="O291" s="50" t="s">
        <v>1135</v>
      </c>
      <c r="P291" s="50" t="s">
        <v>1134</v>
      </c>
      <c r="Q291" s="55" t="s">
        <v>1136</v>
      </c>
      <c r="R291" s="55" t="s">
        <v>1137</v>
      </c>
      <c r="S291" s="53">
        <v>46942</v>
      </c>
      <c r="T291" s="50"/>
      <c r="U291" s="50"/>
      <c r="V291" s="56"/>
      <c r="W291" s="50"/>
      <c r="X291" s="50"/>
      <c r="Y291" s="56"/>
      <c r="Z291" s="56"/>
      <c r="AA291" s="56"/>
      <c r="AB291" s="56"/>
      <c r="AC291" s="56"/>
      <c r="AD291" s="56"/>
    </row>
    <row x14ac:dyDescent="0.25" r="292" customHeight="1" ht="18.75">
      <c r="A292" s="56"/>
      <c r="B292" s="56"/>
      <c r="C292" s="50" t="s">
        <v>16</v>
      </c>
      <c r="D292" s="50"/>
      <c r="E292" s="50"/>
      <c r="F292" s="50" t="s">
        <v>2724</v>
      </c>
      <c r="G292" s="55">
        <v>10000000</v>
      </c>
      <c r="H292" s="55"/>
      <c r="I292" s="55"/>
      <c r="J292" s="51">
        <v>800000</v>
      </c>
      <c r="K292" s="51"/>
      <c r="L292" s="52">
        <v>46184</v>
      </c>
      <c r="M292" s="53">
        <v>46123</v>
      </c>
      <c r="N292" s="50" t="s">
        <v>2054</v>
      </c>
      <c r="O292" s="50" t="s">
        <v>2725</v>
      </c>
      <c r="P292" s="50" t="s">
        <v>2724</v>
      </c>
      <c r="Q292" s="55" t="s">
        <v>2726</v>
      </c>
      <c r="R292" s="55" t="s">
        <v>2727</v>
      </c>
      <c r="S292" s="53">
        <v>47218</v>
      </c>
      <c r="T292" s="50" t="s">
        <v>2728</v>
      </c>
      <c r="U292" s="50" t="s">
        <v>166</v>
      </c>
      <c r="V292" s="56"/>
      <c r="W292" s="50"/>
      <c r="X292" s="50"/>
      <c r="Y292" s="56"/>
      <c r="Z292" s="56"/>
      <c r="AA292" s="56"/>
      <c r="AB292" s="56"/>
      <c r="AC292" s="56"/>
      <c r="AD292" s="56"/>
    </row>
    <row x14ac:dyDescent="0.25" r="293" customHeight="1" ht="18.75">
      <c r="A293" s="56"/>
      <c r="B293" s="56"/>
      <c r="C293" s="50" t="s">
        <v>16</v>
      </c>
      <c r="D293" s="50" t="s">
        <v>143</v>
      </c>
      <c r="E293" s="50" t="s">
        <v>1335</v>
      </c>
      <c r="F293" s="50" t="s">
        <v>2795</v>
      </c>
      <c r="G293" s="55">
        <v>10000000</v>
      </c>
      <c r="H293" s="55"/>
      <c r="I293" s="55"/>
      <c r="J293" s="51">
        <v>1200000</v>
      </c>
      <c r="K293" s="51"/>
      <c r="L293" s="52">
        <v>46184</v>
      </c>
      <c r="M293" s="53">
        <v>46123</v>
      </c>
      <c r="N293" s="50" t="s">
        <v>699</v>
      </c>
      <c r="O293" s="50" t="s">
        <v>2796</v>
      </c>
      <c r="P293" s="50" t="s">
        <v>2795</v>
      </c>
      <c r="Q293" s="55" t="s">
        <v>2797</v>
      </c>
      <c r="R293" s="55" t="s">
        <v>2798</v>
      </c>
      <c r="S293" s="53">
        <v>47218</v>
      </c>
      <c r="T293" s="50" t="s">
        <v>2799</v>
      </c>
      <c r="U293" s="50"/>
      <c r="V293" s="56"/>
      <c r="W293" s="50"/>
      <c r="X293" s="50"/>
      <c r="Y293" s="56"/>
      <c r="Z293" s="56"/>
      <c r="AA293" s="56"/>
      <c r="AB293" s="56"/>
      <c r="AC293" s="56"/>
      <c r="AD293" s="56"/>
    </row>
    <row x14ac:dyDescent="0.25" r="294" customHeight="1" ht="18.75" hidden="1">
      <c r="A294" s="63" t="s">
        <v>252</v>
      </c>
      <c r="B294" s="63"/>
      <c r="C294" s="49" t="s">
        <v>16</v>
      </c>
      <c r="D294" s="49" t="s">
        <v>454</v>
      </c>
      <c r="E294" s="49" t="s">
        <v>647</v>
      </c>
      <c r="F294" s="49" t="s">
        <v>1145</v>
      </c>
      <c r="G294" s="64">
        <v>10000000</v>
      </c>
      <c r="H294" s="64"/>
      <c r="I294" s="64"/>
      <c r="J294" s="65">
        <f>IF(G294&gt;0,_xludf.IFS(G294=10000000,800000,G294=20000000,1528000,G294=30000000,2028000,G294=60000000,4056000),"")</f>
      </c>
      <c r="K294" s="64"/>
      <c r="L294" s="66" t="s">
        <v>449</v>
      </c>
      <c r="M294" s="67" t="s">
        <v>449</v>
      </c>
      <c r="N294" s="49"/>
      <c r="O294" s="49"/>
      <c r="P294" s="68">
        <f>IF(F294&gt;0,F294,"")</f>
      </c>
      <c r="Q294" s="69"/>
      <c r="R294" s="69"/>
      <c r="S294" s="67" t="s">
        <v>449</v>
      </c>
      <c r="T294" s="49"/>
      <c r="U294" s="49"/>
      <c r="V294" s="63" t="s">
        <v>1146</v>
      </c>
      <c r="W294" s="50"/>
      <c r="X294" s="50"/>
      <c r="Y294" s="56"/>
      <c r="Z294" s="56"/>
      <c r="AA294" s="56"/>
      <c r="AB294" s="56"/>
      <c r="AC294" s="56"/>
      <c r="AD294" s="56"/>
    </row>
    <row x14ac:dyDescent="0.25" r="295" customHeight="1" ht="18.75" hidden="1">
      <c r="A295" s="56"/>
      <c r="B295" s="56"/>
      <c r="C295" s="50" t="s">
        <v>16</v>
      </c>
      <c r="D295" s="50"/>
      <c r="E295" s="50"/>
      <c r="F295" s="50" t="s">
        <v>1147</v>
      </c>
      <c r="G295" s="55">
        <v>10000000</v>
      </c>
      <c r="H295" s="55"/>
      <c r="I295" s="55"/>
      <c r="J295" s="51">
        <v>800000</v>
      </c>
      <c r="K295" s="51"/>
      <c r="L295" s="52">
        <v>46167</v>
      </c>
      <c r="M295" s="53">
        <v>46106</v>
      </c>
      <c r="N295" s="50" t="s">
        <v>168</v>
      </c>
      <c r="O295" s="50" t="s">
        <v>1148</v>
      </c>
      <c r="P295" s="50" t="s">
        <v>1147</v>
      </c>
      <c r="Q295" s="55" t="s">
        <v>1149</v>
      </c>
      <c r="R295" s="55" t="s">
        <v>1150</v>
      </c>
      <c r="S295" s="53">
        <v>47201</v>
      </c>
      <c r="T295" s="50"/>
      <c r="U295" s="50" t="s">
        <v>166</v>
      </c>
      <c r="V295" s="56"/>
      <c r="W295" s="50"/>
      <c r="X295" s="50"/>
      <c r="Y295" s="56"/>
      <c r="Z295" s="56"/>
      <c r="AA295" s="56"/>
      <c r="AB295" s="56"/>
      <c r="AC295" s="56"/>
      <c r="AD295" s="56"/>
    </row>
    <row x14ac:dyDescent="0.25" r="296" customHeight="1" ht="18.75">
      <c r="A296" s="56"/>
      <c r="B296" s="56"/>
      <c r="C296" s="50" t="s">
        <v>16</v>
      </c>
      <c r="D296" s="50"/>
      <c r="E296" s="50" t="s">
        <v>22</v>
      </c>
      <c r="F296" s="50" t="s">
        <v>2795</v>
      </c>
      <c r="G296" s="55">
        <v>10000000</v>
      </c>
      <c r="H296" s="55"/>
      <c r="I296" s="55"/>
      <c r="J296" s="51">
        <v>800000</v>
      </c>
      <c r="K296" s="51"/>
      <c r="L296" s="52">
        <v>46184</v>
      </c>
      <c r="M296" s="53">
        <v>46123</v>
      </c>
      <c r="N296" s="50" t="s">
        <v>2653</v>
      </c>
      <c r="O296" s="50" t="s">
        <v>2796</v>
      </c>
      <c r="P296" s="50" t="s">
        <v>2795</v>
      </c>
      <c r="Q296" s="55" t="s">
        <v>2797</v>
      </c>
      <c r="R296" s="55" t="s">
        <v>2798</v>
      </c>
      <c r="S296" s="53">
        <v>47218</v>
      </c>
      <c r="T296" s="50"/>
      <c r="U296" s="50" t="s">
        <v>166</v>
      </c>
      <c r="V296" s="56"/>
      <c r="W296" s="50"/>
      <c r="X296" s="50"/>
      <c r="Y296" s="56"/>
      <c r="Z296" s="56"/>
      <c r="AA296" s="56"/>
      <c r="AB296" s="56"/>
      <c r="AC296" s="56"/>
      <c r="AD296" s="56"/>
    </row>
    <row x14ac:dyDescent="0.25" r="297" customHeight="1" ht="18.75" hidden="1">
      <c r="A297" s="48" t="s">
        <v>252</v>
      </c>
      <c r="B297" s="48"/>
      <c r="C297" s="50" t="s">
        <v>16</v>
      </c>
      <c r="D297" s="50"/>
      <c r="E297" s="50"/>
      <c r="F297" s="50" t="s">
        <v>1156</v>
      </c>
      <c r="G297" s="55">
        <v>10000000</v>
      </c>
      <c r="H297" s="55"/>
      <c r="I297" s="55"/>
      <c r="J297" s="51">
        <v>800000</v>
      </c>
      <c r="K297" s="51"/>
      <c r="L297" s="52">
        <v>45974</v>
      </c>
      <c r="M297" s="53">
        <v>45913</v>
      </c>
      <c r="N297" s="50" t="s">
        <v>379</v>
      </c>
      <c r="O297" s="50" t="s">
        <v>1157</v>
      </c>
      <c r="P297" s="50" t="s">
        <v>1156</v>
      </c>
      <c r="Q297" s="55" t="s">
        <v>1158</v>
      </c>
      <c r="R297" s="55" t="s">
        <v>1159</v>
      </c>
      <c r="S297" s="53">
        <v>47008</v>
      </c>
      <c r="T297" s="50"/>
      <c r="U297" s="50"/>
      <c r="V297" s="56"/>
      <c r="W297" s="50"/>
      <c r="X297" s="50"/>
      <c r="Y297" s="56"/>
      <c r="Z297" s="56"/>
      <c r="AA297" s="56"/>
      <c r="AB297" s="56"/>
      <c r="AC297" s="56"/>
      <c r="AD297" s="56"/>
    </row>
    <row x14ac:dyDescent="0.25" r="298" customHeight="1" ht="18.75" hidden="1">
      <c r="A298" s="71" t="s">
        <v>3232</v>
      </c>
      <c r="B298" s="71"/>
      <c r="C298" s="72" t="s">
        <v>16</v>
      </c>
      <c r="D298" s="72"/>
      <c r="E298" s="72" t="s">
        <v>1160</v>
      </c>
      <c r="F298" s="72" t="s">
        <v>1161</v>
      </c>
      <c r="G298" s="73">
        <v>10000000</v>
      </c>
      <c r="H298" s="73"/>
      <c r="I298" s="73"/>
      <c r="J298" s="88"/>
      <c r="K298" s="88"/>
      <c r="L298" s="75">
        <v>46118</v>
      </c>
      <c r="M298" s="76">
        <v>46059</v>
      </c>
      <c r="N298" s="72" t="s">
        <v>282</v>
      </c>
      <c r="O298" s="72" t="s">
        <v>1162</v>
      </c>
      <c r="P298" s="72" t="s">
        <v>1161</v>
      </c>
      <c r="Q298" s="73" t="s">
        <v>1163</v>
      </c>
      <c r="R298" s="73" t="s">
        <v>1164</v>
      </c>
      <c r="S298" s="76">
        <v>47154</v>
      </c>
      <c r="T298" s="72"/>
      <c r="U298" s="72" t="s">
        <v>166</v>
      </c>
      <c r="V298" s="71"/>
      <c r="W298" s="50"/>
      <c r="X298" s="50"/>
      <c r="Y298" s="56"/>
      <c r="Z298" s="56"/>
      <c r="AA298" s="56"/>
      <c r="AB298" s="56"/>
      <c r="AC298" s="56"/>
      <c r="AD298" s="56"/>
    </row>
    <row x14ac:dyDescent="0.25" r="299" customHeight="1" ht="18.75">
      <c r="A299" s="56"/>
      <c r="B299" s="56"/>
      <c r="C299" s="50" t="s">
        <v>16</v>
      </c>
      <c r="D299" s="50"/>
      <c r="E299" s="50"/>
      <c r="F299" s="50" t="s">
        <v>3021</v>
      </c>
      <c r="G299" s="55">
        <v>10000000</v>
      </c>
      <c r="H299" s="55"/>
      <c r="I299" s="55"/>
      <c r="J299" s="51">
        <v>500000</v>
      </c>
      <c r="K299" s="51"/>
      <c r="L299" s="52">
        <v>46184</v>
      </c>
      <c r="M299" s="53">
        <v>46123</v>
      </c>
      <c r="N299" s="50" t="s">
        <v>168</v>
      </c>
      <c r="O299" s="50" t="s">
        <v>471</v>
      </c>
      <c r="P299" s="50" t="s">
        <v>3021</v>
      </c>
      <c r="Q299" s="55" t="s">
        <v>3022</v>
      </c>
      <c r="R299" s="55" t="s">
        <v>3023</v>
      </c>
      <c r="S299" s="53">
        <v>47218</v>
      </c>
      <c r="T299" s="50" t="s">
        <v>3024</v>
      </c>
      <c r="U299" s="50"/>
      <c r="V299" s="56"/>
      <c r="W299" s="50"/>
      <c r="X299" s="50"/>
      <c r="Y299" s="56"/>
      <c r="Z299" s="56"/>
      <c r="AA299" s="56"/>
      <c r="AB299" s="56"/>
      <c r="AC299" s="56"/>
      <c r="AD299" s="56"/>
    </row>
    <row x14ac:dyDescent="0.25" r="300" customHeight="1" ht="18.75" hidden="1">
      <c r="A300" s="56"/>
      <c r="B300" s="56"/>
      <c r="C300" s="50" t="s">
        <v>16</v>
      </c>
      <c r="D300" s="50"/>
      <c r="E300" s="50"/>
      <c r="F300" s="50" t="s">
        <v>1166</v>
      </c>
      <c r="G300" s="55">
        <v>10000000</v>
      </c>
      <c r="H300" s="55"/>
      <c r="I300" s="55"/>
      <c r="J300" s="51">
        <v>800000</v>
      </c>
      <c r="K300" s="51"/>
      <c r="L300" s="52">
        <v>46063</v>
      </c>
      <c r="M300" s="53">
        <v>46001</v>
      </c>
      <c r="N300" s="50" t="s">
        <v>155</v>
      </c>
      <c r="O300" s="50" t="s">
        <v>1167</v>
      </c>
      <c r="P300" s="50" t="s">
        <v>1166</v>
      </c>
      <c r="Q300" s="55" t="s">
        <v>1168</v>
      </c>
      <c r="R300" s="55" t="s">
        <v>1169</v>
      </c>
      <c r="S300" s="53">
        <v>47096</v>
      </c>
      <c r="T300" s="50"/>
      <c r="U300" s="50"/>
      <c r="V300" s="56"/>
      <c r="W300" s="50"/>
      <c r="X300" s="50"/>
      <c r="Y300" s="56"/>
      <c r="Z300" s="56"/>
      <c r="AA300" s="56"/>
      <c r="AB300" s="56"/>
      <c r="AC300" s="56"/>
      <c r="AD300" s="56"/>
    </row>
    <row x14ac:dyDescent="0.25" r="301" customHeight="1" ht="18.75" hidden="1">
      <c r="A301" s="56"/>
      <c r="B301" s="56"/>
      <c r="C301" s="50" t="s">
        <v>16</v>
      </c>
      <c r="D301" s="50"/>
      <c r="E301" s="50"/>
      <c r="F301" s="50" t="s">
        <v>1170</v>
      </c>
      <c r="G301" s="55">
        <v>60000000</v>
      </c>
      <c r="H301" s="55"/>
      <c r="I301" s="55"/>
      <c r="J301" s="51">
        <v>4056000</v>
      </c>
      <c r="K301" s="51"/>
      <c r="L301" s="52">
        <v>46172</v>
      </c>
      <c r="M301" s="53">
        <v>46111</v>
      </c>
      <c r="N301" s="50" t="s">
        <v>168</v>
      </c>
      <c r="O301" s="50" t="s">
        <v>1171</v>
      </c>
      <c r="P301" s="50" t="s">
        <v>1170</v>
      </c>
      <c r="Q301" s="55" t="s">
        <v>1172</v>
      </c>
      <c r="R301" s="55" t="s">
        <v>1173</v>
      </c>
      <c r="S301" s="53">
        <v>47206</v>
      </c>
      <c r="T301" s="50" t="s">
        <v>1174</v>
      </c>
      <c r="U301" s="50" t="s">
        <v>166</v>
      </c>
      <c r="V301" s="56"/>
      <c r="W301" s="50"/>
      <c r="X301" s="50"/>
      <c r="Y301" s="56"/>
      <c r="Z301" s="56"/>
      <c r="AA301" s="56"/>
      <c r="AB301" s="56"/>
      <c r="AC301" s="56"/>
      <c r="AD301" s="56"/>
    </row>
    <row x14ac:dyDescent="0.25" r="302" customHeight="1" ht="18.75" hidden="1">
      <c r="A302" s="56"/>
      <c r="B302" s="56"/>
      <c r="C302" s="50" t="s">
        <v>16</v>
      </c>
      <c r="D302" s="50"/>
      <c r="E302" s="50"/>
      <c r="F302" s="50" t="s">
        <v>1175</v>
      </c>
      <c r="G302" s="55">
        <v>10000000</v>
      </c>
      <c r="H302" s="55"/>
      <c r="I302" s="55"/>
      <c r="J302" s="51">
        <v>800000</v>
      </c>
      <c r="K302" s="51"/>
      <c r="L302" s="52">
        <v>46102</v>
      </c>
      <c r="M302" s="53">
        <v>46043</v>
      </c>
      <c r="N302" s="50" t="s">
        <v>155</v>
      </c>
      <c r="O302" s="50" t="s">
        <v>478</v>
      </c>
      <c r="P302" s="50" t="s">
        <v>1175</v>
      </c>
      <c r="Q302" s="55" t="s">
        <v>1176</v>
      </c>
      <c r="R302" s="55" t="s">
        <v>1177</v>
      </c>
      <c r="S302" s="53">
        <v>47138</v>
      </c>
      <c r="T302" s="50"/>
      <c r="U302" s="50" t="s">
        <v>1178</v>
      </c>
      <c r="V302" s="48" t="s">
        <v>1179</v>
      </c>
      <c r="W302" s="50"/>
      <c r="X302" s="50"/>
      <c r="Y302" s="56"/>
      <c r="Z302" s="56"/>
      <c r="AA302" s="56"/>
      <c r="AB302" s="56"/>
      <c r="AC302" s="56"/>
      <c r="AD302" s="56"/>
    </row>
    <row x14ac:dyDescent="0.25" r="303" customHeight="1" ht="18.75">
      <c r="A303" s="48" t="s">
        <v>275</v>
      </c>
      <c r="B303" s="62"/>
      <c r="C303" s="49" t="s">
        <v>16</v>
      </c>
      <c r="D303" s="50"/>
      <c r="E303" s="50"/>
      <c r="F303" s="50" t="s">
        <v>3021</v>
      </c>
      <c r="G303" s="51">
        <v>10000000</v>
      </c>
      <c r="H303" s="51"/>
      <c r="I303" s="51"/>
      <c r="J303" s="87">
        <f>IF(G303&gt;0,_xludf.IFS(G303=10000000,800000,G303=20000000,1528000,G303=30000000,2028000,G303=60000000,4056000),"")</f>
      </c>
      <c r="K303" s="51"/>
      <c r="L303" s="52">
        <v>46184</v>
      </c>
      <c r="M303" s="53">
        <f>IF(L303&gt;0,EDATE(L303,-2),"")</f>
        <v>25569.375</v>
      </c>
      <c r="N303" s="50" t="s">
        <v>168</v>
      </c>
      <c r="O303" s="50" t="s">
        <v>471</v>
      </c>
      <c r="P303" s="50" t="s">
        <v>2213</v>
      </c>
      <c r="Q303" s="55" t="s">
        <v>3025</v>
      </c>
      <c r="R303" s="55">
        <v>33882272</v>
      </c>
      <c r="S303" s="53">
        <f>IF(ISNUMBER(M303), EDATE(M303,36)-1, "")</f>
        <v>25569.375</v>
      </c>
      <c r="T303" s="50"/>
      <c r="U303" s="50"/>
      <c r="V303" s="48" t="s">
        <v>841</v>
      </c>
      <c r="W303" s="50"/>
      <c r="X303" s="50"/>
      <c r="Y303" s="56"/>
      <c r="Z303" s="56"/>
      <c r="AA303" s="56"/>
      <c r="AB303" s="56"/>
      <c r="AC303" s="56"/>
      <c r="AD303" s="56"/>
    </row>
    <row x14ac:dyDescent="0.25" r="304" customHeight="1" ht="18.75" hidden="1">
      <c r="A304" s="56"/>
      <c r="B304" s="56"/>
      <c r="C304" s="49" t="s">
        <v>16</v>
      </c>
      <c r="D304" s="50"/>
      <c r="E304" s="50"/>
      <c r="F304" s="50" t="s">
        <v>1183</v>
      </c>
      <c r="G304" s="51">
        <v>30000000</v>
      </c>
      <c r="H304" s="51"/>
      <c r="I304" s="51"/>
      <c r="J304" s="51">
        <v>2400000</v>
      </c>
      <c r="K304" s="51"/>
      <c r="L304" s="52">
        <v>45902</v>
      </c>
      <c r="M304" s="53">
        <f>IF(L304&gt;0,EDATE(L304,-2),"")</f>
        <v>25569.375</v>
      </c>
      <c r="N304" s="50" t="s">
        <v>212</v>
      </c>
      <c r="O304" s="50" t="s">
        <v>1184</v>
      </c>
      <c r="P304" s="50" t="s">
        <v>669</v>
      </c>
      <c r="Q304" s="55" t="s">
        <v>1185</v>
      </c>
      <c r="R304" s="55">
        <v>55325621</v>
      </c>
      <c r="S304" s="53">
        <f>IF(ISNUMBER(M304), EDATE(M304,36)-1, "")</f>
        <v>25569.375</v>
      </c>
      <c r="T304" s="50"/>
      <c r="U304" s="50"/>
      <c r="V304" s="56"/>
      <c r="W304" s="50"/>
      <c r="X304" s="50"/>
      <c r="Y304" s="56"/>
      <c r="Z304" s="56"/>
      <c r="AA304" s="56"/>
      <c r="AB304" s="56"/>
      <c r="AC304" s="56"/>
      <c r="AD304" s="56"/>
    </row>
    <row x14ac:dyDescent="0.25" r="305" customHeight="1" ht="18.75">
      <c r="A305" s="56"/>
      <c r="B305" s="56"/>
      <c r="C305" s="50" t="s">
        <v>16</v>
      </c>
      <c r="D305" s="50"/>
      <c r="E305" s="50"/>
      <c r="F305" s="50" t="s">
        <v>3185</v>
      </c>
      <c r="G305" s="55">
        <v>10000000</v>
      </c>
      <c r="H305" s="55"/>
      <c r="I305" s="55"/>
      <c r="J305" s="51">
        <v>500000</v>
      </c>
      <c r="K305" s="51"/>
      <c r="L305" s="52">
        <v>46184</v>
      </c>
      <c r="M305" s="53">
        <v>46123</v>
      </c>
      <c r="N305" s="50" t="s">
        <v>168</v>
      </c>
      <c r="O305" s="50" t="s">
        <v>471</v>
      </c>
      <c r="P305" s="50" t="s">
        <v>3185</v>
      </c>
      <c r="Q305" s="55" t="s">
        <v>3186</v>
      </c>
      <c r="R305" s="55" t="s">
        <v>3187</v>
      </c>
      <c r="S305" s="53">
        <v>47218</v>
      </c>
      <c r="T305" s="50" t="s">
        <v>3188</v>
      </c>
      <c r="U305" s="50"/>
      <c r="V305" s="56"/>
      <c r="W305" s="50"/>
      <c r="X305" s="50"/>
      <c r="Y305" s="56"/>
      <c r="Z305" s="56"/>
      <c r="AA305" s="56"/>
      <c r="AB305" s="56"/>
      <c r="AC305" s="56"/>
      <c r="AD305" s="56"/>
    </row>
    <row x14ac:dyDescent="0.25" r="306" customHeight="1" ht="18.75">
      <c r="A306" s="48" t="s">
        <v>275</v>
      </c>
      <c r="B306" s="62"/>
      <c r="C306" s="49" t="s">
        <v>16</v>
      </c>
      <c r="D306" s="50"/>
      <c r="E306" s="50"/>
      <c r="F306" s="50" t="s">
        <v>3185</v>
      </c>
      <c r="G306" s="51">
        <v>10000000</v>
      </c>
      <c r="H306" s="51"/>
      <c r="I306" s="51"/>
      <c r="J306" s="87">
        <f>IF(G306&gt;0,_xludf.IFS(G306=10000000,800000,G306=20000000,1528000,G306=30000000,2028000,G306=60000000,4056000),"")</f>
      </c>
      <c r="K306" s="51"/>
      <c r="L306" s="52">
        <v>46184</v>
      </c>
      <c r="M306" s="53">
        <f>IF(L306&gt;0,EDATE(L306,-2),"")</f>
        <v>25569.375</v>
      </c>
      <c r="N306" s="50" t="s">
        <v>168</v>
      </c>
      <c r="O306" s="50" t="s">
        <v>471</v>
      </c>
      <c r="P306" s="50" t="s">
        <v>2213</v>
      </c>
      <c r="Q306" s="55" t="s">
        <v>3186</v>
      </c>
      <c r="R306" s="55">
        <v>33006897</v>
      </c>
      <c r="S306" s="53">
        <f>IF(ISNUMBER(M306), EDATE(M306,36)-1, "")</f>
        <v>25569.375</v>
      </c>
      <c r="T306" s="50"/>
      <c r="U306" s="50"/>
      <c r="V306" s="48" t="s">
        <v>475</v>
      </c>
      <c r="W306" s="50"/>
      <c r="X306" s="50"/>
      <c r="Y306" s="56"/>
      <c r="Z306" s="56"/>
      <c r="AA306" s="56"/>
      <c r="AB306" s="56"/>
      <c r="AC306" s="56"/>
      <c r="AD306" s="56"/>
    </row>
    <row x14ac:dyDescent="0.25" r="307" customHeight="1" ht="18.75">
      <c r="A307" s="71"/>
      <c r="B307" s="71"/>
      <c r="C307" s="72" t="s">
        <v>16</v>
      </c>
      <c r="D307" s="72"/>
      <c r="E307" s="72"/>
      <c r="F307" s="72" t="s">
        <v>342</v>
      </c>
      <c r="G307" s="73">
        <v>20000000</v>
      </c>
      <c r="H307" s="73"/>
      <c r="I307" s="73"/>
      <c r="J307" s="74"/>
      <c r="K307" s="74"/>
      <c r="L307" s="75">
        <v>46185</v>
      </c>
      <c r="M307" s="76">
        <v>46124</v>
      </c>
      <c r="N307" s="72" t="s">
        <v>239</v>
      </c>
      <c r="O307" s="72" t="s">
        <v>343</v>
      </c>
      <c r="P307" s="72" t="s">
        <v>342</v>
      </c>
      <c r="Q307" s="73" t="s">
        <v>344</v>
      </c>
      <c r="R307" s="73" t="s">
        <v>345</v>
      </c>
      <c r="S307" s="76">
        <v>47219</v>
      </c>
      <c r="T307" s="72" t="s">
        <v>346</v>
      </c>
      <c r="U307" s="72" t="s">
        <v>166</v>
      </c>
      <c r="V307" s="71"/>
      <c r="W307" s="50"/>
      <c r="X307" s="50"/>
      <c r="Y307" s="56"/>
      <c r="Z307" s="56"/>
      <c r="AA307" s="56"/>
      <c r="AB307" s="56"/>
      <c r="AC307" s="56"/>
      <c r="AD307" s="56"/>
    </row>
    <row x14ac:dyDescent="0.25" r="308" customHeight="1" ht="18.75">
      <c r="A308" s="56"/>
      <c r="B308" s="56"/>
      <c r="C308" s="50" t="s">
        <v>16</v>
      </c>
      <c r="D308" s="50" t="s">
        <v>80</v>
      </c>
      <c r="E308" s="50"/>
      <c r="F308" s="50" t="s">
        <v>3065</v>
      </c>
      <c r="G308" s="55">
        <v>10000000</v>
      </c>
      <c r="H308" s="55"/>
      <c r="I308" s="55"/>
      <c r="J308" s="51">
        <v>800000</v>
      </c>
      <c r="K308" s="51"/>
      <c r="L308" s="52">
        <v>46185</v>
      </c>
      <c r="M308" s="53">
        <v>46124</v>
      </c>
      <c r="N308" s="50" t="s">
        <v>168</v>
      </c>
      <c r="O308" s="50" t="s">
        <v>3066</v>
      </c>
      <c r="P308" s="50" t="s">
        <v>3065</v>
      </c>
      <c r="Q308" s="55" t="s">
        <v>3067</v>
      </c>
      <c r="R308" s="55" t="s">
        <v>3068</v>
      </c>
      <c r="S308" s="53">
        <v>47219</v>
      </c>
      <c r="T308" s="50" t="s">
        <v>3069</v>
      </c>
      <c r="U308" s="50" t="s">
        <v>166</v>
      </c>
      <c r="V308" s="56"/>
      <c r="W308" s="50"/>
      <c r="X308" s="50"/>
      <c r="Y308" s="56"/>
      <c r="Z308" s="56"/>
      <c r="AA308" s="56"/>
      <c r="AB308" s="56"/>
      <c r="AC308" s="56"/>
      <c r="AD308" s="56"/>
    </row>
    <row x14ac:dyDescent="0.25" r="309" customHeight="1" ht="18.75" hidden="1">
      <c r="A309" s="56"/>
      <c r="B309" s="56"/>
      <c r="C309" s="50" t="s">
        <v>16</v>
      </c>
      <c r="D309" s="50"/>
      <c r="E309" s="50"/>
      <c r="F309" s="50" t="s">
        <v>1195</v>
      </c>
      <c r="G309" s="55">
        <v>10000000</v>
      </c>
      <c r="H309" s="55"/>
      <c r="I309" s="55"/>
      <c r="J309" s="51">
        <v>800000</v>
      </c>
      <c r="K309" s="51"/>
      <c r="L309" s="52">
        <v>46126</v>
      </c>
      <c r="M309" s="53">
        <v>46067</v>
      </c>
      <c r="N309" s="50" t="s">
        <v>182</v>
      </c>
      <c r="O309" s="50" t="s">
        <v>1196</v>
      </c>
      <c r="P309" s="50" t="s">
        <v>1195</v>
      </c>
      <c r="Q309" s="55"/>
      <c r="R309" s="55"/>
      <c r="S309" s="53">
        <v>47162</v>
      </c>
      <c r="T309" s="50" t="s">
        <v>1197</v>
      </c>
      <c r="U309" s="50" t="s">
        <v>166</v>
      </c>
      <c r="V309" s="48" t="s">
        <v>70</v>
      </c>
      <c r="W309" s="50"/>
      <c r="X309" s="50"/>
      <c r="Y309" s="56"/>
      <c r="Z309" s="56"/>
      <c r="AA309" s="56"/>
      <c r="AB309" s="56"/>
      <c r="AC309" s="56"/>
      <c r="AD309" s="56"/>
    </row>
    <row x14ac:dyDescent="0.25" r="310" customHeight="1" ht="18.75">
      <c r="A310" s="56"/>
      <c r="B310" s="56"/>
      <c r="C310" s="50" t="s">
        <v>16</v>
      </c>
      <c r="D310" s="50"/>
      <c r="E310" s="50" t="s">
        <v>481</v>
      </c>
      <c r="F310" s="50" t="s">
        <v>482</v>
      </c>
      <c r="G310" s="55">
        <v>20000000</v>
      </c>
      <c r="H310" s="55"/>
      <c r="I310" s="55"/>
      <c r="J310" s="51">
        <v>500000</v>
      </c>
      <c r="K310" s="51"/>
      <c r="L310" s="52">
        <v>46186</v>
      </c>
      <c r="M310" s="53">
        <v>46125</v>
      </c>
      <c r="N310" s="50" t="s">
        <v>161</v>
      </c>
      <c r="O310" s="50" t="s">
        <v>483</v>
      </c>
      <c r="P310" s="50" t="s">
        <v>482</v>
      </c>
      <c r="Q310" s="55" t="s">
        <v>484</v>
      </c>
      <c r="R310" s="55" t="s">
        <v>485</v>
      </c>
      <c r="S310" s="53">
        <v>47220</v>
      </c>
      <c r="T310" s="50" t="s">
        <v>486</v>
      </c>
      <c r="U310" s="50" t="s">
        <v>166</v>
      </c>
      <c r="V310" s="56"/>
      <c r="W310" s="50"/>
      <c r="X310" s="50"/>
      <c r="Y310" s="56"/>
      <c r="Z310" s="56"/>
      <c r="AA310" s="56"/>
      <c r="AB310" s="56"/>
      <c r="AC310" s="56"/>
      <c r="AD310" s="56"/>
    </row>
    <row x14ac:dyDescent="0.25" r="311" customHeight="1" ht="18.75" hidden="1">
      <c r="A311" s="63"/>
      <c r="B311" s="63"/>
      <c r="C311" s="49" t="s">
        <v>16</v>
      </c>
      <c r="D311" s="49" t="s">
        <v>80</v>
      </c>
      <c r="E311" s="49" t="s">
        <v>97</v>
      </c>
      <c r="F311" s="49" t="s">
        <v>1201</v>
      </c>
      <c r="G311" s="64">
        <v>10000000</v>
      </c>
      <c r="H311" s="64"/>
      <c r="I311" s="64"/>
      <c r="J311" s="65">
        <f>IF(G311&gt;0,_xludf.IFS(G311=10000000,800000,G311=20000000,1528000,G311=30000000,2028000,G311=60000000,4056000),"")</f>
      </c>
      <c r="K311" s="64"/>
      <c r="L311" s="66">
        <v>46143</v>
      </c>
      <c r="M311" s="67">
        <f>IF(L311&gt;0,EDATE(L311,-2),"")</f>
        <v>25569.375</v>
      </c>
      <c r="N311" s="49" t="s">
        <v>1202</v>
      </c>
      <c r="O311" s="49" t="s">
        <v>1203</v>
      </c>
      <c r="P311" s="68">
        <f>IF(F311&gt;0,F311,"")</f>
      </c>
      <c r="Q311" s="69" t="s">
        <v>1204</v>
      </c>
      <c r="R311" s="69">
        <v>35446943</v>
      </c>
      <c r="S311" s="67">
        <f>IF(ISNUMBER(M311), EDATE(M311,36)-1, "")</f>
        <v>25569.375</v>
      </c>
      <c r="T311" s="49"/>
      <c r="U311" s="49"/>
      <c r="V311" s="63"/>
      <c r="W311" s="50"/>
      <c r="X311" s="50"/>
      <c r="Y311" s="56"/>
      <c r="Z311" s="56"/>
      <c r="AA311" s="56"/>
      <c r="AB311" s="56"/>
      <c r="AC311" s="56"/>
      <c r="AD311" s="56"/>
    </row>
    <row x14ac:dyDescent="0.25" r="312" customHeight="1" ht="18.75" hidden="1">
      <c r="A312" s="48" t="s">
        <v>152</v>
      </c>
      <c r="B312" s="48"/>
      <c r="C312" s="50" t="s">
        <v>16</v>
      </c>
      <c r="D312" s="50"/>
      <c r="E312" s="50"/>
      <c r="F312" s="50" t="s">
        <v>1201</v>
      </c>
      <c r="G312" s="51">
        <v>10000000</v>
      </c>
      <c r="H312" s="51"/>
      <c r="I312" s="51"/>
      <c r="J312" s="51">
        <v>800000</v>
      </c>
      <c r="K312" s="51"/>
      <c r="L312" s="52">
        <v>46143</v>
      </c>
      <c r="M312" s="53">
        <f>IF(L312&gt;0,EDATE(L312,-2),"")</f>
        <v>25569.375</v>
      </c>
      <c r="N312" s="50" t="s">
        <v>1202</v>
      </c>
      <c r="O312" s="50" t="s">
        <v>1203</v>
      </c>
      <c r="P312" s="54">
        <f>IF(F312&gt;0,F312,"")</f>
      </c>
      <c r="Q312" s="55">
        <v>7411252140326</v>
      </c>
      <c r="R312" s="55">
        <v>35446943</v>
      </c>
      <c r="S312" s="53">
        <f>IF(ISNUMBER(M312), EDATE(M312,36)-1, "")</f>
        <v>25569.375</v>
      </c>
      <c r="T312" s="50"/>
      <c r="U312" s="50"/>
      <c r="V312" s="56" t="s">
        <v>1205</v>
      </c>
      <c r="W312" s="50"/>
      <c r="X312" s="50"/>
      <c r="Y312" s="56"/>
      <c r="Z312" s="56"/>
      <c r="AA312" s="56"/>
      <c r="AB312" s="56"/>
      <c r="AC312" s="56"/>
      <c r="AD312" s="56"/>
    </row>
    <row x14ac:dyDescent="0.25" r="313" customHeight="1" ht="18.75" hidden="1">
      <c r="A313" s="56"/>
      <c r="B313" s="56"/>
      <c r="C313" s="50" t="s">
        <v>16</v>
      </c>
      <c r="D313" s="50"/>
      <c r="E313" s="50"/>
      <c r="F313" s="50" t="s">
        <v>1206</v>
      </c>
      <c r="G313" s="55">
        <v>10000000</v>
      </c>
      <c r="H313" s="55"/>
      <c r="I313" s="55"/>
      <c r="J313" s="51">
        <v>800000</v>
      </c>
      <c r="K313" s="51"/>
      <c r="L313" s="52">
        <v>46126</v>
      </c>
      <c r="M313" s="53">
        <v>46067</v>
      </c>
      <c r="N313" s="50" t="s">
        <v>282</v>
      </c>
      <c r="O313" s="50" t="s">
        <v>471</v>
      </c>
      <c r="P313" s="50" t="s">
        <v>1206</v>
      </c>
      <c r="Q313" s="55" t="s">
        <v>1207</v>
      </c>
      <c r="R313" s="55" t="s">
        <v>1208</v>
      </c>
      <c r="S313" s="53">
        <v>47162</v>
      </c>
      <c r="T313" s="50" t="s">
        <v>1209</v>
      </c>
      <c r="U313" s="50" t="s">
        <v>166</v>
      </c>
      <c r="V313" s="56"/>
      <c r="W313" s="50"/>
      <c r="X313" s="50"/>
      <c r="Y313" s="56"/>
      <c r="Z313" s="56"/>
      <c r="AA313" s="56"/>
      <c r="AB313" s="56"/>
      <c r="AC313" s="56"/>
      <c r="AD313" s="56"/>
    </row>
    <row x14ac:dyDescent="0.25" r="314" customHeight="1" ht="18.75" hidden="1">
      <c r="A314" s="48" t="s">
        <v>152</v>
      </c>
      <c r="B314" s="48"/>
      <c r="C314" s="49" t="s">
        <v>16</v>
      </c>
      <c r="D314" s="50"/>
      <c r="E314" s="50"/>
      <c r="F314" s="50" t="s">
        <v>1206</v>
      </c>
      <c r="G314" s="51">
        <v>60000000</v>
      </c>
      <c r="H314" s="51"/>
      <c r="I314" s="51"/>
      <c r="J314" s="87">
        <f>IF(G314&gt;0,_xludf.IFS(G314=10000000,800000,G314=20000000,1528000,G314=30000000,2028000,G314=60000000,4056000),"")</f>
      </c>
      <c r="K314" s="51"/>
      <c r="L314" s="52">
        <v>46188</v>
      </c>
      <c r="M314" s="53">
        <v>46067</v>
      </c>
      <c r="N314" s="50" t="s">
        <v>217</v>
      </c>
      <c r="O314" s="50" t="s">
        <v>1210</v>
      </c>
      <c r="P314" s="54">
        <f>IF(F314&gt;0,F314,"")</f>
      </c>
      <c r="Q314" s="55" t="s">
        <v>1207</v>
      </c>
      <c r="R314" s="55">
        <v>35473850</v>
      </c>
      <c r="S314" s="53">
        <f>IF(ISNUMBER(M314), EDATE(M314,36)-1, "")</f>
        <v>25569.375</v>
      </c>
      <c r="T314" s="50"/>
      <c r="U314" s="50"/>
      <c r="V314" s="48" t="s">
        <v>1211</v>
      </c>
      <c r="W314" s="50"/>
      <c r="X314" s="50"/>
      <c r="Y314" s="56"/>
      <c r="Z314" s="56"/>
      <c r="AA314" s="56"/>
      <c r="AB314" s="56"/>
      <c r="AC314" s="56"/>
      <c r="AD314" s="56"/>
    </row>
    <row x14ac:dyDescent="0.25" r="315" customHeight="1" ht="18.75">
      <c r="A315" s="56"/>
      <c r="B315" s="56"/>
      <c r="C315" s="49" t="s">
        <v>16</v>
      </c>
      <c r="D315" s="50" t="s">
        <v>410</v>
      </c>
      <c r="E315" s="50" t="s">
        <v>534</v>
      </c>
      <c r="F315" s="50" t="s">
        <v>530</v>
      </c>
      <c r="G315" s="51">
        <v>10000000</v>
      </c>
      <c r="H315" s="51"/>
      <c r="I315" s="51"/>
      <c r="J315" s="51">
        <v>800000</v>
      </c>
      <c r="K315" s="51"/>
      <c r="L315" s="52">
        <v>46186</v>
      </c>
      <c r="M315" s="53">
        <f>IF(L315&gt;0,EDATE(L315,-2),"")</f>
        <v>25569.375</v>
      </c>
      <c r="N315" s="50" t="s">
        <v>168</v>
      </c>
      <c r="O315" s="50" t="s">
        <v>535</v>
      </c>
      <c r="P315" s="54">
        <f>IF(F315&gt;0,F315,"")</f>
      </c>
      <c r="Q315" s="55">
        <v>6501242657511</v>
      </c>
      <c r="R315" s="55">
        <v>27770136</v>
      </c>
      <c r="S315" s="53">
        <f>IF(ISNUMBER(M315), EDATE(M315,36)-1, "")</f>
        <v>25569.375</v>
      </c>
      <c r="T315" s="50"/>
      <c r="U315" s="50"/>
      <c r="V315" s="56"/>
      <c r="W315" s="50"/>
      <c r="X315" s="50"/>
      <c r="Y315" s="56"/>
      <c r="Z315" s="56"/>
      <c r="AA315" s="56"/>
      <c r="AB315" s="56"/>
      <c r="AC315" s="56"/>
      <c r="AD315" s="56"/>
    </row>
    <row x14ac:dyDescent="0.25" r="316" customHeight="1" ht="18.75">
      <c r="A316" s="71"/>
      <c r="B316" s="71"/>
      <c r="C316" s="72" t="s">
        <v>16</v>
      </c>
      <c r="D316" s="72"/>
      <c r="E316" s="72"/>
      <c r="F316" s="72" t="s">
        <v>920</v>
      </c>
      <c r="G316" s="73">
        <v>10000000</v>
      </c>
      <c r="H316" s="73"/>
      <c r="I316" s="73"/>
      <c r="J316" s="74"/>
      <c r="K316" s="74"/>
      <c r="L316" s="75">
        <v>46186</v>
      </c>
      <c r="M316" s="76">
        <v>46125</v>
      </c>
      <c r="N316" s="72" t="s">
        <v>161</v>
      </c>
      <c r="O316" s="72" t="s">
        <v>921</v>
      </c>
      <c r="P316" s="72" t="s">
        <v>920</v>
      </c>
      <c r="Q316" s="73" t="s">
        <v>922</v>
      </c>
      <c r="R316" s="73" t="s">
        <v>923</v>
      </c>
      <c r="S316" s="76">
        <v>47220</v>
      </c>
      <c r="T316" s="72" t="s">
        <v>924</v>
      </c>
      <c r="U316" s="72" t="s">
        <v>166</v>
      </c>
      <c r="V316" s="71"/>
      <c r="W316" s="50"/>
      <c r="X316" s="50"/>
      <c r="Y316" s="56"/>
      <c r="Z316" s="56"/>
      <c r="AA316" s="56"/>
      <c r="AB316" s="56"/>
      <c r="AC316" s="56"/>
      <c r="AD316" s="56"/>
    </row>
    <row x14ac:dyDescent="0.25" r="317" customHeight="1" ht="18.75">
      <c r="A317" s="56"/>
      <c r="B317" s="56"/>
      <c r="C317" s="50" t="s">
        <v>16</v>
      </c>
      <c r="D317" s="50"/>
      <c r="E317" s="50"/>
      <c r="F317" s="50" t="s">
        <v>1579</v>
      </c>
      <c r="G317" s="55">
        <v>10000000</v>
      </c>
      <c r="H317" s="55"/>
      <c r="I317" s="55"/>
      <c r="J317" s="51">
        <v>500000</v>
      </c>
      <c r="K317" s="51"/>
      <c r="L317" s="52">
        <v>46186</v>
      </c>
      <c r="M317" s="53">
        <v>46125</v>
      </c>
      <c r="N317" s="50" t="s">
        <v>1580</v>
      </c>
      <c r="O317" s="50" t="s">
        <v>1581</v>
      </c>
      <c r="P317" s="50" t="s">
        <v>1579</v>
      </c>
      <c r="Q317" s="55" t="s">
        <v>1582</v>
      </c>
      <c r="R317" s="55" t="s">
        <v>1583</v>
      </c>
      <c r="S317" s="53">
        <v>47220</v>
      </c>
      <c r="T317" s="50" t="s">
        <v>1584</v>
      </c>
      <c r="U317" s="50" t="s">
        <v>166</v>
      </c>
      <c r="V317" s="56"/>
      <c r="W317" s="50"/>
      <c r="X317" s="50"/>
      <c r="Y317" s="56"/>
      <c r="Z317" s="56"/>
      <c r="AA317" s="56"/>
      <c r="AB317" s="56"/>
      <c r="AC317" s="56"/>
      <c r="AD317" s="56"/>
    </row>
    <row x14ac:dyDescent="0.25" r="318" customHeight="1" ht="18.75" hidden="1">
      <c r="A318" s="56"/>
      <c r="B318" s="56"/>
      <c r="C318" s="50" t="s">
        <v>13</v>
      </c>
      <c r="D318" s="50"/>
      <c r="E318" s="50"/>
      <c r="F318" s="50" t="s">
        <v>39</v>
      </c>
      <c r="G318" s="55">
        <v>20000000</v>
      </c>
      <c r="H318" s="55"/>
      <c r="I318" s="55"/>
      <c r="J318" s="51">
        <v>1650000</v>
      </c>
      <c r="K318" s="51"/>
      <c r="L318" s="52">
        <v>45774</v>
      </c>
      <c r="M318" s="53">
        <v>45717</v>
      </c>
      <c r="N318" s="50" t="s">
        <v>239</v>
      </c>
      <c r="O318" s="50" t="s">
        <v>1220</v>
      </c>
      <c r="P318" s="50" t="s">
        <v>39</v>
      </c>
      <c r="Q318" s="55" t="s">
        <v>1221</v>
      </c>
      <c r="R318" s="55" t="s">
        <v>1222</v>
      </c>
      <c r="S318" s="53">
        <v>46812</v>
      </c>
      <c r="T318" s="50"/>
      <c r="U318" s="50"/>
      <c r="V318" s="56"/>
      <c r="W318" s="50"/>
      <c r="X318" s="50"/>
      <c r="Y318" s="56"/>
      <c r="Z318" s="56"/>
      <c r="AA318" s="56"/>
      <c r="AB318" s="56"/>
      <c r="AC318" s="56"/>
      <c r="AD318" s="56"/>
    </row>
    <row x14ac:dyDescent="0.25" r="319" customHeight="1" ht="18.75" hidden="1">
      <c r="A319" s="56"/>
      <c r="B319" s="56"/>
      <c r="C319" s="50" t="s">
        <v>16</v>
      </c>
      <c r="D319" s="50"/>
      <c r="E319" s="50"/>
      <c r="F319" s="50" t="s">
        <v>39</v>
      </c>
      <c r="G319" s="55">
        <v>20000000</v>
      </c>
      <c r="H319" s="55"/>
      <c r="I319" s="55"/>
      <c r="J319" s="51">
        <v>1600000</v>
      </c>
      <c r="K319" s="51"/>
      <c r="L319" s="52">
        <v>45839</v>
      </c>
      <c r="M319" s="53">
        <v>45778</v>
      </c>
      <c r="N319" s="50" t="s">
        <v>239</v>
      </c>
      <c r="O319" s="50" t="s">
        <v>1220</v>
      </c>
      <c r="P319" s="50" t="s">
        <v>39</v>
      </c>
      <c r="Q319" s="55" t="s">
        <v>1221</v>
      </c>
      <c r="R319" s="55" t="s">
        <v>1222</v>
      </c>
      <c r="S319" s="53">
        <v>46873</v>
      </c>
      <c r="T319" s="50"/>
      <c r="U319" s="50"/>
      <c r="V319" s="56"/>
      <c r="W319" s="50"/>
      <c r="X319" s="50"/>
      <c r="Y319" s="56"/>
      <c r="Z319" s="56"/>
      <c r="AA319" s="56"/>
      <c r="AB319" s="56"/>
      <c r="AC319" s="56"/>
      <c r="AD319" s="56"/>
    </row>
    <row x14ac:dyDescent="0.25" r="320" customHeight="1" ht="18.75" hidden="1">
      <c r="A320" s="56"/>
      <c r="B320" s="56"/>
      <c r="C320" s="50" t="s">
        <v>16</v>
      </c>
      <c r="D320" s="50"/>
      <c r="E320" s="50"/>
      <c r="F320" s="50" t="s">
        <v>39</v>
      </c>
      <c r="G320" s="55">
        <v>20000000</v>
      </c>
      <c r="H320" s="55"/>
      <c r="I320" s="55"/>
      <c r="J320" s="51">
        <v>1600000</v>
      </c>
      <c r="K320" s="51"/>
      <c r="L320" s="52">
        <v>45902</v>
      </c>
      <c r="M320" s="53">
        <v>45840</v>
      </c>
      <c r="N320" s="50" t="s">
        <v>239</v>
      </c>
      <c r="O320" s="50" t="s">
        <v>1220</v>
      </c>
      <c r="P320" s="50" t="s">
        <v>39</v>
      </c>
      <c r="Q320" s="55" t="s">
        <v>1221</v>
      </c>
      <c r="R320" s="55" t="s">
        <v>1222</v>
      </c>
      <c r="S320" s="53">
        <v>46935</v>
      </c>
      <c r="T320" s="50"/>
      <c r="U320" s="50"/>
      <c r="V320" s="56"/>
      <c r="W320" s="50"/>
      <c r="X320" s="50"/>
      <c r="Y320" s="56"/>
      <c r="Z320" s="56"/>
      <c r="AA320" s="56"/>
      <c r="AB320" s="56"/>
      <c r="AC320" s="56"/>
      <c r="AD320" s="56"/>
    </row>
    <row x14ac:dyDescent="0.25" r="321" customHeight="1" ht="18.75" hidden="1">
      <c r="A321" s="56"/>
      <c r="B321" s="56"/>
      <c r="C321" s="50" t="s">
        <v>16</v>
      </c>
      <c r="D321" s="50"/>
      <c r="E321" s="50"/>
      <c r="F321" s="50" t="s">
        <v>1223</v>
      </c>
      <c r="G321" s="55">
        <v>30000000</v>
      </c>
      <c r="H321" s="55"/>
      <c r="I321" s="55"/>
      <c r="J321" s="51">
        <v>2058000</v>
      </c>
      <c r="K321" s="51"/>
      <c r="L321" s="52">
        <v>45996</v>
      </c>
      <c r="M321" s="53">
        <v>45935</v>
      </c>
      <c r="N321" s="50" t="s">
        <v>379</v>
      </c>
      <c r="O321" s="50" t="s">
        <v>1224</v>
      </c>
      <c r="P321" s="50" t="s">
        <v>1223</v>
      </c>
      <c r="Q321" s="55" t="s">
        <v>1225</v>
      </c>
      <c r="R321" s="55" t="s">
        <v>1226</v>
      </c>
      <c r="S321" s="53">
        <v>47030</v>
      </c>
      <c r="T321" s="50"/>
      <c r="U321" s="50"/>
      <c r="V321" s="56"/>
      <c r="W321" s="50"/>
      <c r="X321" s="50"/>
      <c r="Y321" s="56"/>
      <c r="Z321" s="56"/>
      <c r="AA321" s="56"/>
      <c r="AB321" s="56"/>
      <c r="AC321" s="56"/>
      <c r="AD321" s="56"/>
    </row>
    <row x14ac:dyDescent="0.25" r="322" customHeight="1" ht="18.75" hidden="1">
      <c r="A322" s="56"/>
      <c r="B322" s="56"/>
      <c r="C322" s="50" t="s">
        <v>16</v>
      </c>
      <c r="D322" s="50"/>
      <c r="E322" s="50" t="s">
        <v>18</v>
      </c>
      <c r="F322" s="50" t="s">
        <v>40</v>
      </c>
      <c r="G322" s="55">
        <v>20000000</v>
      </c>
      <c r="H322" s="55"/>
      <c r="I322" s="55"/>
      <c r="J322" s="51">
        <v>1528000</v>
      </c>
      <c r="K322" s="51"/>
      <c r="L322" s="52">
        <v>46108</v>
      </c>
      <c r="M322" s="53">
        <v>46049</v>
      </c>
      <c r="N322" s="50" t="s">
        <v>182</v>
      </c>
      <c r="O322" s="50" t="s">
        <v>1227</v>
      </c>
      <c r="P322" s="50" t="s">
        <v>40</v>
      </c>
      <c r="Q322" s="55" t="s">
        <v>1228</v>
      </c>
      <c r="R322" s="55" t="s">
        <v>1229</v>
      </c>
      <c r="S322" s="53">
        <v>47144</v>
      </c>
      <c r="T322" s="50"/>
      <c r="U322" s="50" t="s">
        <v>166</v>
      </c>
      <c r="V322" s="48" t="s">
        <v>3272</v>
      </c>
      <c r="W322" s="50"/>
      <c r="X322" s="50"/>
      <c r="Y322" s="56"/>
      <c r="Z322" s="56"/>
      <c r="AA322" s="56"/>
      <c r="AB322" s="56"/>
      <c r="AC322" s="56"/>
      <c r="AD322" s="56"/>
    </row>
    <row x14ac:dyDescent="0.25" r="323" customHeight="1" ht="18.75">
      <c r="A323" s="56"/>
      <c r="B323" s="56"/>
      <c r="C323" s="50" t="s">
        <v>16</v>
      </c>
      <c r="D323" s="50"/>
      <c r="E323" s="50" t="s">
        <v>2059</v>
      </c>
      <c r="F323" s="50" t="s">
        <v>2060</v>
      </c>
      <c r="G323" s="55">
        <v>10000000</v>
      </c>
      <c r="H323" s="55"/>
      <c r="I323" s="55"/>
      <c r="J323" s="51">
        <v>500000</v>
      </c>
      <c r="K323" s="51"/>
      <c r="L323" s="52">
        <v>46186</v>
      </c>
      <c r="M323" s="53">
        <v>46125</v>
      </c>
      <c r="N323" s="50" t="s">
        <v>2061</v>
      </c>
      <c r="O323" s="50" t="s">
        <v>2062</v>
      </c>
      <c r="P323" s="50" t="s">
        <v>2060</v>
      </c>
      <c r="Q323" s="55" t="s">
        <v>2063</v>
      </c>
      <c r="R323" s="55" t="s">
        <v>2064</v>
      </c>
      <c r="S323" s="53">
        <v>47220</v>
      </c>
      <c r="T323" s="50" t="s">
        <v>2065</v>
      </c>
      <c r="U323" s="50" t="s">
        <v>166</v>
      </c>
      <c r="V323" s="56"/>
      <c r="W323" s="50" t="s">
        <v>3238</v>
      </c>
      <c r="X323" s="50" t="s">
        <v>3238</v>
      </c>
      <c r="Y323" s="56"/>
      <c r="Z323" s="56"/>
      <c r="AA323" s="56"/>
      <c r="AB323" s="56"/>
      <c r="AC323" s="56"/>
      <c r="AD323" s="56"/>
    </row>
    <row x14ac:dyDescent="0.25" r="324" customHeight="1" ht="18.75" hidden="1">
      <c r="A324" s="56"/>
      <c r="B324" s="56"/>
      <c r="C324" s="50" t="s">
        <v>16</v>
      </c>
      <c r="D324" s="50"/>
      <c r="E324" s="50"/>
      <c r="F324" s="50" t="s">
        <v>42</v>
      </c>
      <c r="G324" s="55">
        <v>20000000</v>
      </c>
      <c r="H324" s="55"/>
      <c r="I324" s="55"/>
      <c r="J324" s="51">
        <v>1528000</v>
      </c>
      <c r="K324" s="51"/>
      <c r="L324" s="52">
        <v>46081</v>
      </c>
      <c r="M324" s="53">
        <v>46019</v>
      </c>
      <c r="N324" s="50" t="s">
        <v>212</v>
      </c>
      <c r="O324" s="50" t="s">
        <v>1231</v>
      </c>
      <c r="P324" s="50" t="s">
        <v>42</v>
      </c>
      <c r="Q324" s="55" t="s">
        <v>1232</v>
      </c>
      <c r="R324" s="55" t="s">
        <v>1233</v>
      </c>
      <c r="S324" s="53">
        <v>47114</v>
      </c>
      <c r="T324" s="50"/>
      <c r="U324" s="50"/>
      <c r="V324" s="56"/>
      <c r="W324" s="50"/>
      <c r="X324" s="50"/>
      <c r="Y324" s="56"/>
      <c r="Z324" s="56"/>
      <c r="AA324" s="56"/>
      <c r="AB324" s="56"/>
      <c r="AC324" s="56"/>
      <c r="AD324" s="56"/>
    </row>
    <row x14ac:dyDescent="0.25" r="325" customHeight="1" ht="18.75" hidden="1">
      <c r="A325" s="71"/>
      <c r="B325" s="71"/>
      <c r="C325" s="72" t="s">
        <v>16</v>
      </c>
      <c r="D325" s="72"/>
      <c r="E325" s="72"/>
      <c r="F325" s="72" t="s">
        <v>43</v>
      </c>
      <c r="G325" s="73">
        <v>10000000</v>
      </c>
      <c r="H325" s="73"/>
      <c r="I325" s="73"/>
      <c r="J325" s="74"/>
      <c r="K325" s="74"/>
      <c r="L325" s="75">
        <v>46168</v>
      </c>
      <c r="M325" s="76">
        <v>46107</v>
      </c>
      <c r="N325" s="72" t="s">
        <v>161</v>
      </c>
      <c r="O325" s="72" t="s">
        <v>1234</v>
      </c>
      <c r="P325" s="72" t="s">
        <v>43</v>
      </c>
      <c r="Q325" s="73" t="s">
        <v>1235</v>
      </c>
      <c r="R325" s="73" t="s">
        <v>1236</v>
      </c>
      <c r="S325" s="76">
        <v>47202</v>
      </c>
      <c r="T325" s="72" t="s">
        <v>44</v>
      </c>
      <c r="U325" s="72" t="s">
        <v>293</v>
      </c>
      <c r="V325" s="71"/>
      <c r="W325" s="50"/>
      <c r="X325" s="50"/>
      <c r="Y325" s="56"/>
      <c r="Z325" s="56"/>
      <c r="AA325" s="56"/>
      <c r="AB325" s="56"/>
      <c r="AC325" s="56"/>
      <c r="AD325" s="56"/>
    </row>
    <row x14ac:dyDescent="0.25" r="326" customHeight="1" ht="18.75">
      <c r="A326" s="56"/>
      <c r="B326" s="56"/>
      <c r="C326" s="50" t="s">
        <v>16</v>
      </c>
      <c r="D326" s="50" t="s">
        <v>48</v>
      </c>
      <c r="E326" s="50" t="s">
        <v>1958</v>
      </c>
      <c r="F326" s="50" t="s">
        <v>2673</v>
      </c>
      <c r="G326" s="55">
        <v>10000000</v>
      </c>
      <c r="H326" s="55"/>
      <c r="I326" s="55"/>
      <c r="J326" s="51">
        <v>500000</v>
      </c>
      <c r="K326" s="51"/>
      <c r="L326" s="52">
        <v>46186</v>
      </c>
      <c r="M326" s="53">
        <v>46125</v>
      </c>
      <c r="N326" s="50" t="s">
        <v>239</v>
      </c>
      <c r="O326" s="50" t="s">
        <v>2674</v>
      </c>
      <c r="P326" s="50" t="s">
        <v>2673</v>
      </c>
      <c r="Q326" s="55" t="s">
        <v>2675</v>
      </c>
      <c r="R326" s="55" t="s">
        <v>2676</v>
      </c>
      <c r="S326" s="53">
        <v>47220</v>
      </c>
      <c r="T326" s="50" t="s">
        <v>2677</v>
      </c>
      <c r="U326" s="50" t="s">
        <v>166</v>
      </c>
      <c r="V326" s="56"/>
      <c r="W326" s="50"/>
      <c r="X326" s="50"/>
      <c r="Y326" s="56"/>
      <c r="Z326" s="56"/>
      <c r="AA326" s="56"/>
      <c r="AB326" s="56"/>
      <c r="AC326" s="56"/>
      <c r="AD326" s="56"/>
    </row>
    <row x14ac:dyDescent="0.25" r="327" customHeight="1" ht="18.75" hidden="1">
      <c r="A327" s="56"/>
      <c r="B327" s="56"/>
      <c r="C327" s="50" t="s">
        <v>16</v>
      </c>
      <c r="D327" s="50"/>
      <c r="E327" s="50" t="s">
        <v>64</v>
      </c>
      <c r="F327" s="50" t="s">
        <v>1240</v>
      </c>
      <c r="G327" s="55">
        <v>10000000</v>
      </c>
      <c r="H327" s="55"/>
      <c r="I327" s="55"/>
      <c r="J327" s="51">
        <v>500000</v>
      </c>
      <c r="K327" s="51"/>
      <c r="L327" s="52">
        <v>46161</v>
      </c>
      <c r="M327" s="53">
        <v>46100</v>
      </c>
      <c r="N327" s="50" t="s">
        <v>168</v>
      </c>
      <c r="O327" s="50" t="s">
        <v>1241</v>
      </c>
      <c r="P327" s="50" t="s">
        <v>1240</v>
      </c>
      <c r="Q327" s="55" t="s">
        <v>3273</v>
      </c>
      <c r="R327" s="55" t="s">
        <v>3274</v>
      </c>
      <c r="S327" s="53">
        <v>47195</v>
      </c>
      <c r="T327" s="50"/>
      <c r="U327" s="50" t="s">
        <v>166</v>
      </c>
      <c r="V327" s="56"/>
      <c r="W327" s="50"/>
      <c r="X327" s="50"/>
      <c r="Y327" s="56"/>
      <c r="Z327" s="56"/>
      <c r="AA327" s="56"/>
      <c r="AB327" s="56"/>
      <c r="AC327" s="56"/>
      <c r="AD327" s="56"/>
    </row>
    <row x14ac:dyDescent="0.25" r="328" customHeight="1" ht="18.75" hidden="1">
      <c r="A328" s="63" t="s">
        <v>1239</v>
      </c>
      <c r="B328" s="63"/>
      <c r="C328" s="49" t="s">
        <v>16</v>
      </c>
      <c r="D328" s="49" t="s">
        <v>48</v>
      </c>
      <c r="E328" s="49" t="s">
        <v>64</v>
      </c>
      <c r="F328" s="49" t="s">
        <v>1240</v>
      </c>
      <c r="G328" s="64">
        <v>10000000</v>
      </c>
      <c r="H328" s="64"/>
      <c r="I328" s="64"/>
      <c r="J328" s="65">
        <f>IF(G328&gt;0,_xludf.IFS(G328=10000000,800000,G328=20000000,1528000,G328=30000000,2028000,G328=60000000,4056000),"")</f>
      </c>
      <c r="K328" s="64"/>
      <c r="L328" s="66">
        <v>46161</v>
      </c>
      <c r="M328" s="67">
        <f>IF(L328&gt;0,EDATE(L328,-2),"")</f>
        <v>25569.375</v>
      </c>
      <c r="N328" s="49" t="s">
        <v>168</v>
      </c>
      <c r="O328" s="49" t="s">
        <v>1241</v>
      </c>
      <c r="P328" s="68">
        <f>IF(F328&gt;0,F328,"")</f>
      </c>
      <c r="Q328" s="69" t="s">
        <v>1242</v>
      </c>
      <c r="R328" s="69">
        <v>94534435</v>
      </c>
      <c r="S328" s="67">
        <f>IF(ISNUMBER(M328), EDATE(M328,36)-1, "")</f>
        <v>25569.375</v>
      </c>
      <c r="T328" s="49"/>
      <c r="U328" s="49"/>
      <c r="V328" s="63" t="s">
        <v>3275</v>
      </c>
      <c r="W328" s="50"/>
      <c r="X328" s="50"/>
      <c r="Y328" s="56"/>
      <c r="Z328" s="56"/>
      <c r="AA328" s="56"/>
      <c r="AB328" s="56"/>
      <c r="AC328" s="56"/>
      <c r="AD328" s="56"/>
    </row>
    <row x14ac:dyDescent="0.25" r="329" customHeight="1" ht="18.75" hidden="1">
      <c r="A329" s="63" t="s">
        <v>252</v>
      </c>
      <c r="B329" s="63"/>
      <c r="C329" s="49" t="s">
        <v>16</v>
      </c>
      <c r="D329" s="49"/>
      <c r="E329" s="49"/>
      <c r="F329" s="49" t="s">
        <v>1240</v>
      </c>
      <c r="G329" s="64">
        <v>10000000</v>
      </c>
      <c r="H329" s="64"/>
      <c r="I329" s="64"/>
      <c r="J329" s="65">
        <f>IF(G329&gt;0,_xludf.IFS(G329=10000000,800000,G329=20000000,1528000,G329=30000000,2028000,G329=60000000,4056000),"")</f>
      </c>
      <c r="K329" s="64"/>
      <c r="L329" s="66">
        <v>46161</v>
      </c>
      <c r="M329" s="67">
        <f>IF(L329&gt;0,EDATE(L329,-2),"")</f>
        <v>25569.375</v>
      </c>
      <c r="N329" s="49" t="s">
        <v>168</v>
      </c>
      <c r="O329" s="49" t="s">
        <v>1241</v>
      </c>
      <c r="P329" s="68">
        <f>IF(F329&gt;0,F329,"")</f>
      </c>
      <c r="Q329" s="69" t="s">
        <v>1242</v>
      </c>
      <c r="R329" s="69">
        <v>94534435</v>
      </c>
      <c r="S329" s="67">
        <f>IF(ISNUMBER(M329), EDATE(M329,36)-1, "")</f>
        <v>25569.375</v>
      </c>
      <c r="T329" s="49"/>
      <c r="U329" s="49"/>
      <c r="V329" s="63" t="s">
        <v>1243</v>
      </c>
      <c r="W329" s="50"/>
      <c r="X329" s="50"/>
      <c r="Y329" s="56"/>
      <c r="Z329" s="56"/>
      <c r="AA329" s="56"/>
      <c r="AB329" s="56"/>
      <c r="AC329" s="56"/>
      <c r="AD329" s="56"/>
    </row>
    <row x14ac:dyDescent="0.25" r="330" customHeight="1" ht="18.75" hidden="1">
      <c r="A330" s="56"/>
      <c r="B330" s="56"/>
      <c r="C330" s="50" t="s">
        <v>16</v>
      </c>
      <c r="D330" s="50"/>
      <c r="E330" s="50"/>
      <c r="F330" s="50" t="s">
        <v>1244</v>
      </c>
      <c r="G330" s="55">
        <v>10000000</v>
      </c>
      <c r="H330" s="55"/>
      <c r="I330" s="55"/>
      <c r="J330" s="51">
        <v>800000</v>
      </c>
      <c r="K330" s="51"/>
      <c r="L330" s="52">
        <v>46146</v>
      </c>
      <c r="M330" s="53">
        <v>46085</v>
      </c>
      <c r="N330" s="50" t="s">
        <v>168</v>
      </c>
      <c r="O330" s="50" t="s">
        <v>1245</v>
      </c>
      <c r="P330" s="50" t="s">
        <v>1244</v>
      </c>
      <c r="Q330" s="55" t="s">
        <v>1246</v>
      </c>
      <c r="R330" s="55" t="s">
        <v>1247</v>
      </c>
      <c r="S330" s="53">
        <v>47180</v>
      </c>
      <c r="T330" s="50" t="s">
        <v>1248</v>
      </c>
      <c r="U330" s="50" t="s">
        <v>179</v>
      </c>
      <c r="V330" s="56"/>
      <c r="W330" s="50"/>
      <c r="X330" s="50"/>
      <c r="Y330" s="56"/>
      <c r="Z330" s="56"/>
      <c r="AA330" s="56"/>
      <c r="AB330" s="56"/>
      <c r="AC330" s="56"/>
      <c r="AD330" s="56"/>
    </row>
    <row x14ac:dyDescent="0.25" r="331" customHeight="1" ht="18.75" hidden="1">
      <c r="A331" s="56"/>
      <c r="B331" s="56"/>
      <c r="C331" s="49" t="s">
        <v>16</v>
      </c>
      <c r="D331" s="50" t="s">
        <v>877</v>
      </c>
      <c r="E331" s="50" t="s">
        <v>92</v>
      </c>
      <c r="F331" s="50" t="s">
        <v>1249</v>
      </c>
      <c r="G331" s="51">
        <v>20000000</v>
      </c>
      <c r="H331" s="51"/>
      <c r="I331" s="51"/>
      <c r="J331" s="51">
        <v>1528000</v>
      </c>
      <c r="K331" s="51"/>
      <c r="L331" s="52">
        <v>46102</v>
      </c>
      <c r="M331" s="53">
        <f>IF(L331&gt;0,EDATE(L331,-2),"")</f>
        <v>25569.375</v>
      </c>
      <c r="N331" s="50" t="s">
        <v>155</v>
      </c>
      <c r="O331" s="50" t="s">
        <v>1250</v>
      </c>
      <c r="P331" s="54">
        <f>IF(F331&gt;0,F331,"")</f>
      </c>
      <c r="Q331" s="55">
        <v>609064074915</v>
      </c>
      <c r="R331" s="55">
        <v>80776965</v>
      </c>
      <c r="S331" s="53">
        <f>IF(ISNUMBER(M331), EDATE(M331,36)-1, "")</f>
        <v>25569.375</v>
      </c>
      <c r="T331" s="50"/>
      <c r="U331" s="50"/>
      <c r="V331" s="56"/>
      <c r="W331" s="50"/>
      <c r="X331" s="50"/>
      <c r="Y331" s="56"/>
      <c r="Z331" s="56"/>
      <c r="AA331" s="56"/>
      <c r="AB331" s="56"/>
      <c r="AC331" s="56"/>
      <c r="AD331" s="56"/>
    </row>
    <row x14ac:dyDescent="0.25" r="332" customHeight="1" ht="18.75" hidden="1">
      <c r="A332" s="56"/>
      <c r="B332" s="56"/>
      <c r="C332" s="50" t="s">
        <v>16</v>
      </c>
      <c r="D332" s="50"/>
      <c r="E332" s="50"/>
      <c r="F332" s="50" t="s">
        <v>1251</v>
      </c>
      <c r="G332" s="55">
        <v>30000000</v>
      </c>
      <c r="H332" s="55"/>
      <c r="I332" s="55"/>
      <c r="J332" s="51">
        <v>2400000</v>
      </c>
      <c r="K332" s="51"/>
      <c r="L332" s="52">
        <v>45896</v>
      </c>
      <c r="M332" s="53">
        <v>45835</v>
      </c>
      <c r="N332" s="50" t="s">
        <v>282</v>
      </c>
      <c r="O332" s="50" t="s">
        <v>1252</v>
      </c>
      <c r="P332" s="50" t="s">
        <v>1251</v>
      </c>
      <c r="Q332" s="55" t="s">
        <v>1253</v>
      </c>
      <c r="R332" s="55" t="s">
        <v>1254</v>
      </c>
      <c r="S332" s="53">
        <v>46930</v>
      </c>
      <c r="T332" s="50"/>
      <c r="U332" s="50"/>
      <c r="V332" s="56"/>
      <c r="W332" s="50"/>
      <c r="X332" s="50"/>
      <c r="Y332" s="56"/>
      <c r="Z332" s="56"/>
      <c r="AA332" s="56"/>
      <c r="AB332" s="56"/>
      <c r="AC332" s="56"/>
      <c r="AD332" s="56"/>
    </row>
    <row x14ac:dyDescent="0.25" r="333" customHeight="1" ht="18.75" hidden="1">
      <c r="A333" s="56"/>
      <c r="B333" s="56"/>
      <c r="C333" s="50" t="s">
        <v>16</v>
      </c>
      <c r="D333" s="50"/>
      <c r="E333" s="50"/>
      <c r="F333" s="50" t="s">
        <v>1251</v>
      </c>
      <c r="G333" s="55">
        <v>30000000</v>
      </c>
      <c r="H333" s="55"/>
      <c r="I333" s="55"/>
      <c r="J333" s="51">
        <v>2400000</v>
      </c>
      <c r="K333" s="51"/>
      <c r="L333" s="52">
        <v>45944</v>
      </c>
      <c r="M333" s="53">
        <v>45848</v>
      </c>
      <c r="N333" s="50" t="s">
        <v>282</v>
      </c>
      <c r="O333" s="50" t="s">
        <v>1252</v>
      </c>
      <c r="P333" s="50" t="s">
        <v>1251</v>
      </c>
      <c r="Q333" s="55" t="s">
        <v>1253</v>
      </c>
      <c r="R333" s="55" t="s">
        <v>1254</v>
      </c>
      <c r="S333" s="53">
        <v>46978</v>
      </c>
      <c r="T333" s="50"/>
      <c r="U333" s="50"/>
      <c r="V333" s="56"/>
      <c r="W333" s="50"/>
      <c r="X333" s="50"/>
      <c r="Y333" s="56"/>
      <c r="Z333" s="56"/>
      <c r="AA333" s="56"/>
      <c r="AB333" s="56"/>
      <c r="AC333" s="56"/>
      <c r="AD333" s="56"/>
    </row>
    <row x14ac:dyDescent="0.25" r="334" customHeight="1" ht="18.75" hidden="1">
      <c r="A334" s="56"/>
      <c r="B334" s="56"/>
      <c r="C334" s="50" t="s">
        <v>16</v>
      </c>
      <c r="D334" s="50"/>
      <c r="E334" s="50"/>
      <c r="F334" s="50" t="s">
        <v>1255</v>
      </c>
      <c r="G334" s="55">
        <v>30000000</v>
      </c>
      <c r="H334" s="55"/>
      <c r="I334" s="55"/>
      <c r="J334" s="51">
        <v>2028000</v>
      </c>
      <c r="K334" s="51"/>
      <c r="L334" s="52">
        <v>46162</v>
      </c>
      <c r="M334" s="53">
        <v>46101</v>
      </c>
      <c r="N334" s="50" t="s">
        <v>161</v>
      </c>
      <c r="O334" s="50" t="s">
        <v>1256</v>
      </c>
      <c r="P334" s="50" t="s">
        <v>1255</v>
      </c>
      <c r="Q334" s="55" t="s">
        <v>1257</v>
      </c>
      <c r="R334" s="55" t="s">
        <v>1258</v>
      </c>
      <c r="S334" s="53">
        <v>47196</v>
      </c>
      <c r="T334" s="50" t="s">
        <v>1259</v>
      </c>
      <c r="U334" s="50" t="s">
        <v>166</v>
      </c>
      <c r="V334" s="56"/>
      <c r="W334" s="50"/>
      <c r="X334" s="50"/>
      <c r="Y334" s="56"/>
      <c r="Z334" s="56"/>
      <c r="AA334" s="56"/>
      <c r="AB334" s="56"/>
      <c r="AC334" s="56"/>
      <c r="AD334" s="56"/>
    </row>
    <row x14ac:dyDescent="0.25" r="335" customHeight="1" ht="18.75" hidden="1">
      <c r="A335" s="56"/>
      <c r="B335" s="56"/>
      <c r="C335" s="50" t="s">
        <v>16</v>
      </c>
      <c r="D335" s="50"/>
      <c r="E335" s="50" t="s">
        <v>1260</v>
      </c>
      <c r="F335" s="50" t="s">
        <v>1261</v>
      </c>
      <c r="G335" s="55">
        <v>20000000</v>
      </c>
      <c r="H335" s="55"/>
      <c r="I335" s="55"/>
      <c r="J335" s="51">
        <v>1528000</v>
      </c>
      <c r="K335" s="51"/>
      <c r="L335" s="52">
        <v>46147</v>
      </c>
      <c r="M335" s="53">
        <v>46086</v>
      </c>
      <c r="N335" s="50" t="s">
        <v>161</v>
      </c>
      <c r="O335" s="50" t="s">
        <v>1262</v>
      </c>
      <c r="P335" s="50" t="s">
        <v>1261</v>
      </c>
      <c r="Q335" s="55" t="s">
        <v>1263</v>
      </c>
      <c r="R335" s="55" t="s">
        <v>1264</v>
      </c>
      <c r="S335" s="53">
        <v>47181</v>
      </c>
      <c r="T335" s="50" t="s">
        <v>1265</v>
      </c>
      <c r="U335" s="50" t="s">
        <v>166</v>
      </c>
      <c r="V335" s="56"/>
      <c r="W335" s="50"/>
      <c r="X335" s="50"/>
      <c r="Y335" s="56"/>
      <c r="Z335" s="56"/>
      <c r="AA335" s="56"/>
      <c r="AB335" s="56"/>
      <c r="AC335" s="56"/>
      <c r="AD335" s="56"/>
    </row>
    <row x14ac:dyDescent="0.25" r="336" customHeight="1" ht="18.75" hidden="1">
      <c r="A336" s="56"/>
      <c r="B336" s="56"/>
      <c r="C336" s="49" t="s">
        <v>16</v>
      </c>
      <c r="D336" s="50"/>
      <c r="E336" s="50"/>
      <c r="F336" s="50" t="s">
        <v>1266</v>
      </c>
      <c r="G336" s="51">
        <v>20000000</v>
      </c>
      <c r="H336" s="51"/>
      <c r="I336" s="51"/>
      <c r="J336" s="87">
        <f>IF(G336&gt;0,_xludf.IFS(G336=10000000,800000,G336=20000000,1528000,G336=30000000,2028000,G336=60000000,4056000),"")</f>
      </c>
      <c r="K336" s="51"/>
      <c r="L336" s="52">
        <v>46147</v>
      </c>
      <c r="M336" s="53">
        <v>46087</v>
      </c>
      <c r="N336" s="50" t="s">
        <v>155</v>
      </c>
      <c r="O336" s="50" t="s">
        <v>1262</v>
      </c>
      <c r="P336" s="54">
        <f>IF(F336&gt;0,F336,"")</f>
      </c>
      <c r="Q336" s="55" t="s">
        <v>1263</v>
      </c>
      <c r="R336" s="55">
        <v>64337585</v>
      </c>
      <c r="S336" s="53">
        <f>IF(ISNUMBER(M336), EDATE(M336,36)-1, "")</f>
        <v>25569.375</v>
      </c>
      <c r="T336" s="50"/>
      <c r="U336" s="50"/>
      <c r="V336" s="56"/>
      <c r="W336" s="50"/>
      <c r="X336" s="50"/>
      <c r="Y336" s="56"/>
      <c r="Z336" s="56"/>
      <c r="AA336" s="56"/>
      <c r="AB336" s="56"/>
      <c r="AC336" s="56"/>
      <c r="AD336" s="56"/>
    </row>
    <row x14ac:dyDescent="0.25" r="337" customHeight="1" ht="18.75" hidden="1">
      <c r="A337" s="56"/>
      <c r="B337" s="56"/>
      <c r="C337" s="50" t="s">
        <v>16</v>
      </c>
      <c r="D337" s="50"/>
      <c r="E337" s="50"/>
      <c r="F337" s="50" t="s">
        <v>862</v>
      </c>
      <c r="G337" s="55">
        <v>10000000</v>
      </c>
      <c r="H337" s="55"/>
      <c r="I337" s="55"/>
      <c r="J337" s="51">
        <v>800000</v>
      </c>
      <c r="K337" s="51"/>
      <c r="L337" s="52">
        <v>46042</v>
      </c>
      <c r="M337" s="53">
        <v>45981</v>
      </c>
      <c r="N337" s="50" t="s">
        <v>234</v>
      </c>
      <c r="O337" s="50" t="s">
        <v>1267</v>
      </c>
      <c r="P337" s="50" t="s">
        <v>862</v>
      </c>
      <c r="Q337" s="55" t="s">
        <v>1268</v>
      </c>
      <c r="R337" s="55" t="s">
        <v>1269</v>
      </c>
      <c r="S337" s="53">
        <v>47076</v>
      </c>
      <c r="T337" s="50"/>
      <c r="U337" s="50"/>
      <c r="V337" s="56"/>
      <c r="W337" s="50"/>
      <c r="X337" s="50"/>
      <c r="Y337" s="56"/>
      <c r="Z337" s="56"/>
      <c r="AA337" s="56"/>
      <c r="AB337" s="56"/>
      <c r="AC337" s="56"/>
      <c r="AD337" s="56"/>
    </row>
    <row x14ac:dyDescent="0.25" r="338" customHeight="1" ht="18.75" hidden="1">
      <c r="A338" s="56"/>
      <c r="B338" s="56"/>
      <c r="C338" s="50" t="s">
        <v>16</v>
      </c>
      <c r="D338" s="50"/>
      <c r="E338" s="50"/>
      <c r="F338" s="50" t="s">
        <v>1270</v>
      </c>
      <c r="G338" s="55">
        <v>10000000</v>
      </c>
      <c r="H338" s="55"/>
      <c r="I338" s="55"/>
      <c r="J338" s="51">
        <v>800000</v>
      </c>
      <c r="K338" s="51"/>
      <c r="L338" s="52">
        <v>46040</v>
      </c>
      <c r="M338" s="53">
        <v>45979</v>
      </c>
      <c r="N338" s="50" t="s">
        <v>940</v>
      </c>
      <c r="O338" s="50" t="s">
        <v>1271</v>
      </c>
      <c r="P338" s="50" t="s">
        <v>1270</v>
      </c>
      <c r="Q338" s="55" t="s">
        <v>1272</v>
      </c>
      <c r="R338" s="55" t="s">
        <v>1273</v>
      </c>
      <c r="S338" s="53">
        <v>47074</v>
      </c>
      <c r="T338" s="50"/>
      <c r="U338" s="50"/>
      <c r="V338" s="56"/>
      <c r="W338" s="50"/>
      <c r="X338" s="50"/>
      <c r="Y338" s="56"/>
      <c r="Z338" s="56"/>
      <c r="AA338" s="56"/>
      <c r="AB338" s="56"/>
      <c r="AC338" s="56"/>
      <c r="AD338" s="56"/>
    </row>
    <row x14ac:dyDescent="0.25" r="339" customHeight="1" ht="18.75" hidden="1">
      <c r="A339" s="56"/>
      <c r="B339" s="56"/>
      <c r="C339" s="50" t="s">
        <v>16</v>
      </c>
      <c r="D339" s="50"/>
      <c r="E339" s="50"/>
      <c r="F339" s="50" t="s">
        <v>1270</v>
      </c>
      <c r="G339" s="55">
        <v>20000000</v>
      </c>
      <c r="H339" s="55"/>
      <c r="I339" s="55"/>
      <c r="J339" s="51">
        <v>1528000</v>
      </c>
      <c r="K339" s="51"/>
      <c r="L339" s="52">
        <v>46046</v>
      </c>
      <c r="M339" s="53">
        <v>45985</v>
      </c>
      <c r="N339" s="50" t="s">
        <v>205</v>
      </c>
      <c r="O339" s="50" t="s">
        <v>1271</v>
      </c>
      <c r="P339" s="50" t="s">
        <v>1270</v>
      </c>
      <c r="Q339" s="55" t="s">
        <v>1272</v>
      </c>
      <c r="R339" s="55" t="s">
        <v>1273</v>
      </c>
      <c r="S339" s="53">
        <v>47080</v>
      </c>
      <c r="T339" s="50"/>
      <c r="U339" s="50"/>
      <c r="V339" s="56"/>
      <c r="W339" s="50"/>
      <c r="X339" s="50"/>
      <c r="Y339" s="56"/>
      <c r="Z339" s="56"/>
      <c r="AA339" s="56"/>
      <c r="AB339" s="56"/>
      <c r="AC339" s="56"/>
      <c r="AD339" s="56"/>
    </row>
    <row x14ac:dyDescent="0.25" r="340" customHeight="1" ht="18.75" hidden="1">
      <c r="A340" s="56"/>
      <c r="B340" s="56"/>
      <c r="C340" s="50" t="s">
        <v>16</v>
      </c>
      <c r="D340" s="50"/>
      <c r="E340" s="50" t="s">
        <v>75</v>
      </c>
      <c r="F340" s="50" t="s">
        <v>1275</v>
      </c>
      <c r="G340" s="55">
        <v>10000000</v>
      </c>
      <c r="H340" s="55"/>
      <c r="I340" s="55"/>
      <c r="J340" s="51">
        <v>500000</v>
      </c>
      <c r="K340" s="51"/>
      <c r="L340" s="52">
        <v>46154</v>
      </c>
      <c r="M340" s="53">
        <v>46093</v>
      </c>
      <c r="N340" s="50" t="s">
        <v>302</v>
      </c>
      <c r="O340" s="50" t="s">
        <v>1276</v>
      </c>
      <c r="P340" s="50" t="s">
        <v>1275</v>
      </c>
      <c r="Q340" s="55" t="s">
        <v>1277</v>
      </c>
      <c r="R340" s="55" t="s">
        <v>1278</v>
      </c>
      <c r="S340" s="53">
        <v>47188</v>
      </c>
      <c r="T340" s="50" t="s">
        <v>1279</v>
      </c>
      <c r="U340" s="50" t="s">
        <v>166</v>
      </c>
      <c r="V340" s="56"/>
      <c r="W340" s="50"/>
      <c r="X340" s="50"/>
      <c r="Y340" s="56"/>
      <c r="Z340" s="56"/>
      <c r="AA340" s="56"/>
      <c r="AB340" s="56"/>
      <c r="AC340" s="56"/>
      <c r="AD340" s="56"/>
    </row>
    <row x14ac:dyDescent="0.25" r="341" customHeight="1" ht="18.75" hidden="1">
      <c r="A341" s="71"/>
      <c r="B341" s="71"/>
      <c r="C341" s="72" t="s">
        <v>16</v>
      </c>
      <c r="D341" s="72"/>
      <c r="E341" s="72"/>
      <c r="F341" s="72" t="s">
        <v>1280</v>
      </c>
      <c r="G341" s="73">
        <v>10000000</v>
      </c>
      <c r="H341" s="73"/>
      <c r="I341" s="73"/>
      <c r="J341" s="74"/>
      <c r="K341" s="74"/>
      <c r="L341" s="75">
        <v>46152</v>
      </c>
      <c r="M341" s="76">
        <v>46091</v>
      </c>
      <c r="N341" s="72" t="s">
        <v>168</v>
      </c>
      <c r="O341" s="72" t="s">
        <v>1281</v>
      </c>
      <c r="P341" s="72" t="s">
        <v>1280</v>
      </c>
      <c r="Q341" s="73" t="s">
        <v>1282</v>
      </c>
      <c r="R341" s="73" t="s">
        <v>1283</v>
      </c>
      <c r="S341" s="76">
        <v>47186</v>
      </c>
      <c r="T341" s="72"/>
      <c r="U341" s="72" t="s">
        <v>166</v>
      </c>
      <c r="V341" s="71"/>
      <c r="W341" s="50"/>
      <c r="X341" s="50"/>
      <c r="Y341" s="56"/>
      <c r="Z341" s="56"/>
      <c r="AA341" s="56"/>
      <c r="AB341" s="56"/>
      <c r="AC341" s="56"/>
      <c r="AD341" s="56"/>
    </row>
    <row x14ac:dyDescent="0.25" r="342" customHeight="1" ht="18.75" hidden="1">
      <c r="A342" s="63"/>
      <c r="B342" s="63"/>
      <c r="C342" s="49" t="s">
        <v>16</v>
      </c>
      <c r="D342" s="49"/>
      <c r="E342" s="49"/>
      <c r="F342" s="49" t="s">
        <v>1260</v>
      </c>
      <c r="G342" s="69">
        <v>20000000</v>
      </c>
      <c r="H342" s="69"/>
      <c r="I342" s="69"/>
      <c r="J342" s="64">
        <v>1528000</v>
      </c>
      <c r="K342" s="64"/>
      <c r="L342" s="66">
        <v>46110</v>
      </c>
      <c r="M342" s="67">
        <v>46050</v>
      </c>
      <c r="N342" s="49" t="s">
        <v>234</v>
      </c>
      <c r="O342" s="49" t="s">
        <v>1284</v>
      </c>
      <c r="P342" s="49" t="s">
        <v>1260</v>
      </c>
      <c r="Q342" s="69" t="s">
        <v>1285</v>
      </c>
      <c r="R342" s="69" t="s">
        <v>1286</v>
      </c>
      <c r="S342" s="67">
        <v>47146</v>
      </c>
      <c r="T342" s="49"/>
      <c r="U342" s="49" t="s">
        <v>166</v>
      </c>
      <c r="V342" s="63"/>
      <c r="W342" s="50"/>
      <c r="X342" s="50"/>
      <c r="Y342" s="56"/>
      <c r="Z342" s="56"/>
      <c r="AA342" s="56"/>
      <c r="AB342" s="56"/>
      <c r="AC342" s="56"/>
      <c r="AD342" s="56"/>
    </row>
    <row x14ac:dyDescent="0.25" r="343" customHeight="1" ht="18.75" hidden="1">
      <c r="A343" s="56"/>
      <c r="B343" s="56"/>
      <c r="C343" s="50" t="s">
        <v>16</v>
      </c>
      <c r="D343" s="50" t="s">
        <v>3276</v>
      </c>
      <c r="E343" s="50"/>
      <c r="F343" s="50" t="s">
        <v>1287</v>
      </c>
      <c r="G343" s="55">
        <v>20000000</v>
      </c>
      <c r="H343" s="55"/>
      <c r="I343" s="55"/>
      <c r="J343" s="51">
        <v>1600000</v>
      </c>
      <c r="K343" s="51"/>
      <c r="L343" s="52">
        <v>45869</v>
      </c>
      <c r="M343" s="53">
        <v>45808</v>
      </c>
      <c r="N343" s="50" t="s">
        <v>155</v>
      </c>
      <c r="O343" s="50" t="s">
        <v>1288</v>
      </c>
      <c r="P343" s="50" t="s">
        <v>1287</v>
      </c>
      <c r="Q343" s="55" t="s">
        <v>1289</v>
      </c>
      <c r="R343" s="55" t="s">
        <v>1290</v>
      </c>
      <c r="S343" s="53">
        <v>46903</v>
      </c>
      <c r="T343" s="50"/>
      <c r="U343" s="50"/>
      <c r="V343" s="56"/>
      <c r="W343" s="50"/>
      <c r="X343" s="50"/>
      <c r="Y343" s="56"/>
      <c r="Z343" s="56"/>
      <c r="AA343" s="56"/>
      <c r="AB343" s="56"/>
      <c r="AC343" s="56"/>
      <c r="AD343" s="56"/>
    </row>
    <row x14ac:dyDescent="0.25" r="344" customHeight="1" ht="18.75">
      <c r="A344" s="56"/>
      <c r="B344" s="56"/>
      <c r="C344" s="50" t="s">
        <v>16</v>
      </c>
      <c r="D344" s="50" t="s">
        <v>143</v>
      </c>
      <c r="E344" s="50" t="s">
        <v>14</v>
      </c>
      <c r="F344" s="50" t="s">
        <v>513</v>
      </c>
      <c r="G344" s="55">
        <v>10000000</v>
      </c>
      <c r="H344" s="55"/>
      <c r="I344" s="55"/>
      <c r="J344" s="51">
        <v>1200000</v>
      </c>
      <c r="K344" s="51"/>
      <c r="L344" s="52">
        <v>46187</v>
      </c>
      <c r="M344" s="53">
        <v>46126</v>
      </c>
      <c r="N344" s="50" t="s">
        <v>239</v>
      </c>
      <c r="O344" s="50" t="s">
        <v>514</v>
      </c>
      <c r="P344" s="50" t="s">
        <v>513</v>
      </c>
      <c r="Q344" s="55" t="s">
        <v>515</v>
      </c>
      <c r="R344" s="55" t="s">
        <v>516</v>
      </c>
      <c r="S344" s="53">
        <v>47221</v>
      </c>
      <c r="T344" s="50"/>
      <c r="U344" s="50"/>
      <c r="V344" s="56"/>
      <c r="W344" s="50"/>
      <c r="X344" s="50"/>
      <c r="Y344" s="56"/>
      <c r="Z344" s="56"/>
      <c r="AA344" s="56"/>
      <c r="AB344" s="56"/>
      <c r="AC344" s="56"/>
      <c r="AD344" s="56"/>
    </row>
    <row x14ac:dyDescent="0.25" r="345" customHeight="1" ht="18.75" hidden="1">
      <c r="A345" s="71"/>
      <c r="B345" s="71"/>
      <c r="C345" s="72" t="s">
        <v>16</v>
      </c>
      <c r="D345" s="72"/>
      <c r="E345" s="72" t="s">
        <v>1294</v>
      </c>
      <c r="F345" s="72" t="s">
        <v>1295</v>
      </c>
      <c r="G345" s="73">
        <v>1000000</v>
      </c>
      <c r="H345" s="73"/>
      <c r="I345" s="73"/>
      <c r="J345" s="74"/>
      <c r="K345" s="74"/>
      <c r="L345" s="75">
        <v>46064</v>
      </c>
      <c r="M345" s="76">
        <v>46002</v>
      </c>
      <c r="N345" s="72" t="s">
        <v>282</v>
      </c>
      <c r="O345" s="72" t="s">
        <v>1296</v>
      </c>
      <c r="P345" s="72" t="s">
        <v>1295</v>
      </c>
      <c r="Q345" s="73" t="s">
        <v>1297</v>
      </c>
      <c r="R345" s="73" t="s">
        <v>1298</v>
      </c>
      <c r="S345" s="76">
        <v>47097</v>
      </c>
      <c r="T345" s="72" t="s">
        <v>1299</v>
      </c>
      <c r="U345" s="72" t="s">
        <v>166</v>
      </c>
      <c r="V345" s="71"/>
      <c r="W345" s="50"/>
      <c r="X345" s="50"/>
      <c r="Y345" s="56"/>
      <c r="Z345" s="56"/>
      <c r="AA345" s="56"/>
      <c r="AB345" s="56"/>
      <c r="AC345" s="56"/>
      <c r="AD345" s="56"/>
    </row>
    <row x14ac:dyDescent="0.25" r="346" customHeight="1" ht="18.75" hidden="1">
      <c r="A346" s="48" t="s">
        <v>3277</v>
      </c>
      <c r="B346" s="48"/>
      <c r="C346" s="50" t="s">
        <v>16</v>
      </c>
      <c r="D346" s="50" t="s">
        <v>454</v>
      </c>
      <c r="E346" s="50"/>
      <c r="F346" s="50" t="s">
        <v>1301</v>
      </c>
      <c r="G346" s="55">
        <v>10000000</v>
      </c>
      <c r="H346" s="55"/>
      <c r="I346" s="55"/>
      <c r="J346" s="51">
        <v>800000</v>
      </c>
      <c r="K346" s="51"/>
      <c r="L346" s="52">
        <v>46090</v>
      </c>
      <c r="M346" s="53">
        <v>46031</v>
      </c>
      <c r="N346" s="50" t="s">
        <v>168</v>
      </c>
      <c r="O346" s="50" t="s">
        <v>1302</v>
      </c>
      <c r="P346" s="50" t="s">
        <v>1301</v>
      </c>
      <c r="Q346" s="55" t="s">
        <v>1303</v>
      </c>
      <c r="R346" s="55" t="s">
        <v>1304</v>
      </c>
      <c r="S346" s="53">
        <v>47126</v>
      </c>
      <c r="T346" s="50"/>
      <c r="U346" s="50"/>
      <c r="V346" s="56"/>
      <c r="W346" s="50"/>
      <c r="X346" s="50"/>
      <c r="Y346" s="56"/>
      <c r="Z346" s="56"/>
      <c r="AA346" s="56"/>
      <c r="AB346" s="56"/>
      <c r="AC346" s="56"/>
      <c r="AD346" s="56"/>
    </row>
    <row x14ac:dyDescent="0.25" r="347" customHeight="1" ht="18.75" hidden="1">
      <c r="A347" s="56"/>
      <c r="B347" s="56"/>
      <c r="C347" s="50" t="s">
        <v>16</v>
      </c>
      <c r="D347" s="50" t="s">
        <v>454</v>
      </c>
      <c r="E347" s="50"/>
      <c r="F347" s="50" t="s">
        <v>1305</v>
      </c>
      <c r="G347" s="55">
        <v>10000000</v>
      </c>
      <c r="H347" s="55"/>
      <c r="I347" s="55"/>
      <c r="J347" s="51">
        <v>800000</v>
      </c>
      <c r="K347" s="51"/>
      <c r="L347" s="52">
        <v>46154</v>
      </c>
      <c r="M347" s="53">
        <v>46093</v>
      </c>
      <c r="N347" s="50" t="s">
        <v>282</v>
      </c>
      <c r="O347" s="50" t="s">
        <v>1302</v>
      </c>
      <c r="P347" s="50" t="s">
        <v>1305</v>
      </c>
      <c r="Q347" s="55" t="s">
        <v>1306</v>
      </c>
      <c r="R347" s="55" t="s">
        <v>1307</v>
      </c>
      <c r="S347" s="53">
        <v>47188</v>
      </c>
      <c r="T347" s="50"/>
      <c r="U347" s="50"/>
      <c r="V347" s="56"/>
      <c r="W347" s="50"/>
      <c r="X347" s="50"/>
      <c r="Y347" s="56"/>
      <c r="Z347" s="56"/>
      <c r="AA347" s="56"/>
      <c r="AB347" s="56"/>
      <c r="AC347" s="56"/>
      <c r="AD347" s="56"/>
    </row>
    <row x14ac:dyDescent="0.25" r="348" customHeight="1" ht="18.75">
      <c r="A348" s="56"/>
      <c r="B348" s="56"/>
      <c r="C348" s="50" t="s">
        <v>16</v>
      </c>
      <c r="D348" s="50" t="s">
        <v>88</v>
      </c>
      <c r="E348" s="50" t="s">
        <v>14</v>
      </c>
      <c r="F348" s="50" t="s">
        <v>1892</v>
      </c>
      <c r="G348" s="51">
        <v>10000000</v>
      </c>
      <c r="H348" s="51"/>
      <c r="I348" s="51"/>
      <c r="J348" s="87">
        <f>IF(G348&gt;0,_xludf.IFS(G348=10000000,1200000,G348=20000000,1800000,G348=30000000,2400000,G348=60000000,4000000),"")</f>
      </c>
      <c r="K348" s="51"/>
      <c r="L348" s="52">
        <v>46187</v>
      </c>
      <c r="M348" s="53">
        <f>IF(L348&gt;0,EDATE(L348,-2),"")</f>
        <v>25569.375</v>
      </c>
      <c r="N348" s="50" t="s">
        <v>234</v>
      </c>
      <c r="O348" s="50" t="s">
        <v>1893</v>
      </c>
      <c r="P348" s="50" t="s">
        <v>1892</v>
      </c>
      <c r="Q348" s="55">
        <v>6101181237216</v>
      </c>
      <c r="R348" s="55">
        <v>38950384</v>
      </c>
      <c r="S348" s="53">
        <f>IF(ISNUMBER(M348), EDATE(M348,36)-1, "")</f>
        <v>25569.375</v>
      </c>
      <c r="T348" s="50"/>
      <c r="U348" s="50"/>
      <c r="V348" s="50"/>
      <c r="W348" s="50"/>
      <c r="X348" s="50"/>
      <c r="Y348" s="56"/>
      <c r="Z348" s="56"/>
      <c r="AA348" s="56"/>
      <c r="AB348" s="56"/>
      <c r="AC348" s="56"/>
      <c r="AD348" s="56"/>
    </row>
    <row x14ac:dyDescent="0.25" r="349" customHeight="1" ht="18.75">
      <c r="A349" s="56"/>
      <c r="B349" s="56"/>
      <c r="C349" s="50" t="s">
        <v>16</v>
      </c>
      <c r="D349" s="50"/>
      <c r="E349" s="50"/>
      <c r="F349" s="50" t="s">
        <v>2479</v>
      </c>
      <c r="G349" s="55">
        <v>10000000</v>
      </c>
      <c r="H349" s="55"/>
      <c r="I349" s="55"/>
      <c r="J349" s="51">
        <v>500000</v>
      </c>
      <c r="K349" s="51"/>
      <c r="L349" s="52">
        <v>46187</v>
      </c>
      <c r="M349" s="53">
        <v>46126</v>
      </c>
      <c r="N349" s="50" t="s">
        <v>212</v>
      </c>
      <c r="O349" s="50" t="s">
        <v>2480</v>
      </c>
      <c r="P349" s="50" t="s">
        <v>2479</v>
      </c>
      <c r="Q349" s="55" t="s">
        <v>2481</v>
      </c>
      <c r="R349" s="55" t="s">
        <v>2482</v>
      </c>
      <c r="S349" s="53">
        <v>47221</v>
      </c>
      <c r="T349" s="50" t="s">
        <v>2483</v>
      </c>
      <c r="U349" s="50" t="s">
        <v>179</v>
      </c>
      <c r="V349" s="56"/>
      <c r="W349" s="50"/>
      <c r="X349" s="50"/>
      <c r="Y349" s="56"/>
      <c r="Z349" s="56"/>
      <c r="AA349" s="56"/>
      <c r="AB349" s="56"/>
      <c r="AC349" s="56"/>
      <c r="AD349" s="56"/>
    </row>
    <row x14ac:dyDescent="0.25" r="350" customHeight="1" ht="18.75" hidden="1">
      <c r="A350" s="56"/>
      <c r="B350" s="56"/>
      <c r="C350" s="50" t="s">
        <v>16</v>
      </c>
      <c r="D350" s="50"/>
      <c r="E350" s="50"/>
      <c r="F350" s="50" t="s">
        <v>1313</v>
      </c>
      <c r="G350" s="55">
        <v>10000000</v>
      </c>
      <c r="H350" s="55"/>
      <c r="I350" s="55"/>
      <c r="J350" s="51">
        <v>800000</v>
      </c>
      <c r="K350" s="51"/>
      <c r="L350" s="52">
        <v>46030</v>
      </c>
      <c r="M350" s="53">
        <v>45969</v>
      </c>
      <c r="N350" s="50" t="s">
        <v>182</v>
      </c>
      <c r="O350" s="50" t="s">
        <v>1314</v>
      </c>
      <c r="P350" s="50" t="s">
        <v>1313</v>
      </c>
      <c r="Q350" s="55" t="s">
        <v>1315</v>
      </c>
      <c r="R350" s="55" t="s">
        <v>1316</v>
      </c>
      <c r="S350" s="53">
        <v>47064</v>
      </c>
      <c r="T350" s="50"/>
      <c r="U350" s="50" t="s">
        <v>1317</v>
      </c>
      <c r="V350" s="56"/>
      <c r="W350" s="50"/>
      <c r="X350" s="50"/>
      <c r="Y350" s="56"/>
      <c r="Z350" s="56"/>
      <c r="AA350" s="56"/>
      <c r="AB350" s="56"/>
      <c r="AC350" s="56"/>
      <c r="AD350" s="56"/>
    </row>
    <row x14ac:dyDescent="0.25" r="351" customHeight="1" ht="18.75" hidden="1">
      <c r="A351" s="63"/>
      <c r="B351" s="63"/>
      <c r="C351" s="49" t="s">
        <v>16</v>
      </c>
      <c r="D351" s="49"/>
      <c r="E351" s="49"/>
      <c r="F351" s="49" t="s">
        <v>45</v>
      </c>
      <c r="G351" s="64">
        <v>60000000</v>
      </c>
      <c r="H351" s="64"/>
      <c r="I351" s="64"/>
      <c r="J351" s="64">
        <v>4800000</v>
      </c>
      <c r="K351" s="64"/>
      <c r="L351" s="66">
        <v>46042</v>
      </c>
      <c r="M351" s="67">
        <f>IF(L351&gt;0,EDATE(L351,-2),"")</f>
        <v>25569.375</v>
      </c>
      <c r="N351" s="49" t="s">
        <v>168</v>
      </c>
      <c r="O351" s="49" t="s">
        <v>1318</v>
      </c>
      <c r="P351" s="68">
        <f>IF(F351&gt;0,F351,"")</f>
      </c>
      <c r="Q351" s="69" t="s">
        <v>1319</v>
      </c>
      <c r="R351" s="69">
        <v>90292169</v>
      </c>
      <c r="S351" s="53">
        <f>IF(M351&gt;0,EDATE(M351,36)-1,"")</f>
        <v>25569.375</v>
      </c>
      <c r="T351" s="49"/>
      <c r="U351" s="49"/>
      <c r="V351" s="63" t="s">
        <v>46</v>
      </c>
      <c r="W351" s="50"/>
      <c r="X351" s="50"/>
      <c r="Y351" s="56"/>
      <c r="Z351" s="56"/>
      <c r="AA351" s="56"/>
      <c r="AB351" s="56"/>
      <c r="AC351" s="56"/>
      <c r="AD351" s="56"/>
    </row>
    <row x14ac:dyDescent="0.25" r="352" customHeight="1" ht="18.75" hidden="1">
      <c r="A352" s="63"/>
      <c r="B352" s="63"/>
      <c r="C352" s="49" t="s">
        <v>16</v>
      </c>
      <c r="D352" s="49"/>
      <c r="E352" s="49"/>
      <c r="F352" s="49" t="s">
        <v>45</v>
      </c>
      <c r="G352" s="64">
        <v>60000000</v>
      </c>
      <c r="H352" s="64"/>
      <c r="I352" s="64"/>
      <c r="J352" s="64">
        <v>4800000</v>
      </c>
      <c r="K352" s="64"/>
      <c r="L352" s="66">
        <v>45876</v>
      </c>
      <c r="M352" s="67">
        <f>IF(L352&gt;0,EDATE(L352,-2),"")</f>
        <v>25569.375</v>
      </c>
      <c r="N352" s="49" t="s">
        <v>168</v>
      </c>
      <c r="O352" s="49" t="s">
        <v>1318</v>
      </c>
      <c r="P352" s="68">
        <f>IF(F352&gt;0,F352,"")</f>
      </c>
      <c r="Q352" s="69" t="s">
        <v>1319</v>
      </c>
      <c r="R352" s="69">
        <v>90292169</v>
      </c>
      <c r="S352" s="53">
        <f>IF(M352&gt;0,EDATE(M352,36)-1,"")</f>
        <v>25569.375</v>
      </c>
      <c r="T352" s="49"/>
      <c r="U352" s="49"/>
      <c r="V352" s="63" t="s">
        <v>1320</v>
      </c>
      <c r="W352" s="50"/>
      <c r="X352" s="50"/>
      <c r="Y352" s="56"/>
      <c r="Z352" s="56"/>
      <c r="AA352" s="56"/>
      <c r="AB352" s="56"/>
      <c r="AC352" s="56"/>
      <c r="AD352" s="56"/>
    </row>
    <row x14ac:dyDescent="0.25" r="353" customHeight="1" ht="18.75" hidden="1">
      <c r="A353" s="56"/>
      <c r="B353" s="56"/>
      <c r="C353" s="50" t="s">
        <v>16</v>
      </c>
      <c r="D353" s="50"/>
      <c r="E353" s="50"/>
      <c r="F353" s="50" t="s">
        <v>327</v>
      </c>
      <c r="G353" s="55">
        <v>60000000</v>
      </c>
      <c r="H353" s="55"/>
      <c r="I353" s="55"/>
      <c r="J353" s="51">
        <v>4800000</v>
      </c>
      <c r="K353" s="51"/>
      <c r="L353" s="52">
        <v>45904</v>
      </c>
      <c r="M353" s="53">
        <v>45848</v>
      </c>
      <c r="N353" s="50" t="s">
        <v>174</v>
      </c>
      <c r="O353" s="50" t="s">
        <v>1321</v>
      </c>
      <c r="P353" s="50" t="s">
        <v>327</v>
      </c>
      <c r="Q353" s="55" t="s">
        <v>1322</v>
      </c>
      <c r="R353" s="55" t="s">
        <v>1323</v>
      </c>
      <c r="S353" s="53">
        <v>46943</v>
      </c>
      <c r="T353" s="50"/>
      <c r="U353" s="50"/>
      <c r="V353" s="56"/>
      <c r="W353" s="50"/>
      <c r="X353" s="50"/>
      <c r="Y353" s="56"/>
      <c r="Z353" s="56"/>
      <c r="AA353" s="56"/>
      <c r="AB353" s="56"/>
      <c r="AC353" s="56"/>
      <c r="AD353" s="56"/>
    </row>
    <row x14ac:dyDescent="0.25" r="354" customHeight="1" ht="18.75" hidden="1">
      <c r="A354" s="63"/>
      <c r="B354" s="63"/>
      <c r="C354" s="49" t="s">
        <v>16</v>
      </c>
      <c r="D354" s="49"/>
      <c r="E354" s="49"/>
      <c r="F354" s="49" t="s">
        <v>327</v>
      </c>
      <c r="G354" s="64">
        <v>60000000</v>
      </c>
      <c r="H354" s="64"/>
      <c r="I354" s="64"/>
      <c r="J354" s="64">
        <v>4800000</v>
      </c>
      <c r="K354" s="64"/>
      <c r="L354" s="66">
        <v>45904</v>
      </c>
      <c r="M354" s="67">
        <v>45848</v>
      </c>
      <c r="N354" s="49" t="s">
        <v>222</v>
      </c>
      <c r="O354" s="49" t="s">
        <v>3278</v>
      </c>
      <c r="P354" s="68">
        <f>IF(F354&gt;0,F354,"")</f>
      </c>
      <c r="Q354" s="69" t="s">
        <v>1322</v>
      </c>
      <c r="R354" s="69">
        <v>84307122</v>
      </c>
      <c r="S354" s="53">
        <v>46937</v>
      </c>
      <c r="T354" s="49"/>
      <c r="U354" s="49"/>
      <c r="V354" s="63" t="s">
        <v>3279</v>
      </c>
      <c r="W354" s="50"/>
      <c r="X354" s="50"/>
      <c r="Y354" s="56"/>
      <c r="Z354" s="56"/>
      <c r="AA354" s="56"/>
      <c r="AB354" s="56"/>
      <c r="AC354" s="56"/>
      <c r="AD354" s="56"/>
    </row>
    <row x14ac:dyDescent="0.25" r="355" customHeight="1" ht="18.75">
      <c r="A355" s="63"/>
      <c r="B355" s="63"/>
      <c r="C355" s="49" t="s">
        <v>16</v>
      </c>
      <c r="D355" s="49"/>
      <c r="E355" s="49" t="s">
        <v>203</v>
      </c>
      <c r="F355" s="49" t="s">
        <v>2767</v>
      </c>
      <c r="G355" s="64">
        <v>10000000</v>
      </c>
      <c r="H355" s="64"/>
      <c r="I355" s="64"/>
      <c r="J355" s="65">
        <f>IF(G355&gt;0,_xludf.IFS(G355=10000000,800000,G355=20000000,1528000,G355=30000000,2028000,G355=60000000,4056000),"")</f>
      </c>
      <c r="K355" s="64"/>
      <c r="L355" s="66">
        <v>46187</v>
      </c>
      <c r="M355" s="67">
        <f>IF(L355&gt;0,EDATE(L355,-2),"")</f>
        <v>25569.375</v>
      </c>
      <c r="N355" s="49" t="s">
        <v>168</v>
      </c>
      <c r="O355" s="49" t="s">
        <v>2768</v>
      </c>
      <c r="P355" s="68">
        <f>IF(F355&gt;0,F355,"")</f>
      </c>
      <c r="Q355" s="69" t="s">
        <v>2769</v>
      </c>
      <c r="R355" s="69">
        <v>55904781</v>
      </c>
      <c r="S355" s="67">
        <f>IF(ISNUMBER(M355), EDATE(M355,36)-1, "")</f>
        <v>25569.375</v>
      </c>
      <c r="T355" s="49"/>
      <c r="U355" s="49"/>
      <c r="V355" s="63"/>
      <c r="W355" s="50"/>
      <c r="X355" s="50"/>
      <c r="Y355" s="56"/>
      <c r="Z355" s="56"/>
      <c r="AA355" s="56"/>
      <c r="AB355" s="56"/>
      <c r="AC355" s="56"/>
      <c r="AD355" s="56"/>
    </row>
    <row x14ac:dyDescent="0.25" r="356" customHeight="1" ht="18.75" hidden="1">
      <c r="A356" s="56"/>
      <c r="B356" s="56"/>
      <c r="C356" s="50" t="s">
        <v>16</v>
      </c>
      <c r="D356" s="50"/>
      <c r="E356" s="50"/>
      <c r="F356" s="50" t="s">
        <v>1328</v>
      </c>
      <c r="G356" s="55">
        <v>60000000</v>
      </c>
      <c r="H356" s="55"/>
      <c r="I356" s="55"/>
      <c r="J356" s="51">
        <v>4800000</v>
      </c>
      <c r="K356" s="51"/>
      <c r="L356" s="52">
        <v>45915</v>
      </c>
      <c r="M356" s="53">
        <v>45848</v>
      </c>
      <c r="N356" s="50" t="s">
        <v>239</v>
      </c>
      <c r="O356" s="50" t="s">
        <v>1329</v>
      </c>
      <c r="P356" s="50" t="s">
        <v>1328</v>
      </c>
      <c r="Q356" s="55" t="s">
        <v>1330</v>
      </c>
      <c r="R356" s="55" t="s">
        <v>1331</v>
      </c>
      <c r="S356" s="53">
        <v>46943</v>
      </c>
      <c r="T356" s="50"/>
      <c r="U356" s="50"/>
      <c r="V356" s="56"/>
      <c r="W356" s="50"/>
      <c r="X356" s="50"/>
      <c r="Y356" s="56"/>
      <c r="Z356" s="56"/>
      <c r="AA356" s="56"/>
      <c r="AB356" s="56"/>
      <c r="AC356" s="56"/>
      <c r="AD356" s="56"/>
    </row>
    <row x14ac:dyDescent="0.25" r="357" customHeight="1" ht="18.75">
      <c r="A357" s="48" t="s">
        <v>252</v>
      </c>
      <c r="B357" s="48"/>
      <c r="C357" s="50" t="s">
        <v>16</v>
      </c>
      <c r="D357" s="50" t="s">
        <v>143</v>
      </c>
      <c r="E357" s="50" t="s">
        <v>14</v>
      </c>
      <c r="F357" s="50" t="s">
        <v>963</v>
      </c>
      <c r="G357" s="55">
        <v>10000000</v>
      </c>
      <c r="H357" s="55"/>
      <c r="I357" s="55"/>
      <c r="J357" s="51">
        <v>1200000</v>
      </c>
      <c r="K357" s="51"/>
      <c r="L357" s="52">
        <v>46188</v>
      </c>
      <c r="M357" s="53">
        <v>46127</v>
      </c>
      <c r="N357" s="50" t="s">
        <v>379</v>
      </c>
      <c r="O357" s="50" t="s">
        <v>964</v>
      </c>
      <c r="P357" s="50" t="s">
        <v>963</v>
      </c>
      <c r="Q357" s="55" t="s">
        <v>965</v>
      </c>
      <c r="R357" s="85" t="s">
        <v>966</v>
      </c>
      <c r="S357" s="53">
        <v>47222</v>
      </c>
      <c r="T357" s="50"/>
      <c r="U357" s="50"/>
      <c r="V357" s="56"/>
      <c r="W357" s="50"/>
      <c r="X357" s="50"/>
      <c r="Y357" s="56"/>
      <c r="Z357" s="56"/>
      <c r="AA357" s="56"/>
      <c r="AB357" s="56"/>
      <c r="AC357" s="56"/>
      <c r="AD357" s="56"/>
    </row>
    <row x14ac:dyDescent="0.25" r="358" customHeight="1" ht="18.75" hidden="1">
      <c r="A358" s="63"/>
      <c r="B358" s="63"/>
      <c r="C358" s="49" t="s">
        <v>16</v>
      </c>
      <c r="D358" s="49"/>
      <c r="E358" s="49" t="s">
        <v>22</v>
      </c>
      <c r="F358" s="49" t="s">
        <v>1335</v>
      </c>
      <c r="G358" s="69">
        <v>60000000</v>
      </c>
      <c r="H358" s="69"/>
      <c r="I358" s="69"/>
      <c r="J358" s="64">
        <v>4056000</v>
      </c>
      <c r="K358" s="64"/>
      <c r="L358" s="66">
        <v>46122</v>
      </c>
      <c r="M358" s="67">
        <v>46063</v>
      </c>
      <c r="N358" s="49" t="s">
        <v>306</v>
      </c>
      <c r="O358" s="49" t="s">
        <v>1336</v>
      </c>
      <c r="P358" s="49" t="s">
        <v>1335</v>
      </c>
      <c r="Q358" s="69" t="s">
        <v>1337</v>
      </c>
      <c r="R358" s="69" t="s">
        <v>1338</v>
      </c>
      <c r="S358" s="67">
        <v>47158</v>
      </c>
      <c r="T358" s="50"/>
      <c r="U358" s="50" t="s">
        <v>166</v>
      </c>
      <c r="V358" s="56"/>
      <c r="W358" s="50"/>
      <c r="X358" s="50"/>
      <c r="Y358" s="56"/>
      <c r="Z358" s="56"/>
      <c r="AA358" s="56"/>
      <c r="AB358" s="56"/>
      <c r="AC358" s="56"/>
      <c r="AD358" s="56"/>
    </row>
    <row x14ac:dyDescent="0.25" r="359" customHeight="1" ht="18.75" hidden="1">
      <c r="A359" s="56"/>
      <c r="B359" s="56"/>
      <c r="C359" s="50" t="s">
        <v>16</v>
      </c>
      <c r="D359" s="50"/>
      <c r="E359" s="50" t="s">
        <v>22</v>
      </c>
      <c r="F359" s="50" t="s">
        <v>47</v>
      </c>
      <c r="G359" s="55">
        <v>10000000</v>
      </c>
      <c r="H359" s="55"/>
      <c r="I359" s="55"/>
      <c r="J359" s="51">
        <v>800000</v>
      </c>
      <c r="K359" s="51"/>
      <c r="L359" s="52">
        <v>46156</v>
      </c>
      <c r="M359" s="53">
        <v>46095</v>
      </c>
      <c r="N359" s="50" t="s">
        <v>168</v>
      </c>
      <c r="O359" s="50" t="s">
        <v>1339</v>
      </c>
      <c r="P359" s="50" t="s">
        <v>47</v>
      </c>
      <c r="Q359" s="55" t="s">
        <v>1340</v>
      </c>
      <c r="R359" s="55" t="s">
        <v>1341</v>
      </c>
      <c r="S359" s="53">
        <v>47190</v>
      </c>
      <c r="T359" s="50"/>
      <c r="U359" s="50" t="s">
        <v>293</v>
      </c>
      <c r="V359" s="56"/>
      <c r="W359" s="50"/>
      <c r="X359" s="50"/>
      <c r="Y359" s="56"/>
      <c r="Z359" s="56"/>
      <c r="AA359" s="56"/>
      <c r="AB359" s="56"/>
      <c r="AC359" s="56"/>
      <c r="AD359" s="56"/>
    </row>
    <row x14ac:dyDescent="0.25" r="360" customHeight="1" ht="18.75">
      <c r="A360" s="48" t="s">
        <v>152</v>
      </c>
      <c r="B360" s="62"/>
      <c r="C360" s="49" t="s">
        <v>16</v>
      </c>
      <c r="D360" s="50"/>
      <c r="E360" s="50"/>
      <c r="F360" s="50" t="s">
        <v>1195</v>
      </c>
      <c r="G360" s="51">
        <v>60000000</v>
      </c>
      <c r="H360" s="51"/>
      <c r="I360" s="51"/>
      <c r="J360" s="87">
        <f>IF(G360&gt;0,_xludf.IFS(G360=10000000,800000,G360=20000000,1528000,G360=30000000,2028000,G360=60000000,4056000),"")</f>
      </c>
      <c r="K360" s="51"/>
      <c r="L360" s="52">
        <v>46188</v>
      </c>
      <c r="M360" s="53">
        <f>IF(L360&gt;0,EDATE(L360,-2),"")</f>
        <v>25569.375</v>
      </c>
      <c r="N360" s="50" t="s">
        <v>302</v>
      </c>
      <c r="O360" s="50" t="s">
        <v>1198</v>
      </c>
      <c r="P360" s="54">
        <f>IF(F360&gt;0,F360,"")</f>
      </c>
      <c r="Q360" s="55" t="s">
        <v>1199</v>
      </c>
      <c r="R360" s="55">
        <v>43263850</v>
      </c>
      <c r="S360" s="53">
        <f>IF(ISNUMBER(M360), EDATE(M360,36)-1, "")</f>
        <v>25569.375</v>
      </c>
      <c r="T360" s="50"/>
      <c r="U360" s="50"/>
      <c r="V360" s="48" t="s">
        <v>1200</v>
      </c>
      <c r="W360" s="50"/>
      <c r="X360" s="50"/>
      <c r="Y360" s="56"/>
      <c r="Z360" s="56"/>
      <c r="AA360" s="56"/>
      <c r="AB360" s="56"/>
      <c r="AC360" s="56"/>
      <c r="AD360" s="56"/>
    </row>
    <row x14ac:dyDescent="0.25" r="361" customHeight="1" ht="18.75" hidden="1">
      <c r="A361" s="56"/>
      <c r="B361" s="56"/>
      <c r="C361" s="50" t="s">
        <v>16</v>
      </c>
      <c r="D361" s="50" t="s">
        <v>143</v>
      </c>
      <c r="E361" s="50" t="s">
        <v>14</v>
      </c>
      <c r="F361" s="50" t="s">
        <v>1347</v>
      </c>
      <c r="G361" s="55">
        <v>10000000</v>
      </c>
      <c r="H361" s="55"/>
      <c r="I361" s="55"/>
      <c r="J361" s="51"/>
      <c r="K361" s="51"/>
      <c r="L361" s="52">
        <v>46149</v>
      </c>
      <c r="M361" s="53">
        <v>46088</v>
      </c>
      <c r="N361" s="50" t="s">
        <v>155</v>
      </c>
      <c r="O361" s="50" t="s">
        <v>3280</v>
      </c>
      <c r="P361" s="50" t="s">
        <v>3281</v>
      </c>
      <c r="Q361" s="55" t="s">
        <v>3282</v>
      </c>
      <c r="R361" s="55" t="s">
        <v>1350</v>
      </c>
      <c r="S361" s="53">
        <v>47183</v>
      </c>
      <c r="T361" s="50" t="s">
        <v>1351</v>
      </c>
      <c r="U361" s="50" t="s">
        <v>293</v>
      </c>
      <c r="V361" s="56" t="s">
        <v>2990</v>
      </c>
      <c r="W361" s="50"/>
      <c r="X361" s="50"/>
      <c r="Y361" s="56"/>
      <c r="Z361" s="56"/>
      <c r="AA361" s="56"/>
      <c r="AB361" s="56"/>
      <c r="AC361" s="56"/>
      <c r="AD361" s="56"/>
    </row>
    <row x14ac:dyDescent="0.25" r="362" customHeight="1" ht="18.75">
      <c r="A362" s="56"/>
      <c r="B362" s="56"/>
      <c r="C362" s="50" t="s">
        <v>16</v>
      </c>
      <c r="D362" s="50"/>
      <c r="E362" s="50" t="s">
        <v>613</v>
      </c>
      <c r="F362" s="50" t="s">
        <v>1606</v>
      </c>
      <c r="G362" s="55">
        <v>10000000</v>
      </c>
      <c r="H362" s="55"/>
      <c r="I362" s="55"/>
      <c r="J362" s="51">
        <v>500000</v>
      </c>
      <c r="K362" s="51"/>
      <c r="L362" s="52">
        <v>46188</v>
      </c>
      <c r="M362" s="53">
        <v>46127</v>
      </c>
      <c r="N362" s="50" t="s">
        <v>1139</v>
      </c>
      <c r="O362" s="50" t="s">
        <v>1607</v>
      </c>
      <c r="P362" s="50" t="s">
        <v>1606</v>
      </c>
      <c r="Q362" s="55" t="s">
        <v>1608</v>
      </c>
      <c r="R362" s="55" t="s">
        <v>1609</v>
      </c>
      <c r="S362" s="53">
        <v>47222</v>
      </c>
      <c r="T362" s="50" t="s">
        <v>1610</v>
      </c>
      <c r="U362" s="50" t="s">
        <v>166</v>
      </c>
      <c r="V362" s="56"/>
      <c r="W362" s="50"/>
      <c r="X362" s="50"/>
      <c r="Y362" s="56"/>
      <c r="Z362" s="56"/>
      <c r="AA362" s="56"/>
      <c r="AB362" s="56"/>
      <c r="AC362" s="56"/>
      <c r="AD362" s="56"/>
    </row>
    <row x14ac:dyDescent="0.25" r="363" customHeight="1" ht="18.75" hidden="1">
      <c r="A363" s="56"/>
      <c r="B363" s="56"/>
      <c r="C363" s="50" t="s">
        <v>16</v>
      </c>
      <c r="D363" s="50" t="s">
        <v>627</v>
      </c>
      <c r="E363" s="50"/>
      <c r="F363" s="50" t="s">
        <v>1352</v>
      </c>
      <c r="G363" s="55">
        <v>20000000</v>
      </c>
      <c r="H363" s="55"/>
      <c r="I363" s="55"/>
      <c r="J363" s="51">
        <v>1528000</v>
      </c>
      <c r="K363" s="51"/>
      <c r="L363" s="52">
        <v>46150</v>
      </c>
      <c r="M363" s="53">
        <v>46089</v>
      </c>
      <c r="N363" s="50" t="s">
        <v>205</v>
      </c>
      <c r="O363" s="50" t="s">
        <v>1353</v>
      </c>
      <c r="P363" s="50" t="s">
        <v>1352</v>
      </c>
      <c r="Q363" s="55" t="s">
        <v>1354</v>
      </c>
      <c r="R363" s="55" t="s">
        <v>1355</v>
      </c>
      <c r="S363" s="53">
        <v>47184</v>
      </c>
      <c r="T363" s="50" t="s">
        <v>1356</v>
      </c>
      <c r="U363" s="50" t="s">
        <v>166</v>
      </c>
      <c r="V363" s="56"/>
      <c r="W363" s="50"/>
      <c r="X363" s="50"/>
      <c r="Y363" s="56"/>
      <c r="Z363" s="56"/>
      <c r="AA363" s="56"/>
      <c r="AB363" s="56"/>
      <c r="AC363" s="56"/>
      <c r="AD363" s="56"/>
    </row>
    <row x14ac:dyDescent="0.25" r="364" customHeight="1" ht="18.75" hidden="1">
      <c r="A364" s="48" t="s">
        <v>3232</v>
      </c>
      <c r="B364" s="48"/>
      <c r="C364" s="50" t="s">
        <v>16</v>
      </c>
      <c r="D364" s="50" t="s">
        <v>627</v>
      </c>
      <c r="E364" s="50" t="s">
        <v>3283</v>
      </c>
      <c r="F364" s="50" t="s">
        <v>1352</v>
      </c>
      <c r="G364" s="55">
        <v>20000000</v>
      </c>
      <c r="H364" s="55"/>
      <c r="I364" s="55"/>
      <c r="J364" s="51">
        <v>1528000</v>
      </c>
      <c r="K364" s="51"/>
      <c r="L364" s="52">
        <v>46150</v>
      </c>
      <c r="M364" s="53">
        <v>46089</v>
      </c>
      <c r="N364" s="50" t="s">
        <v>205</v>
      </c>
      <c r="O364" s="50" t="s">
        <v>1353</v>
      </c>
      <c r="P364" s="50" t="s">
        <v>1352</v>
      </c>
      <c r="Q364" s="55" t="s">
        <v>1354</v>
      </c>
      <c r="R364" s="55" t="s">
        <v>1355</v>
      </c>
      <c r="S364" s="53">
        <v>47184</v>
      </c>
      <c r="T364" s="50"/>
      <c r="U364" s="50" t="s">
        <v>166</v>
      </c>
      <c r="V364" s="56"/>
      <c r="W364" s="50"/>
      <c r="X364" s="50"/>
      <c r="Y364" s="56"/>
      <c r="Z364" s="56"/>
      <c r="AA364" s="56"/>
      <c r="AB364" s="56"/>
      <c r="AC364" s="56"/>
      <c r="AD364" s="56"/>
    </row>
    <row x14ac:dyDescent="0.25" r="365" customHeight="1" ht="18.75" hidden="1">
      <c r="A365" s="56"/>
      <c r="B365" s="56"/>
      <c r="C365" s="50" t="s">
        <v>16</v>
      </c>
      <c r="D365" s="50" t="s">
        <v>454</v>
      </c>
      <c r="E365" s="50"/>
      <c r="F365" s="50" t="s">
        <v>526</v>
      </c>
      <c r="G365" s="55">
        <v>10000000</v>
      </c>
      <c r="H365" s="55"/>
      <c r="I365" s="55"/>
      <c r="J365" s="51">
        <v>500000</v>
      </c>
      <c r="K365" s="51"/>
      <c r="L365" s="52">
        <v>46166</v>
      </c>
      <c r="M365" s="53">
        <v>46105</v>
      </c>
      <c r="N365" s="50" t="s">
        <v>302</v>
      </c>
      <c r="O365" s="50" t="s">
        <v>1357</v>
      </c>
      <c r="P365" s="50" t="s">
        <v>526</v>
      </c>
      <c r="Q365" s="55" t="s">
        <v>1358</v>
      </c>
      <c r="R365" s="55" t="s">
        <v>528</v>
      </c>
      <c r="S365" s="53">
        <v>47200</v>
      </c>
      <c r="T365" s="50"/>
      <c r="U365" s="50"/>
      <c r="V365" s="56"/>
      <c r="W365" s="50"/>
      <c r="X365" s="50"/>
      <c r="Y365" s="56"/>
      <c r="Z365" s="56"/>
      <c r="AA365" s="56"/>
      <c r="AB365" s="56"/>
      <c r="AC365" s="56"/>
      <c r="AD365" s="56"/>
    </row>
    <row x14ac:dyDescent="0.25" r="366" customHeight="1" ht="18.75" hidden="1">
      <c r="A366" s="63"/>
      <c r="B366" s="63"/>
      <c r="C366" s="49" t="s">
        <v>16</v>
      </c>
      <c r="D366" s="49" t="s">
        <v>454</v>
      </c>
      <c r="E366" s="49" t="s">
        <v>455</v>
      </c>
      <c r="F366" s="49" t="s">
        <v>526</v>
      </c>
      <c r="G366" s="64">
        <v>10000000</v>
      </c>
      <c r="H366" s="64"/>
      <c r="I366" s="64"/>
      <c r="J366" s="64">
        <v>800000</v>
      </c>
      <c r="K366" s="64"/>
      <c r="L366" s="66">
        <v>46166</v>
      </c>
      <c r="M366" s="67">
        <f>IF(L366&gt;0,EDATE(L366,-2),"")</f>
        <v>25569.375</v>
      </c>
      <c r="N366" s="49" t="s">
        <v>302</v>
      </c>
      <c r="O366" s="49" t="s">
        <v>1357</v>
      </c>
      <c r="P366" s="68">
        <f>IF(F366&gt;0,F366,"")</f>
      </c>
      <c r="Q366" s="69" t="s">
        <v>1358</v>
      </c>
      <c r="R366" s="69">
        <v>51751545</v>
      </c>
      <c r="S366" s="67">
        <f>IF(ISNUMBER(M366), EDATE(M366,36)-1, "")</f>
        <v>25569.375</v>
      </c>
      <c r="T366" s="49"/>
      <c r="U366" s="49"/>
      <c r="V366" s="63"/>
      <c r="W366" s="50"/>
      <c r="X366" s="50"/>
      <c r="Y366" s="56"/>
      <c r="Z366" s="56"/>
      <c r="AA366" s="56"/>
      <c r="AB366" s="56"/>
      <c r="AC366" s="56"/>
      <c r="AD366" s="56"/>
    </row>
    <row x14ac:dyDescent="0.25" r="367" customHeight="1" ht="18.75" hidden="1">
      <c r="A367" s="56"/>
      <c r="B367" s="56"/>
      <c r="C367" s="50" t="s">
        <v>16</v>
      </c>
      <c r="D367" s="50"/>
      <c r="E367" s="50"/>
      <c r="F367" s="50" t="s">
        <v>1359</v>
      </c>
      <c r="G367" s="55">
        <v>30000000</v>
      </c>
      <c r="H367" s="55"/>
      <c r="I367" s="55"/>
      <c r="J367" s="51">
        <v>2028000</v>
      </c>
      <c r="K367" s="51"/>
      <c r="L367" s="52">
        <v>46009</v>
      </c>
      <c r="M367" s="53">
        <v>45948</v>
      </c>
      <c r="N367" s="50" t="s">
        <v>1360</v>
      </c>
      <c r="O367" s="50" t="s">
        <v>1361</v>
      </c>
      <c r="P367" s="50" t="s">
        <v>1359</v>
      </c>
      <c r="Q367" s="55" t="s">
        <v>1362</v>
      </c>
      <c r="R367" s="55" t="s">
        <v>1363</v>
      </c>
      <c r="S367" s="53">
        <v>47043</v>
      </c>
      <c r="T367" s="50"/>
      <c r="U367" s="50"/>
      <c r="V367" s="56"/>
      <c r="W367" s="50"/>
      <c r="X367" s="50"/>
      <c r="Y367" s="56"/>
      <c r="Z367" s="56"/>
      <c r="AA367" s="56"/>
      <c r="AB367" s="56"/>
      <c r="AC367" s="56"/>
      <c r="AD367" s="56"/>
    </row>
    <row x14ac:dyDescent="0.25" r="368" customHeight="1" ht="18.75" hidden="1">
      <c r="A368" s="56"/>
      <c r="B368" s="56"/>
      <c r="C368" s="50" t="s">
        <v>16</v>
      </c>
      <c r="D368" s="50"/>
      <c r="E368" s="50"/>
      <c r="F368" s="50" t="s">
        <v>1364</v>
      </c>
      <c r="G368" s="55">
        <v>20000000</v>
      </c>
      <c r="H368" s="55"/>
      <c r="I368" s="55"/>
      <c r="J368" s="51">
        <v>1528000</v>
      </c>
      <c r="K368" s="51"/>
      <c r="L368" s="52">
        <v>46159</v>
      </c>
      <c r="M368" s="53">
        <v>46098</v>
      </c>
      <c r="N368" s="50" t="s">
        <v>161</v>
      </c>
      <c r="O368" s="50" t="s">
        <v>1365</v>
      </c>
      <c r="P368" s="50" t="s">
        <v>1364</v>
      </c>
      <c r="Q368" s="55" t="s">
        <v>1366</v>
      </c>
      <c r="R368" s="55" t="s">
        <v>1367</v>
      </c>
      <c r="S368" s="53">
        <v>47193</v>
      </c>
      <c r="T368" s="50" t="s">
        <v>1368</v>
      </c>
      <c r="U368" s="50" t="s">
        <v>166</v>
      </c>
      <c r="V368" s="56"/>
      <c r="W368" s="50"/>
      <c r="X368" s="50"/>
      <c r="Y368" s="56"/>
      <c r="Z368" s="56"/>
      <c r="AA368" s="56"/>
      <c r="AB368" s="56"/>
      <c r="AC368" s="56"/>
      <c r="AD368" s="56"/>
    </row>
    <row x14ac:dyDescent="0.25" r="369" customHeight="1" ht="18.75" hidden="1">
      <c r="A369" s="56"/>
      <c r="B369" s="56"/>
      <c r="C369" s="50" t="s">
        <v>16</v>
      </c>
      <c r="D369" s="50"/>
      <c r="E369" s="50"/>
      <c r="F369" s="50" t="s">
        <v>1369</v>
      </c>
      <c r="G369" s="55">
        <v>10000000</v>
      </c>
      <c r="H369" s="55"/>
      <c r="I369" s="55"/>
      <c r="J369" s="51">
        <v>800000</v>
      </c>
      <c r="K369" s="51"/>
      <c r="L369" s="52">
        <v>45988</v>
      </c>
      <c r="M369" s="53">
        <v>45927</v>
      </c>
      <c r="N369" s="50" t="s">
        <v>940</v>
      </c>
      <c r="O369" s="50" t="s">
        <v>416</v>
      </c>
      <c r="P369" s="50" t="s">
        <v>1369</v>
      </c>
      <c r="Q369" s="55" t="s">
        <v>1370</v>
      </c>
      <c r="R369" s="55" t="s">
        <v>1371</v>
      </c>
      <c r="S369" s="53">
        <v>47083</v>
      </c>
      <c r="T369" s="50"/>
      <c r="U369" s="50" t="s">
        <v>293</v>
      </c>
      <c r="V369" s="56"/>
      <c r="W369" s="50"/>
      <c r="X369" s="50"/>
      <c r="Y369" s="56"/>
      <c r="Z369" s="56"/>
      <c r="AA369" s="56"/>
      <c r="AB369" s="56"/>
      <c r="AC369" s="56"/>
      <c r="AD369" s="56"/>
    </row>
    <row x14ac:dyDescent="0.25" r="370" customHeight="1" ht="18.75">
      <c r="A370" s="48" t="s">
        <v>152</v>
      </c>
      <c r="B370" s="62"/>
      <c r="C370" s="49" t="s">
        <v>16</v>
      </c>
      <c r="D370" s="50"/>
      <c r="E370" s="50"/>
      <c r="F370" s="50" t="s">
        <v>2213</v>
      </c>
      <c r="G370" s="51">
        <v>60000000</v>
      </c>
      <c r="H370" s="51"/>
      <c r="I370" s="51"/>
      <c r="J370" s="87">
        <f>IF(G370&gt;0,_xludf.IFS(G370=10000000,800000,G370=20000000,1528000,G370=30000000,2028000,G370=60000000,4056000),"")</f>
      </c>
      <c r="K370" s="51"/>
      <c r="L370" s="52">
        <v>46188</v>
      </c>
      <c r="M370" s="53">
        <f>IF(L370&gt;0,EDATE(L370,-2),"")</f>
        <v>25569.375</v>
      </c>
      <c r="N370" s="50" t="s">
        <v>168</v>
      </c>
      <c r="O370" s="50" t="s">
        <v>471</v>
      </c>
      <c r="P370" s="50" t="s">
        <v>2213</v>
      </c>
      <c r="Q370" s="55" t="s">
        <v>2214</v>
      </c>
      <c r="R370" s="55">
        <v>73033828</v>
      </c>
      <c r="S370" s="53">
        <f>IF(ISNUMBER(M370), EDATE(M370,36)-1, "")</f>
        <v>25569.375</v>
      </c>
      <c r="T370" s="50"/>
      <c r="U370" s="50"/>
      <c r="V370" s="48" t="s">
        <v>2218</v>
      </c>
      <c r="W370" s="50"/>
      <c r="X370" s="50"/>
      <c r="Y370" s="56"/>
      <c r="Z370" s="56"/>
      <c r="AA370" s="56"/>
      <c r="AB370" s="56"/>
      <c r="AC370" s="56"/>
      <c r="AD370" s="56"/>
    </row>
    <row x14ac:dyDescent="0.25" r="371" customHeight="1" ht="18.75" hidden="1">
      <c r="A371" s="63"/>
      <c r="B371" s="63"/>
      <c r="C371" s="49" t="s">
        <v>16</v>
      </c>
      <c r="D371" s="49" t="s">
        <v>454</v>
      </c>
      <c r="E371" s="49" t="s">
        <v>574</v>
      </c>
      <c r="F371" s="49" t="s">
        <v>1377</v>
      </c>
      <c r="G371" s="64">
        <v>10000000</v>
      </c>
      <c r="H371" s="64"/>
      <c r="I371" s="64"/>
      <c r="J371" s="65">
        <f>IF(G371&gt;0,_xludf.IFS(G371=10000000,800000,G371=20000000,1528000,G371=30000000,2028000,G371=60000000,4056000),"")</f>
      </c>
      <c r="K371" s="64"/>
      <c r="L371" s="66">
        <v>46147</v>
      </c>
      <c r="M371" s="67">
        <f>IF(L371&gt;0,EDATE(L371,-2),"")</f>
        <v>25569.375</v>
      </c>
      <c r="N371" s="49" t="s">
        <v>212</v>
      </c>
      <c r="O371" s="49" t="s">
        <v>1378</v>
      </c>
      <c r="P371" s="68">
        <f>IF(F371&gt;0,F371,"")</f>
      </c>
      <c r="Q371" s="69" t="s">
        <v>1379</v>
      </c>
      <c r="R371" s="69">
        <v>56569321</v>
      </c>
      <c r="S371" s="67">
        <f>IF(ISNUMBER(M371), EDATE(M371,36)-1, "")</f>
        <v>25569.375</v>
      </c>
      <c r="T371" s="49"/>
      <c r="U371" s="49"/>
      <c r="V371" s="63"/>
      <c r="W371" s="50"/>
      <c r="X371" s="50"/>
      <c r="Y371" s="56"/>
      <c r="Z371" s="56"/>
      <c r="AA371" s="56"/>
      <c r="AB371" s="56"/>
      <c r="AC371" s="56"/>
      <c r="AD371" s="56"/>
    </row>
    <row x14ac:dyDescent="0.25" r="372" customHeight="1" ht="18.75" hidden="1">
      <c r="A372" s="56"/>
      <c r="B372" s="56"/>
      <c r="C372" s="50" t="s">
        <v>16</v>
      </c>
      <c r="D372" s="50" t="s">
        <v>143</v>
      </c>
      <c r="E372" s="50" t="s">
        <v>14</v>
      </c>
      <c r="F372" s="50" t="s">
        <v>1380</v>
      </c>
      <c r="G372" s="55">
        <v>10000000</v>
      </c>
      <c r="H372" s="55"/>
      <c r="I372" s="55"/>
      <c r="J372" s="51">
        <v>500000</v>
      </c>
      <c r="K372" s="51"/>
      <c r="L372" s="52">
        <v>46154</v>
      </c>
      <c r="M372" s="53">
        <v>46093</v>
      </c>
      <c r="N372" s="50" t="s">
        <v>168</v>
      </c>
      <c r="O372" s="50" t="s">
        <v>1381</v>
      </c>
      <c r="P372" s="50" t="s">
        <v>1380</v>
      </c>
      <c r="Q372" s="55" t="s">
        <v>1382</v>
      </c>
      <c r="R372" s="55" t="s">
        <v>1383</v>
      </c>
      <c r="S372" s="53">
        <v>47188</v>
      </c>
      <c r="T372" s="50" t="s">
        <v>1384</v>
      </c>
      <c r="U372" s="50" t="s">
        <v>166</v>
      </c>
      <c r="V372" s="56" t="s">
        <v>772</v>
      </c>
      <c r="W372" s="50"/>
      <c r="X372" s="50"/>
      <c r="Y372" s="56"/>
      <c r="Z372" s="56"/>
      <c r="AA372" s="56"/>
      <c r="AB372" s="56"/>
      <c r="AC372" s="56"/>
      <c r="AD372" s="56"/>
    </row>
    <row x14ac:dyDescent="0.25" r="373" customHeight="1" ht="18.75">
      <c r="A373" s="56"/>
      <c r="B373" s="56"/>
      <c r="C373" s="50" t="s">
        <v>16</v>
      </c>
      <c r="D373" s="50"/>
      <c r="E373" s="50"/>
      <c r="F373" s="50" t="s">
        <v>2446</v>
      </c>
      <c r="G373" s="55">
        <v>60000000</v>
      </c>
      <c r="H373" s="55"/>
      <c r="I373" s="55"/>
      <c r="J373" s="51">
        <v>3000000</v>
      </c>
      <c r="K373" s="51"/>
      <c r="L373" s="52">
        <v>46188</v>
      </c>
      <c r="M373" s="53">
        <v>46127</v>
      </c>
      <c r="N373" s="50" t="s">
        <v>161</v>
      </c>
      <c r="O373" s="50" t="s">
        <v>2447</v>
      </c>
      <c r="P373" s="50" t="s">
        <v>2446</v>
      </c>
      <c r="Q373" s="55" t="s">
        <v>2448</v>
      </c>
      <c r="R373" s="55" t="s">
        <v>2449</v>
      </c>
      <c r="S373" s="53">
        <v>47222</v>
      </c>
      <c r="T373" s="50" t="s">
        <v>2450</v>
      </c>
      <c r="U373" s="50" t="s">
        <v>166</v>
      </c>
      <c r="V373" s="56"/>
      <c r="W373" s="50"/>
      <c r="X373" s="50"/>
      <c r="Y373" s="56"/>
      <c r="Z373" s="56"/>
      <c r="AA373" s="56"/>
      <c r="AB373" s="56"/>
      <c r="AC373" s="56"/>
      <c r="AD373" s="56"/>
    </row>
    <row x14ac:dyDescent="0.25" r="374" customHeight="1" ht="18.75" hidden="1">
      <c r="A374" s="56"/>
      <c r="B374" s="56"/>
      <c r="C374" s="50" t="s">
        <v>16</v>
      </c>
      <c r="D374" s="50"/>
      <c r="E374" s="50"/>
      <c r="F374" s="50" t="s">
        <v>1385</v>
      </c>
      <c r="G374" s="55">
        <v>10000000</v>
      </c>
      <c r="H374" s="55"/>
      <c r="I374" s="55"/>
      <c r="J374" s="51">
        <v>800000</v>
      </c>
      <c r="K374" s="51"/>
      <c r="L374" s="52">
        <v>45930</v>
      </c>
      <c r="M374" s="53">
        <v>45848</v>
      </c>
      <c r="N374" s="50" t="s">
        <v>306</v>
      </c>
      <c r="O374" s="50" t="s">
        <v>1386</v>
      </c>
      <c r="P374" s="50" t="s">
        <v>1385</v>
      </c>
      <c r="Q374" s="55" t="s">
        <v>1387</v>
      </c>
      <c r="R374" s="55" t="s">
        <v>1388</v>
      </c>
      <c r="S374" s="53">
        <v>46943</v>
      </c>
      <c r="T374" s="50"/>
      <c r="U374" s="50"/>
      <c r="V374" s="56"/>
      <c r="W374" s="50"/>
      <c r="X374" s="50"/>
      <c r="Y374" s="56"/>
      <c r="Z374" s="56"/>
      <c r="AA374" s="56"/>
      <c r="AB374" s="56"/>
      <c r="AC374" s="56"/>
      <c r="AD374" s="56"/>
    </row>
    <row x14ac:dyDescent="0.25" r="375" customHeight="1" ht="18.75" hidden="1">
      <c r="A375" s="56"/>
      <c r="B375" s="56"/>
      <c r="C375" s="50" t="s">
        <v>16</v>
      </c>
      <c r="D375" s="50"/>
      <c r="E375" s="50"/>
      <c r="F375" s="50" t="s">
        <v>1389</v>
      </c>
      <c r="G375" s="55">
        <v>30000000</v>
      </c>
      <c r="H375" s="55"/>
      <c r="I375" s="55"/>
      <c r="J375" s="51">
        <v>2400000</v>
      </c>
      <c r="K375" s="51"/>
      <c r="L375" s="52">
        <v>46090</v>
      </c>
      <c r="M375" s="53">
        <v>46022</v>
      </c>
      <c r="N375" s="50" t="s">
        <v>302</v>
      </c>
      <c r="O375" s="50" t="s">
        <v>1390</v>
      </c>
      <c r="P375" s="50" t="s">
        <v>1389</v>
      </c>
      <c r="Q375" s="55" t="s">
        <v>1391</v>
      </c>
      <c r="R375" s="55" t="s">
        <v>1392</v>
      </c>
      <c r="S375" s="53">
        <v>46760</v>
      </c>
      <c r="T375" s="50"/>
      <c r="U375" s="50"/>
      <c r="V375" s="56"/>
      <c r="W375" s="50"/>
      <c r="X375" s="50"/>
      <c r="Y375" s="56"/>
      <c r="Z375" s="56"/>
      <c r="AA375" s="56"/>
      <c r="AB375" s="56"/>
      <c r="AC375" s="56"/>
      <c r="AD375" s="56"/>
    </row>
    <row x14ac:dyDescent="0.25" r="376" customHeight="1" ht="18.75" hidden="1">
      <c r="A376" s="56"/>
      <c r="B376" s="56"/>
      <c r="C376" s="50" t="s">
        <v>16</v>
      </c>
      <c r="D376" s="50"/>
      <c r="E376" s="50"/>
      <c r="F376" s="50" t="s">
        <v>3284</v>
      </c>
      <c r="G376" s="51">
        <v>60000000</v>
      </c>
      <c r="H376" s="51"/>
      <c r="I376" s="51"/>
      <c r="J376" s="51">
        <v>4800000</v>
      </c>
      <c r="K376" s="51"/>
      <c r="L376" s="52">
        <v>45841</v>
      </c>
      <c r="M376" s="53">
        <f>IF(L376&gt;0,EDATE(L376,-2),"")</f>
        <v>25569.375</v>
      </c>
      <c r="N376" s="50" t="s">
        <v>168</v>
      </c>
      <c r="O376" s="50" t="s">
        <v>3285</v>
      </c>
      <c r="P376" s="54">
        <f>IF(F376&gt;0,F376,"")</f>
      </c>
      <c r="Q376" s="55">
        <v>6703131890211</v>
      </c>
      <c r="R376" s="55">
        <v>42652655</v>
      </c>
      <c r="S376" s="53">
        <f>IF(ISNUMBER(M376), EDATE(M376,36)-1, "")</f>
        <v>25569.375</v>
      </c>
      <c r="T376" s="50"/>
      <c r="U376" s="50"/>
      <c r="V376" s="56"/>
      <c r="W376" s="50"/>
      <c r="X376" s="50"/>
      <c r="Y376" s="56"/>
      <c r="Z376" s="56"/>
      <c r="AA376" s="56"/>
      <c r="AB376" s="56"/>
      <c r="AC376" s="56"/>
      <c r="AD376" s="56"/>
    </row>
    <row x14ac:dyDescent="0.25" r="377" customHeight="1" ht="18.75" hidden="1">
      <c r="A377" s="48" t="s">
        <v>1133</v>
      </c>
      <c r="B377" s="48"/>
      <c r="C377" s="50" t="s">
        <v>16</v>
      </c>
      <c r="D377" s="50"/>
      <c r="E377" s="50"/>
      <c r="F377" s="50" t="s">
        <v>1393</v>
      </c>
      <c r="G377" s="55">
        <v>30000000</v>
      </c>
      <c r="H377" s="55"/>
      <c r="I377" s="55"/>
      <c r="J377" s="51">
        <v>2028000</v>
      </c>
      <c r="K377" s="51"/>
      <c r="L377" s="52">
        <v>46043</v>
      </c>
      <c r="M377" s="53">
        <v>45982</v>
      </c>
      <c r="N377" s="50" t="s">
        <v>217</v>
      </c>
      <c r="O377" s="50" t="s">
        <v>1394</v>
      </c>
      <c r="P377" s="50" t="s">
        <v>1393</v>
      </c>
      <c r="Q377" s="55" t="s">
        <v>1395</v>
      </c>
      <c r="R377" s="55" t="s">
        <v>1396</v>
      </c>
      <c r="S377" s="53">
        <v>47077</v>
      </c>
      <c r="T377" s="50"/>
      <c r="U377" s="50"/>
      <c r="V377" s="56"/>
      <c r="W377" s="50"/>
      <c r="X377" s="50"/>
      <c r="Y377" s="56"/>
      <c r="Z377" s="56"/>
      <c r="AA377" s="56"/>
      <c r="AB377" s="56"/>
      <c r="AC377" s="56"/>
      <c r="AD377" s="56"/>
    </row>
    <row x14ac:dyDescent="0.25" r="378" customHeight="1" ht="18.75">
      <c r="A378" s="48" t="s">
        <v>63</v>
      </c>
      <c r="B378" s="48"/>
      <c r="C378" s="49" t="s">
        <v>16</v>
      </c>
      <c r="D378" s="50" t="s">
        <v>116</v>
      </c>
      <c r="E378" s="50" t="s">
        <v>117</v>
      </c>
      <c r="F378" s="50" t="s">
        <v>118</v>
      </c>
      <c r="G378" s="51">
        <v>20000000</v>
      </c>
      <c r="H378" s="51"/>
      <c r="I378" s="51"/>
      <c r="J378" s="87">
        <f>IF(G378&gt;0,_xludf.IFS(G378=10000000,800000,G378=20000000,1528000,G378=30000000,2028000,G378=60000000,4056000),"")</f>
      </c>
      <c r="K378" s="51"/>
      <c r="L378" s="52">
        <v>46188</v>
      </c>
      <c r="M378" s="53">
        <f>IF(L378&gt;0,EDATE(L378,-2),"")</f>
        <v>25569.375</v>
      </c>
      <c r="N378" s="50" t="s">
        <v>217</v>
      </c>
      <c r="O378" s="50" t="s">
        <v>2498</v>
      </c>
      <c r="P378" s="54">
        <f>IF(F378&gt;0,F378,"")</f>
      </c>
      <c r="Q378" s="55" t="s">
        <v>2499</v>
      </c>
      <c r="R378" s="55" t="s">
        <v>2500</v>
      </c>
      <c r="S378" s="53">
        <f>IF(ISNUMBER(M378), EDATE(M378,36)-1, "")</f>
        <v>25569.375</v>
      </c>
      <c r="T378" s="50"/>
      <c r="U378" s="50"/>
      <c r="V378" s="56"/>
      <c r="W378" s="50"/>
      <c r="X378" s="50"/>
      <c r="Y378" s="56"/>
      <c r="Z378" s="56"/>
      <c r="AA378" s="56"/>
      <c r="AB378" s="56"/>
      <c r="AC378" s="56"/>
      <c r="AD378" s="56"/>
    </row>
    <row x14ac:dyDescent="0.25" r="379" customHeight="1" ht="18.75">
      <c r="A379" s="56"/>
      <c r="B379" s="56"/>
      <c r="C379" s="50" t="s">
        <v>16</v>
      </c>
      <c r="D379" s="50"/>
      <c r="E379" s="50"/>
      <c r="F379" s="50" t="s">
        <v>160</v>
      </c>
      <c r="G379" s="55">
        <v>10000000</v>
      </c>
      <c r="H379" s="55"/>
      <c r="I379" s="55"/>
      <c r="J379" s="51">
        <v>800000</v>
      </c>
      <c r="K379" s="51"/>
      <c r="L379" s="52">
        <v>46190</v>
      </c>
      <c r="M379" s="53">
        <v>46129</v>
      </c>
      <c r="N379" s="50" t="s">
        <v>161</v>
      </c>
      <c r="O379" s="50" t="s">
        <v>162</v>
      </c>
      <c r="P379" s="50" t="s">
        <v>160</v>
      </c>
      <c r="Q379" s="55" t="s">
        <v>163</v>
      </c>
      <c r="R379" s="55" t="s">
        <v>164</v>
      </c>
      <c r="S379" s="53">
        <v>47224</v>
      </c>
      <c r="T379" s="50" t="s">
        <v>165</v>
      </c>
      <c r="U379" s="50" t="s">
        <v>166</v>
      </c>
      <c r="V379" s="56"/>
      <c r="W379" s="50" t="s">
        <v>3238</v>
      </c>
      <c r="X379" s="50" t="s">
        <v>3238</v>
      </c>
      <c r="Y379" s="56"/>
      <c r="Z379" s="56"/>
      <c r="AA379" s="56"/>
      <c r="AB379" s="56"/>
      <c r="AC379" s="56"/>
      <c r="AD379" s="56"/>
    </row>
    <row x14ac:dyDescent="0.25" r="380" customHeight="1" ht="18.75" hidden="1">
      <c r="A380" s="56"/>
      <c r="B380" s="56"/>
      <c r="C380" s="50" t="s">
        <v>16</v>
      </c>
      <c r="D380" s="50"/>
      <c r="E380" s="50"/>
      <c r="F380" s="50" t="s">
        <v>1403</v>
      </c>
      <c r="G380" s="55">
        <v>60000000</v>
      </c>
      <c r="H380" s="55"/>
      <c r="I380" s="55"/>
      <c r="J380" s="51">
        <v>4800000</v>
      </c>
      <c r="K380" s="51"/>
      <c r="L380" s="52">
        <v>45988</v>
      </c>
      <c r="M380" s="53">
        <v>45931</v>
      </c>
      <c r="N380" s="50" t="s">
        <v>217</v>
      </c>
      <c r="O380" s="50" t="s">
        <v>1404</v>
      </c>
      <c r="P380" s="50" t="s">
        <v>1403</v>
      </c>
      <c r="Q380" s="55" t="s">
        <v>1405</v>
      </c>
      <c r="R380" s="55" t="s">
        <v>1406</v>
      </c>
      <c r="S380" s="53">
        <v>47022</v>
      </c>
      <c r="T380" s="50"/>
      <c r="U380" s="50"/>
      <c r="V380" s="56"/>
      <c r="W380" s="50"/>
      <c r="X380" s="50"/>
      <c r="Y380" s="56"/>
      <c r="Z380" s="56"/>
      <c r="AA380" s="56"/>
      <c r="AB380" s="56"/>
      <c r="AC380" s="56"/>
      <c r="AD380" s="56"/>
    </row>
    <row x14ac:dyDescent="0.25" r="381" customHeight="1" ht="18.75">
      <c r="A381" s="56"/>
      <c r="B381" s="56"/>
      <c r="C381" s="50" t="s">
        <v>16</v>
      </c>
      <c r="D381" s="50" t="s">
        <v>80</v>
      </c>
      <c r="E381" s="50" t="s">
        <v>172</v>
      </c>
      <c r="F381" s="50" t="s">
        <v>173</v>
      </c>
      <c r="G381" s="55">
        <v>20000000</v>
      </c>
      <c r="H381" s="55"/>
      <c r="I381" s="55"/>
      <c r="J381" s="51">
        <v>1528000</v>
      </c>
      <c r="K381" s="51"/>
      <c r="L381" s="52">
        <v>46190</v>
      </c>
      <c r="M381" s="53">
        <v>46129</v>
      </c>
      <c r="N381" s="50" t="s">
        <v>174</v>
      </c>
      <c r="O381" s="50" t="s">
        <v>175</v>
      </c>
      <c r="P381" s="50" t="s">
        <v>173</v>
      </c>
      <c r="Q381" s="55" t="s">
        <v>176</v>
      </c>
      <c r="R381" s="55" t="s">
        <v>177</v>
      </c>
      <c r="S381" s="53">
        <v>47224</v>
      </c>
      <c r="T381" s="50" t="s">
        <v>178</v>
      </c>
      <c r="U381" s="50" t="s">
        <v>179</v>
      </c>
      <c r="V381" s="48" t="s">
        <v>180</v>
      </c>
      <c r="W381" s="50"/>
      <c r="X381" s="50"/>
      <c r="Y381" s="56"/>
      <c r="Z381" s="56"/>
      <c r="AA381" s="56"/>
      <c r="AB381" s="56"/>
      <c r="AC381" s="56"/>
      <c r="AD381" s="56"/>
    </row>
    <row x14ac:dyDescent="0.25" r="382" customHeight="1" ht="18.75">
      <c r="A382" s="56"/>
      <c r="B382" s="56"/>
      <c r="C382" s="50" t="s">
        <v>16</v>
      </c>
      <c r="D382" s="50"/>
      <c r="E382" s="50" t="s">
        <v>22</v>
      </c>
      <c r="F382" s="50" t="s">
        <v>1214</v>
      </c>
      <c r="G382" s="55">
        <v>20000000</v>
      </c>
      <c r="H382" s="55"/>
      <c r="I382" s="55"/>
      <c r="J382" s="51">
        <v>1528000</v>
      </c>
      <c r="K382" s="51"/>
      <c r="L382" s="52">
        <v>46190</v>
      </c>
      <c r="M382" s="53">
        <v>46129</v>
      </c>
      <c r="N382" s="50" t="s">
        <v>161</v>
      </c>
      <c r="O382" s="50" t="s">
        <v>1215</v>
      </c>
      <c r="P382" s="50" t="s">
        <v>1214</v>
      </c>
      <c r="Q382" s="55" t="s">
        <v>1216</v>
      </c>
      <c r="R382" s="55" t="s">
        <v>1217</v>
      </c>
      <c r="S382" s="53">
        <v>47224</v>
      </c>
      <c r="T382" s="50" t="s">
        <v>1218</v>
      </c>
      <c r="U382" s="50" t="s">
        <v>166</v>
      </c>
      <c r="V382" s="56"/>
      <c r="W382" s="50"/>
      <c r="X382" s="50"/>
      <c r="Y382" s="56"/>
      <c r="Z382" s="56"/>
      <c r="AA382" s="56"/>
      <c r="AB382" s="56"/>
      <c r="AC382" s="56"/>
      <c r="AD382" s="56"/>
    </row>
    <row x14ac:dyDescent="0.25" r="383" customHeight="1" ht="18.75">
      <c r="A383" s="56"/>
      <c r="B383" s="56"/>
      <c r="C383" s="50" t="s">
        <v>16</v>
      </c>
      <c r="D383" s="50" t="s">
        <v>627</v>
      </c>
      <c r="E383" s="50" t="s">
        <v>373</v>
      </c>
      <c r="F383" s="50" t="s">
        <v>1403</v>
      </c>
      <c r="G383" s="55">
        <v>10000000</v>
      </c>
      <c r="H383" s="55"/>
      <c r="I383" s="55"/>
      <c r="J383" s="51">
        <v>800000</v>
      </c>
      <c r="K383" s="51"/>
      <c r="L383" s="52">
        <v>46190</v>
      </c>
      <c r="M383" s="53">
        <v>46129</v>
      </c>
      <c r="N383" s="50" t="s">
        <v>205</v>
      </c>
      <c r="O383" s="50" t="s">
        <v>1407</v>
      </c>
      <c r="P383" s="50" t="s">
        <v>1403</v>
      </c>
      <c r="Q383" s="55" t="s">
        <v>1408</v>
      </c>
      <c r="R383" s="55" t="s">
        <v>1407</v>
      </c>
      <c r="S383" s="53">
        <v>47224</v>
      </c>
      <c r="T383" s="50" t="s">
        <v>1409</v>
      </c>
      <c r="U383" s="50" t="s">
        <v>166</v>
      </c>
      <c r="V383" s="56"/>
      <c r="W383" s="50"/>
      <c r="X383" s="50"/>
      <c r="Y383" s="56"/>
      <c r="Z383" s="56"/>
      <c r="AA383" s="56"/>
      <c r="AB383" s="56"/>
      <c r="AC383" s="56"/>
      <c r="AD383" s="56"/>
    </row>
    <row x14ac:dyDescent="0.25" r="384" customHeight="1" ht="18.75" hidden="1">
      <c r="A384" s="56"/>
      <c r="B384" s="56"/>
      <c r="C384" s="50" t="s">
        <v>16</v>
      </c>
      <c r="D384" s="50"/>
      <c r="E384" s="50"/>
      <c r="F384" s="50" t="s">
        <v>1413</v>
      </c>
      <c r="G384" s="55">
        <v>20000000</v>
      </c>
      <c r="H384" s="55"/>
      <c r="I384" s="55"/>
      <c r="J384" s="51">
        <v>1528000</v>
      </c>
      <c r="K384" s="51"/>
      <c r="L384" s="52">
        <v>46090</v>
      </c>
      <c r="M384" s="53">
        <v>46022</v>
      </c>
      <c r="N384" s="50" t="s">
        <v>217</v>
      </c>
      <c r="O384" s="50" t="s">
        <v>1414</v>
      </c>
      <c r="P384" s="50" t="s">
        <v>1413</v>
      </c>
      <c r="Q384" s="55" t="s">
        <v>1415</v>
      </c>
      <c r="R384" s="55" t="s">
        <v>1416</v>
      </c>
      <c r="S384" s="53">
        <v>47126</v>
      </c>
      <c r="T384" s="50"/>
      <c r="U384" s="50"/>
      <c r="V384" s="56"/>
      <c r="W384" s="50"/>
      <c r="X384" s="50"/>
      <c r="Y384" s="56"/>
      <c r="Z384" s="56"/>
      <c r="AA384" s="56"/>
      <c r="AB384" s="56"/>
      <c r="AC384" s="56"/>
      <c r="AD384" s="56"/>
    </row>
    <row x14ac:dyDescent="0.25" r="385" customHeight="1" ht="18.75" hidden="1">
      <c r="A385" s="56"/>
      <c r="B385" s="56"/>
      <c r="C385" s="50" t="s">
        <v>16</v>
      </c>
      <c r="D385" s="50"/>
      <c r="E385" s="50"/>
      <c r="F385" s="50" t="s">
        <v>1417</v>
      </c>
      <c r="G385" s="55">
        <v>10000000</v>
      </c>
      <c r="H385" s="55"/>
      <c r="I385" s="55"/>
      <c r="J385" s="51">
        <v>800000</v>
      </c>
      <c r="K385" s="51"/>
      <c r="L385" s="52">
        <v>46071</v>
      </c>
      <c r="M385" s="53">
        <v>46009</v>
      </c>
      <c r="N385" s="50" t="s">
        <v>168</v>
      </c>
      <c r="O385" s="50" t="s">
        <v>1418</v>
      </c>
      <c r="P385" s="50" t="s">
        <v>1417</v>
      </c>
      <c r="Q385" s="55" t="s">
        <v>1419</v>
      </c>
      <c r="R385" s="55" t="s">
        <v>1420</v>
      </c>
      <c r="S385" s="53">
        <v>47104</v>
      </c>
      <c r="T385" s="50"/>
      <c r="U385" s="50"/>
      <c r="V385" s="56"/>
      <c r="W385" s="50"/>
      <c r="X385" s="50"/>
      <c r="Y385" s="56"/>
      <c r="Z385" s="56"/>
      <c r="AA385" s="56"/>
      <c r="AB385" s="56"/>
      <c r="AC385" s="56"/>
      <c r="AD385" s="56"/>
    </row>
    <row x14ac:dyDescent="0.25" r="386" customHeight="1" ht="18.75">
      <c r="A386" s="56"/>
      <c r="B386" s="56"/>
      <c r="C386" s="49" t="s">
        <v>16</v>
      </c>
      <c r="D386" s="50" t="s">
        <v>410</v>
      </c>
      <c r="E386" s="50" t="s">
        <v>411</v>
      </c>
      <c r="F386" s="50" t="s">
        <v>1599</v>
      </c>
      <c r="G386" s="51">
        <v>10000000</v>
      </c>
      <c r="H386" s="51"/>
      <c r="I386" s="51"/>
      <c r="J386" s="87">
        <f>IF(G386&gt;0,_xludf.IFS(G386=10000000,1200000,G386=20000000,1800000,G386=30000000,2400000,G386=60000000,4000000),"")</f>
      </c>
      <c r="K386" s="51"/>
      <c r="L386" s="52">
        <v>46190</v>
      </c>
      <c r="M386" s="53">
        <f>IF(L386&gt;0,EDATE(L386,-2),"")</f>
        <v>25569.375</v>
      </c>
      <c r="N386" s="50" t="s">
        <v>217</v>
      </c>
      <c r="O386" s="50" t="s">
        <v>1600</v>
      </c>
      <c r="P386" s="54">
        <f>IF(F386&gt;0,F386,"")</f>
      </c>
      <c r="Q386" s="55">
        <v>303224041529</v>
      </c>
      <c r="R386" s="55">
        <v>83003530</v>
      </c>
      <c r="S386" s="53">
        <f>IF(ISNUMBER(M386), EDATE(M386,36)-1, "")</f>
        <v>25569.375</v>
      </c>
      <c r="T386" s="50"/>
      <c r="U386" s="50"/>
      <c r="V386" s="56"/>
      <c r="W386" s="50"/>
      <c r="X386" s="50"/>
      <c r="Y386" s="56"/>
      <c r="Z386" s="56"/>
      <c r="AA386" s="56"/>
      <c r="AB386" s="56"/>
      <c r="AC386" s="56"/>
      <c r="AD386" s="56"/>
    </row>
    <row x14ac:dyDescent="0.25" r="387" customHeight="1" ht="18.75" hidden="1">
      <c r="A387" s="56"/>
      <c r="B387" s="56"/>
      <c r="C387" s="50" t="s">
        <v>16</v>
      </c>
      <c r="D387" s="50"/>
      <c r="E387" s="50"/>
      <c r="F387" s="50" t="s">
        <v>1425</v>
      </c>
      <c r="G387" s="55">
        <v>10000000</v>
      </c>
      <c r="H387" s="55"/>
      <c r="I387" s="55"/>
      <c r="J387" s="51">
        <v>800000</v>
      </c>
      <c r="K387" s="51"/>
      <c r="L387" s="52">
        <v>46061</v>
      </c>
      <c r="M387" s="53">
        <v>45999</v>
      </c>
      <c r="N387" s="50" t="s">
        <v>239</v>
      </c>
      <c r="O387" s="50" t="s">
        <v>1426</v>
      </c>
      <c r="P387" s="50" t="s">
        <v>1425</v>
      </c>
      <c r="Q387" s="55" t="s">
        <v>1427</v>
      </c>
      <c r="R387" s="55" t="s">
        <v>1428</v>
      </c>
      <c r="S387" s="53">
        <v>47094</v>
      </c>
      <c r="T387" s="50"/>
      <c r="U387" s="50"/>
      <c r="V387" s="56"/>
      <c r="W387" s="50"/>
      <c r="X387" s="50"/>
      <c r="Y387" s="56"/>
      <c r="Z387" s="56"/>
      <c r="AA387" s="56"/>
      <c r="AB387" s="56"/>
      <c r="AC387" s="56"/>
      <c r="AD387" s="56"/>
    </row>
    <row x14ac:dyDescent="0.25" r="388" customHeight="1" ht="18.75" hidden="1">
      <c r="A388" s="56"/>
      <c r="B388" s="56"/>
      <c r="C388" s="50" t="s">
        <v>13</v>
      </c>
      <c r="D388" s="50"/>
      <c r="E388" s="50"/>
      <c r="F388" s="50" t="s">
        <v>1429</v>
      </c>
      <c r="G388" s="55">
        <v>20000000</v>
      </c>
      <c r="H388" s="55"/>
      <c r="I388" s="55"/>
      <c r="J388" s="51">
        <v>1650000</v>
      </c>
      <c r="K388" s="51"/>
      <c r="L388" s="52">
        <v>45778</v>
      </c>
      <c r="M388" s="53">
        <v>45717</v>
      </c>
      <c r="N388" s="50" t="s">
        <v>239</v>
      </c>
      <c r="O388" s="50" t="s">
        <v>1430</v>
      </c>
      <c r="P388" s="50" t="s">
        <v>1429</v>
      </c>
      <c r="Q388" s="55" t="s">
        <v>1431</v>
      </c>
      <c r="R388" s="55" t="s">
        <v>1432</v>
      </c>
      <c r="S388" s="53">
        <v>46812</v>
      </c>
      <c r="T388" s="50"/>
      <c r="U388" s="50"/>
      <c r="V388" s="56"/>
      <c r="W388" s="50"/>
      <c r="X388" s="50"/>
      <c r="Y388" s="56"/>
      <c r="Z388" s="56"/>
      <c r="AA388" s="56"/>
      <c r="AB388" s="56"/>
      <c r="AC388" s="56"/>
      <c r="AD388" s="56"/>
    </row>
    <row x14ac:dyDescent="0.25" r="389" customHeight="1" ht="18.75" hidden="1">
      <c r="A389" s="48" t="s">
        <v>1433</v>
      </c>
      <c r="B389" s="48"/>
      <c r="C389" s="50" t="s">
        <v>1434</v>
      </c>
      <c r="D389" s="50"/>
      <c r="E389" s="50"/>
      <c r="F389" s="50" t="s">
        <v>1429</v>
      </c>
      <c r="G389" s="55">
        <v>10000000</v>
      </c>
      <c r="H389" s="55"/>
      <c r="I389" s="55"/>
      <c r="J389" s="51">
        <v>900000</v>
      </c>
      <c r="K389" s="51"/>
      <c r="L389" s="52">
        <v>45838</v>
      </c>
      <c r="M389" s="53">
        <v>45777</v>
      </c>
      <c r="N389" s="50" t="s">
        <v>239</v>
      </c>
      <c r="O389" s="50" t="s">
        <v>1430</v>
      </c>
      <c r="P389" s="50" t="s">
        <v>1429</v>
      </c>
      <c r="Q389" s="55" t="s">
        <v>1431</v>
      </c>
      <c r="R389" s="55" t="s">
        <v>1432</v>
      </c>
      <c r="S389" s="53">
        <v>46872</v>
      </c>
      <c r="T389" s="50"/>
      <c r="U389" s="50"/>
      <c r="V389" s="56"/>
      <c r="W389" s="50"/>
      <c r="X389" s="50"/>
      <c r="Y389" s="56"/>
      <c r="Z389" s="56"/>
      <c r="AA389" s="56"/>
      <c r="AB389" s="56"/>
      <c r="AC389" s="56"/>
      <c r="AD389" s="56"/>
    </row>
    <row x14ac:dyDescent="0.25" r="390" customHeight="1" ht="18.75" hidden="1">
      <c r="A390" s="56"/>
      <c r="B390" s="56"/>
      <c r="C390" s="50" t="s">
        <v>16</v>
      </c>
      <c r="D390" s="50"/>
      <c r="E390" s="50"/>
      <c r="F390" s="50" t="s">
        <v>1429</v>
      </c>
      <c r="G390" s="55">
        <v>30000000</v>
      </c>
      <c r="H390" s="55"/>
      <c r="I390" s="55"/>
      <c r="J390" s="51">
        <v>2400000</v>
      </c>
      <c r="K390" s="51"/>
      <c r="L390" s="52">
        <v>45871</v>
      </c>
      <c r="M390" s="53">
        <v>45810</v>
      </c>
      <c r="N390" s="50" t="s">
        <v>239</v>
      </c>
      <c r="O390" s="50" t="s">
        <v>1430</v>
      </c>
      <c r="P390" s="50" t="s">
        <v>1429</v>
      </c>
      <c r="Q390" s="55" t="s">
        <v>1431</v>
      </c>
      <c r="R390" s="55" t="s">
        <v>1432</v>
      </c>
      <c r="S390" s="53">
        <v>46905</v>
      </c>
      <c r="T390" s="50"/>
      <c r="U390" s="50"/>
      <c r="V390" s="56"/>
      <c r="W390" s="50"/>
      <c r="X390" s="50"/>
      <c r="Y390" s="56"/>
      <c r="Z390" s="56"/>
      <c r="AA390" s="56"/>
      <c r="AB390" s="56"/>
      <c r="AC390" s="56"/>
      <c r="AD390" s="56"/>
    </row>
    <row x14ac:dyDescent="0.25" r="391" customHeight="1" ht="18.75" hidden="1">
      <c r="A391" s="48" t="s">
        <v>1133</v>
      </c>
      <c r="B391" s="48"/>
      <c r="C391" s="50" t="s">
        <v>16</v>
      </c>
      <c r="D391" s="50"/>
      <c r="E391" s="50"/>
      <c r="F391" s="50" t="s">
        <v>1429</v>
      </c>
      <c r="G391" s="55">
        <v>60000000</v>
      </c>
      <c r="H391" s="55"/>
      <c r="I391" s="55"/>
      <c r="J391" s="51">
        <v>4800000</v>
      </c>
      <c r="K391" s="51"/>
      <c r="L391" s="52">
        <v>46031</v>
      </c>
      <c r="M391" s="53">
        <v>45970</v>
      </c>
      <c r="N391" s="50" t="s">
        <v>217</v>
      </c>
      <c r="O391" s="50" t="s">
        <v>1437</v>
      </c>
      <c r="P391" s="50" t="s">
        <v>1429</v>
      </c>
      <c r="Q391" s="55" t="s">
        <v>1431</v>
      </c>
      <c r="R391" s="55" t="s">
        <v>1432</v>
      </c>
      <c r="S391" s="53">
        <v>47065</v>
      </c>
      <c r="T391" s="50"/>
      <c r="U391" s="50"/>
      <c r="V391" s="56"/>
      <c r="W391" s="50"/>
      <c r="X391" s="50"/>
      <c r="Y391" s="56"/>
      <c r="Z391" s="56"/>
      <c r="AA391" s="56"/>
      <c r="AB391" s="56"/>
      <c r="AC391" s="56"/>
      <c r="AD391" s="56"/>
    </row>
    <row x14ac:dyDescent="0.25" r="392" customHeight="1" ht="18.75" hidden="1">
      <c r="A392" s="56"/>
      <c r="B392" s="56"/>
      <c r="C392" s="50" t="s">
        <v>13</v>
      </c>
      <c r="D392" s="50"/>
      <c r="E392" s="50"/>
      <c r="F392" s="50" t="s">
        <v>1436</v>
      </c>
      <c r="G392" s="55">
        <v>30000000</v>
      </c>
      <c r="H392" s="55"/>
      <c r="I392" s="55"/>
      <c r="J392" s="51">
        <v>2400000</v>
      </c>
      <c r="K392" s="51"/>
      <c r="L392" s="52">
        <v>45778</v>
      </c>
      <c r="M392" s="53">
        <v>45717</v>
      </c>
      <c r="N392" s="50" t="s">
        <v>217</v>
      </c>
      <c r="O392" s="50" t="s">
        <v>1438</v>
      </c>
      <c r="P392" s="50" t="s">
        <v>1436</v>
      </c>
      <c r="Q392" s="55" t="s">
        <v>1439</v>
      </c>
      <c r="R392" s="55" t="s">
        <v>1440</v>
      </c>
      <c r="S392" s="53">
        <v>46812</v>
      </c>
      <c r="T392" s="50"/>
      <c r="U392" s="50"/>
      <c r="V392" s="56"/>
      <c r="W392" s="50"/>
      <c r="X392" s="50"/>
      <c r="Y392" s="56"/>
      <c r="Z392" s="56"/>
      <c r="AA392" s="56"/>
      <c r="AB392" s="56"/>
      <c r="AC392" s="56"/>
      <c r="AD392" s="56"/>
    </row>
    <row x14ac:dyDescent="0.25" r="393" customHeight="1" ht="18.75" hidden="1">
      <c r="A393" s="56"/>
      <c r="B393" s="56"/>
      <c r="C393" s="50" t="s">
        <v>16</v>
      </c>
      <c r="D393" s="50"/>
      <c r="E393" s="50"/>
      <c r="F393" s="50" t="s">
        <v>1436</v>
      </c>
      <c r="G393" s="55">
        <v>30000000</v>
      </c>
      <c r="H393" s="55"/>
      <c r="I393" s="55"/>
      <c r="J393" s="51">
        <v>2400000</v>
      </c>
      <c r="K393" s="51"/>
      <c r="L393" s="52">
        <v>45892</v>
      </c>
      <c r="M393" s="53">
        <v>45835</v>
      </c>
      <c r="N393" s="50" t="s">
        <v>217</v>
      </c>
      <c r="O393" s="50" t="s">
        <v>1438</v>
      </c>
      <c r="P393" s="50" t="s">
        <v>1436</v>
      </c>
      <c r="Q393" s="55" t="s">
        <v>1439</v>
      </c>
      <c r="R393" s="55" t="s">
        <v>1440</v>
      </c>
      <c r="S393" s="53">
        <v>46930</v>
      </c>
      <c r="T393" s="50"/>
      <c r="U393" s="50"/>
      <c r="V393" s="56"/>
      <c r="W393" s="50"/>
      <c r="X393" s="50"/>
      <c r="Y393" s="56"/>
      <c r="Z393" s="56"/>
      <c r="AA393" s="56"/>
      <c r="AB393" s="56"/>
      <c r="AC393" s="56"/>
      <c r="AD393" s="56"/>
    </row>
    <row x14ac:dyDescent="0.25" r="394" customHeight="1" ht="18.75" hidden="1">
      <c r="A394" s="56"/>
      <c r="B394" s="56"/>
      <c r="C394" s="50" t="s">
        <v>16</v>
      </c>
      <c r="D394" s="50"/>
      <c r="E394" s="50"/>
      <c r="F394" s="50" t="s">
        <v>1436</v>
      </c>
      <c r="G394" s="55">
        <v>60000000</v>
      </c>
      <c r="H394" s="55"/>
      <c r="I394" s="55"/>
      <c r="J394" s="51">
        <v>4800000</v>
      </c>
      <c r="K394" s="51"/>
      <c r="L394" s="52">
        <v>45910</v>
      </c>
      <c r="M394" s="53">
        <v>45848</v>
      </c>
      <c r="N394" s="50" t="s">
        <v>217</v>
      </c>
      <c r="O394" s="50" t="s">
        <v>1438</v>
      </c>
      <c r="P394" s="50" t="s">
        <v>1436</v>
      </c>
      <c r="Q394" s="55" t="s">
        <v>1439</v>
      </c>
      <c r="R394" s="55" t="s">
        <v>1440</v>
      </c>
      <c r="S394" s="53">
        <v>46943</v>
      </c>
      <c r="T394" s="50"/>
      <c r="U394" s="50"/>
      <c r="V394" s="56"/>
      <c r="W394" s="50"/>
      <c r="X394" s="50"/>
      <c r="Y394" s="56"/>
      <c r="Z394" s="56"/>
      <c r="AA394" s="56"/>
      <c r="AB394" s="56"/>
      <c r="AC394" s="56"/>
      <c r="AD394" s="56"/>
    </row>
    <row x14ac:dyDescent="0.25" r="395" customHeight="1" ht="18.75" hidden="1">
      <c r="A395" s="56"/>
      <c r="B395" s="56"/>
      <c r="C395" s="50" t="s">
        <v>16</v>
      </c>
      <c r="D395" s="50"/>
      <c r="E395" s="50"/>
      <c r="F395" s="50" t="s">
        <v>1441</v>
      </c>
      <c r="G395" s="55">
        <v>10000000</v>
      </c>
      <c r="H395" s="55"/>
      <c r="I395" s="55"/>
      <c r="J395" s="51">
        <v>800000</v>
      </c>
      <c r="K395" s="51"/>
      <c r="L395" s="52">
        <v>46147</v>
      </c>
      <c r="M395" s="53">
        <v>46086</v>
      </c>
      <c r="N395" s="50" t="s">
        <v>161</v>
      </c>
      <c r="O395" s="50" t="s">
        <v>1442</v>
      </c>
      <c r="P395" s="50" t="s">
        <v>1441</v>
      </c>
      <c r="Q395" s="55" t="s">
        <v>1443</v>
      </c>
      <c r="R395" s="55" t="s">
        <v>1444</v>
      </c>
      <c r="S395" s="53">
        <v>47181</v>
      </c>
      <c r="T395" s="50" t="s">
        <v>1445</v>
      </c>
      <c r="U395" s="50" t="s">
        <v>166</v>
      </c>
      <c r="V395" s="56"/>
      <c r="W395" s="50"/>
      <c r="X395" s="50"/>
      <c r="Y395" s="56"/>
      <c r="Z395" s="56"/>
      <c r="AA395" s="56"/>
      <c r="AB395" s="56"/>
      <c r="AC395" s="56"/>
      <c r="AD395" s="56"/>
    </row>
    <row x14ac:dyDescent="0.25" r="396" customHeight="1" ht="18.75">
      <c r="A396" s="56"/>
      <c r="B396" s="56"/>
      <c r="C396" s="50" t="s">
        <v>16</v>
      </c>
      <c r="D396" s="50" t="s">
        <v>48</v>
      </c>
      <c r="E396" s="50" t="s">
        <v>23</v>
      </c>
      <c r="F396" s="50" t="s">
        <v>1850</v>
      </c>
      <c r="G396" s="55">
        <v>10000000</v>
      </c>
      <c r="H396" s="55"/>
      <c r="I396" s="55"/>
      <c r="J396" s="51">
        <v>1200000</v>
      </c>
      <c r="K396" s="51"/>
      <c r="L396" s="52">
        <v>46190</v>
      </c>
      <c r="M396" s="53">
        <v>46129</v>
      </c>
      <c r="N396" s="50" t="s">
        <v>155</v>
      </c>
      <c r="O396" s="50" t="s">
        <v>1851</v>
      </c>
      <c r="P396" s="50" t="s">
        <v>1850</v>
      </c>
      <c r="Q396" s="55" t="s">
        <v>1852</v>
      </c>
      <c r="R396" s="55" t="s">
        <v>1853</v>
      </c>
      <c r="S396" s="53">
        <v>47224</v>
      </c>
      <c r="T396" s="50"/>
      <c r="U396" s="50" t="s">
        <v>166</v>
      </c>
      <c r="V396" s="56"/>
      <c r="W396" s="50" t="s">
        <v>3238</v>
      </c>
      <c r="X396" s="50" t="s">
        <v>3238</v>
      </c>
      <c r="Y396" s="56"/>
      <c r="Z396" s="56"/>
      <c r="AA396" s="56"/>
      <c r="AB396" s="56"/>
      <c r="AC396" s="56"/>
      <c r="AD396" s="56"/>
    </row>
    <row x14ac:dyDescent="0.25" r="397" customHeight="1" ht="18.75" hidden="1">
      <c r="A397" s="56" t="s">
        <v>152</v>
      </c>
      <c r="B397" s="56"/>
      <c r="C397" s="50" t="s">
        <v>16</v>
      </c>
      <c r="D397" s="50" t="s">
        <v>627</v>
      </c>
      <c r="E397" s="50" t="s">
        <v>373</v>
      </c>
      <c r="F397" s="50" t="s">
        <v>1446</v>
      </c>
      <c r="G397" s="51">
        <v>20000000</v>
      </c>
      <c r="H397" s="51"/>
      <c r="I397" s="51"/>
      <c r="J397" s="51">
        <v>1528000</v>
      </c>
      <c r="K397" s="51"/>
      <c r="L397" s="52">
        <v>46158</v>
      </c>
      <c r="M397" s="53">
        <f>IF(L397&gt;0,EDATE(L397,-2),"")</f>
        <v>25569.375</v>
      </c>
      <c r="N397" s="50" t="s">
        <v>239</v>
      </c>
      <c r="O397" s="50" t="s">
        <v>1447</v>
      </c>
      <c r="P397" s="54">
        <f>IF(F397&gt;0,F397,"")</f>
      </c>
      <c r="Q397" s="55">
        <v>5503181042718</v>
      </c>
      <c r="R397" s="55"/>
      <c r="S397" s="53">
        <f>IF(ISNUMBER(M397), EDATE(M397,36)-1, "")</f>
        <v>25569.375</v>
      </c>
      <c r="T397" s="50"/>
      <c r="U397" s="50"/>
      <c r="V397" s="56"/>
      <c r="W397" s="50"/>
      <c r="X397" s="50"/>
      <c r="Y397" s="56"/>
      <c r="Z397" s="56"/>
      <c r="AA397" s="56"/>
      <c r="AB397" s="56"/>
      <c r="AC397" s="56"/>
      <c r="AD397" s="56"/>
    </row>
    <row x14ac:dyDescent="0.25" r="398" customHeight="1" ht="18.75">
      <c r="A398" s="56"/>
      <c r="B398" s="56"/>
      <c r="C398" s="50" t="s">
        <v>16</v>
      </c>
      <c r="D398" s="50" t="s">
        <v>143</v>
      </c>
      <c r="E398" s="50" t="s">
        <v>14</v>
      </c>
      <c r="F398" s="50" t="s">
        <v>2171</v>
      </c>
      <c r="G398" s="55">
        <v>10000000</v>
      </c>
      <c r="H398" s="55"/>
      <c r="I398" s="55"/>
      <c r="J398" s="51">
        <v>1200000</v>
      </c>
      <c r="K398" s="51"/>
      <c r="L398" s="52">
        <v>46190</v>
      </c>
      <c r="M398" s="53">
        <v>46129</v>
      </c>
      <c r="N398" s="50" t="s">
        <v>168</v>
      </c>
      <c r="O398" s="50" t="s">
        <v>2172</v>
      </c>
      <c r="P398" s="50" t="s">
        <v>2171</v>
      </c>
      <c r="Q398" s="55" t="s">
        <v>2173</v>
      </c>
      <c r="R398" s="85" t="s">
        <v>2174</v>
      </c>
      <c r="S398" s="53">
        <v>47224</v>
      </c>
      <c r="T398" s="50" t="s">
        <v>2175</v>
      </c>
      <c r="U398" s="50"/>
      <c r="V398" s="56"/>
      <c r="W398" s="50"/>
      <c r="X398" s="50"/>
      <c r="Y398" s="56"/>
      <c r="Z398" s="56"/>
      <c r="AA398" s="56"/>
      <c r="AB398" s="56"/>
      <c r="AC398" s="56"/>
      <c r="AD398" s="56"/>
    </row>
    <row x14ac:dyDescent="0.25" r="399" customHeight="1" ht="18.75" hidden="1">
      <c r="A399" s="56"/>
      <c r="B399" s="56"/>
      <c r="C399" s="50" t="s">
        <v>16</v>
      </c>
      <c r="D399" s="50"/>
      <c r="E399" s="50" t="s">
        <v>22</v>
      </c>
      <c r="F399" s="50" t="s">
        <v>1452</v>
      </c>
      <c r="G399" s="55">
        <v>10000000</v>
      </c>
      <c r="H399" s="55"/>
      <c r="I399" s="55"/>
      <c r="J399" s="51">
        <v>800000</v>
      </c>
      <c r="K399" s="51"/>
      <c r="L399" s="52">
        <v>46165</v>
      </c>
      <c r="M399" s="53">
        <v>46104</v>
      </c>
      <c r="N399" s="50" t="s">
        <v>217</v>
      </c>
      <c r="O399" s="50" t="s">
        <v>1194</v>
      </c>
      <c r="P399" s="50" t="s">
        <v>1452</v>
      </c>
      <c r="Q399" s="55" t="s">
        <v>1453</v>
      </c>
      <c r="R399" s="55" t="s">
        <v>1454</v>
      </c>
      <c r="S399" s="53">
        <v>47199</v>
      </c>
      <c r="T399" s="50" t="s">
        <v>1455</v>
      </c>
      <c r="U399" s="50" t="s">
        <v>166</v>
      </c>
      <c r="V399" s="56"/>
      <c r="W399" s="50"/>
      <c r="X399" s="50"/>
      <c r="Y399" s="56"/>
      <c r="Z399" s="56"/>
      <c r="AA399" s="56"/>
      <c r="AB399" s="56"/>
      <c r="AC399" s="56"/>
      <c r="AD399" s="56"/>
    </row>
    <row x14ac:dyDescent="0.25" r="400" customHeight="1" ht="18.75" hidden="1">
      <c r="A400" s="71" t="s">
        <v>275</v>
      </c>
      <c r="B400" s="71"/>
      <c r="C400" s="72" t="s">
        <v>16</v>
      </c>
      <c r="D400" s="72"/>
      <c r="E400" s="72"/>
      <c r="F400" s="72" t="s">
        <v>1452</v>
      </c>
      <c r="G400" s="73"/>
      <c r="H400" s="73"/>
      <c r="I400" s="73"/>
      <c r="J400" s="74"/>
      <c r="K400" s="74"/>
      <c r="L400" s="75" t="s">
        <v>449</v>
      </c>
      <c r="M400" s="76" t="s">
        <v>449</v>
      </c>
      <c r="N400" s="72"/>
      <c r="O400" s="72"/>
      <c r="P400" s="72" t="s">
        <v>1452</v>
      </c>
      <c r="Q400" s="73" t="s">
        <v>1453</v>
      </c>
      <c r="R400" s="73" t="s">
        <v>1454</v>
      </c>
      <c r="S400" s="76" t="s">
        <v>449</v>
      </c>
      <c r="T400" s="72"/>
      <c r="U400" s="72"/>
      <c r="V400" s="71"/>
      <c r="W400" s="50"/>
      <c r="X400" s="50"/>
      <c r="Y400" s="56"/>
      <c r="Z400" s="56"/>
      <c r="AA400" s="56"/>
      <c r="AB400" s="56"/>
      <c r="AC400" s="56"/>
      <c r="AD400" s="56"/>
    </row>
    <row x14ac:dyDescent="0.25" r="401" customHeight="1" ht="18.75" hidden="1">
      <c r="A401" s="56"/>
      <c r="B401" s="56"/>
      <c r="C401" s="50" t="s">
        <v>16</v>
      </c>
      <c r="D401" s="50"/>
      <c r="E401" s="50"/>
      <c r="F401" s="50" t="s">
        <v>1456</v>
      </c>
      <c r="G401" s="55">
        <v>10000000</v>
      </c>
      <c r="H401" s="55"/>
      <c r="I401" s="55"/>
      <c r="J401" s="51">
        <v>800000</v>
      </c>
      <c r="K401" s="51"/>
      <c r="L401" s="52">
        <v>45997</v>
      </c>
      <c r="M401" s="53">
        <v>45936</v>
      </c>
      <c r="N401" s="50" t="s">
        <v>155</v>
      </c>
      <c r="O401" s="50" t="s">
        <v>1457</v>
      </c>
      <c r="P401" s="50" t="s">
        <v>1456</v>
      </c>
      <c r="Q401" s="55" t="s">
        <v>1458</v>
      </c>
      <c r="R401" s="55" t="s">
        <v>1459</v>
      </c>
      <c r="S401" s="53">
        <v>47031</v>
      </c>
      <c r="T401" s="50"/>
      <c r="U401" s="50"/>
      <c r="V401" s="56"/>
      <c r="W401" s="50"/>
      <c r="X401" s="50"/>
      <c r="Y401" s="56"/>
      <c r="Z401" s="56"/>
      <c r="AA401" s="56"/>
      <c r="AB401" s="56"/>
      <c r="AC401" s="56"/>
      <c r="AD401" s="56"/>
    </row>
    <row x14ac:dyDescent="0.25" r="402" customHeight="1" ht="18.75" hidden="1">
      <c r="A402" s="48" t="s">
        <v>152</v>
      </c>
      <c r="B402" s="48"/>
      <c r="C402" s="50" t="s">
        <v>16</v>
      </c>
      <c r="D402" s="50" t="s">
        <v>202</v>
      </c>
      <c r="E402" s="50" t="s">
        <v>203</v>
      </c>
      <c r="F402" s="50" t="s">
        <v>1460</v>
      </c>
      <c r="G402" s="51">
        <v>10000000</v>
      </c>
      <c r="H402" s="51"/>
      <c r="I402" s="51"/>
      <c r="J402" s="51">
        <v>500000</v>
      </c>
      <c r="K402" s="51"/>
      <c r="L402" s="52">
        <v>46065</v>
      </c>
      <c r="M402" s="53">
        <v>46021</v>
      </c>
      <c r="N402" s="50" t="s">
        <v>205</v>
      </c>
      <c r="O402" s="50" t="s">
        <v>1461</v>
      </c>
      <c r="P402" s="54">
        <f>IF(F402&gt;0,F402,"")</f>
      </c>
      <c r="Q402" s="55">
        <v>9223236716</v>
      </c>
      <c r="R402" s="55">
        <v>40286463</v>
      </c>
      <c r="S402" s="53">
        <f>IF(ISNUMBER(M402), EDATE(M402,36)-1, "")</f>
        <v>25569.375</v>
      </c>
      <c r="T402" s="50"/>
      <c r="U402" s="50"/>
      <c r="V402" s="48" t="s">
        <v>1462</v>
      </c>
      <c r="W402" s="50"/>
      <c r="X402" s="50"/>
      <c r="Y402" s="56"/>
      <c r="Z402" s="56"/>
      <c r="AA402" s="56"/>
      <c r="AB402" s="56"/>
      <c r="AC402" s="56"/>
      <c r="AD402" s="56"/>
    </row>
    <row x14ac:dyDescent="0.25" r="403" customHeight="1" ht="18.75" hidden="1">
      <c r="A403" s="56"/>
      <c r="B403" s="56"/>
      <c r="C403" s="50" t="s">
        <v>16</v>
      </c>
      <c r="D403" s="50"/>
      <c r="E403" s="50"/>
      <c r="F403" s="50" t="s">
        <v>51</v>
      </c>
      <c r="G403" s="55">
        <v>10000000</v>
      </c>
      <c r="H403" s="55"/>
      <c r="I403" s="55"/>
      <c r="J403" s="51">
        <v>400000</v>
      </c>
      <c r="K403" s="51"/>
      <c r="L403" s="52">
        <v>45470</v>
      </c>
      <c r="M403" s="53">
        <v>45409</v>
      </c>
      <c r="N403" s="50" t="s">
        <v>239</v>
      </c>
      <c r="O403" s="50" t="s">
        <v>1463</v>
      </c>
      <c r="P403" s="50" t="s">
        <v>51</v>
      </c>
      <c r="Q403" s="55" t="s">
        <v>1464</v>
      </c>
      <c r="R403" s="55" t="s">
        <v>1465</v>
      </c>
      <c r="S403" s="53">
        <v>46503</v>
      </c>
      <c r="T403" s="50" t="s">
        <v>52</v>
      </c>
      <c r="U403" s="50" t="s">
        <v>166</v>
      </c>
      <c r="V403" s="56"/>
      <c r="W403" s="50" t="s">
        <v>3238</v>
      </c>
      <c r="X403" s="50" t="s">
        <v>3238</v>
      </c>
      <c r="Y403" s="56"/>
      <c r="Z403" s="56"/>
      <c r="AA403" s="56"/>
      <c r="AB403" s="56"/>
      <c r="AC403" s="56"/>
      <c r="AD403" s="56"/>
    </row>
    <row x14ac:dyDescent="0.25" r="404" customHeight="1" ht="18.75">
      <c r="A404" s="56"/>
      <c r="B404" s="56"/>
      <c r="C404" s="50" t="s">
        <v>16</v>
      </c>
      <c r="D404" s="50"/>
      <c r="E404" s="50" t="s">
        <v>22</v>
      </c>
      <c r="F404" s="50" t="s">
        <v>2171</v>
      </c>
      <c r="G404" s="55">
        <v>10000000</v>
      </c>
      <c r="H404" s="55"/>
      <c r="I404" s="55"/>
      <c r="J404" s="51">
        <v>800000</v>
      </c>
      <c r="K404" s="51"/>
      <c r="L404" s="52">
        <v>46190</v>
      </c>
      <c r="M404" s="53">
        <v>46129</v>
      </c>
      <c r="N404" s="50" t="s">
        <v>168</v>
      </c>
      <c r="O404" s="50" t="s">
        <v>2172</v>
      </c>
      <c r="P404" s="50" t="s">
        <v>2171</v>
      </c>
      <c r="Q404" s="55" t="s">
        <v>2173</v>
      </c>
      <c r="R404" s="55" t="s">
        <v>2174</v>
      </c>
      <c r="S404" s="53">
        <v>47224</v>
      </c>
      <c r="T404" s="50"/>
      <c r="U404" s="50" t="s">
        <v>179</v>
      </c>
      <c r="V404" s="56"/>
      <c r="W404" s="50"/>
      <c r="X404" s="50"/>
      <c r="Y404" s="56"/>
      <c r="Z404" s="56"/>
      <c r="AA404" s="56"/>
      <c r="AB404" s="56"/>
      <c r="AC404" s="56"/>
      <c r="AD404" s="56"/>
    </row>
    <row x14ac:dyDescent="0.25" r="405" customHeight="1" ht="18.75" hidden="1">
      <c r="A405" s="56"/>
      <c r="B405" s="56"/>
      <c r="C405" s="50" t="s">
        <v>16</v>
      </c>
      <c r="D405" s="50" t="s">
        <v>410</v>
      </c>
      <c r="E405" s="50" t="s">
        <v>1294</v>
      </c>
      <c r="F405" s="50" t="s">
        <v>1467</v>
      </c>
      <c r="G405" s="55">
        <v>30000000</v>
      </c>
      <c r="H405" s="55"/>
      <c r="I405" s="55"/>
      <c r="J405" s="51">
        <v>2028000</v>
      </c>
      <c r="K405" s="51"/>
      <c r="L405" s="52">
        <v>46165</v>
      </c>
      <c r="M405" s="53">
        <v>46099</v>
      </c>
      <c r="N405" s="50" t="s">
        <v>168</v>
      </c>
      <c r="O405" s="50" t="s">
        <v>1468</v>
      </c>
      <c r="P405" s="50" t="s">
        <v>1467</v>
      </c>
      <c r="Q405" s="55" t="s">
        <v>1469</v>
      </c>
      <c r="R405" s="55" t="s">
        <v>1470</v>
      </c>
      <c r="S405" s="53">
        <v>47194</v>
      </c>
      <c r="T405" s="50"/>
      <c r="U405" s="50"/>
      <c r="V405" s="56"/>
      <c r="W405" s="50"/>
      <c r="X405" s="50"/>
      <c r="Y405" s="56"/>
      <c r="Z405" s="56"/>
      <c r="AA405" s="56"/>
      <c r="AB405" s="56"/>
      <c r="AC405" s="56"/>
      <c r="AD405" s="56"/>
    </row>
    <row x14ac:dyDescent="0.25" r="406" customHeight="1" ht="18.75" hidden="1">
      <c r="A406" s="71"/>
      <c r="B406" s="71"/>
      <c r="C406" s="72" t="s">
        <v>16</v>
      </c>
      <c r="D406" s="72"/>
      <c r="E406" s="72"/>
      <c r="F406" s="72" t="s">
        <v>1471</v>
      </c>
      <c r="G406" s="73">
        <v>20000000</v>
      </c>
      <c r="H406" s="73"/>
      <c r="I406" s="73"/>
      <c r="J406" s="88"/>
      <c r="K406" s="88"/>
      <c r="L406" s="75">
        <v>46131</v>
      </c>
      <c r="M406" s="76">
        <v>46072</v>
      </c>
      <c r="N406" s="72" t="s">
        <v>239</v>
      </c>
      <c r="O406" s="72" t="s">
        <v>1472</v>
      </c>
      <c r="P406" s="72" t="s">
        <v>1471</v>
      </c>
      <c r="Q406" s="73" t="s">
        <v>1473</v>
      </c>
      <c r="R406" s="73" t="s">
        <v>1474</v>
      </c>
      <c r="S406" s="76">
        <v>47167</v>
      </c>
      <c r="T406" s="72" t="s">
        <v>1475</v>
      </c>
      <c r="U406" s="72" t="s">
        <v>166</v>
      </c>
      <c r="V406" s="71" t="s">
        <v>3286</v>
      </c>
      <c r="W406" s="50"/>
      <c r="X406" s="50"/>
      <c r="Y406" s="56"/>
      <c r="Z406" s="56"/>
      <c r="AA406" s="56"/>
      <c r="AB406" s="56"/>
      <c r="AC406" s="56"/>
      <c r="AD406" s="56"/>
    </row>
    <row x14ac:dyDescent="0.25" r="407" customHeight="1" ht="18.75" hidden="1">
      <c r="A407" s="56"/>
      <c r="B407" s="56"/>
      <c r="C407" s="50" t="s">
        <v>16</v>
      </c>
      <c r="D407" s="50"/>
      <c r="E407" s="50"/>
      <c r="F407" s="50" t="s">
        <v>1471</v>
      </c>
      <c r="G407" s="55">
        <v>60000000</v>
      </c>
      <c r="H407" s="55"/>
      <c r="I407" s="55"/>
      <c r="J407" s="51">
        <v>3000000</v>
      </c>
      <c r="K407" s="51"/>
      <c r="L407" s="52">
        <v>46152</v>
      </c>
      <c r="M407" s="53">
        <v>46091</v>
      </c>
      <c r="N407" s="50" t="s">
        <v>239</v>
      </c>
      <c r="O407" s="50" t="s">
        <v>1472</v>
      </c>
      <c r="P407" s="50" t="s">
        <v>1471</v>
      </c>
      <c r="Q407" s="55" t="s">
        <v>1473</v>
      </c>
      <c r="R407" s="55" t="s">
        <v>1474</v>
      </c>
      <c r="S407" s="53">
        <v>47186</v>
      </c>
      <c r="T407" s="50"/>
      <c r="U407" s="50" t="s">
        <v>166</v>
      </c>
      <c r="V407" s="48" t="s">
        <v>418</v>
      </c>
      <c r="W407" s="50"/>
      <c r="X407" s="50"/>
      <c r="Y407" s="56"/>
      <c r="Z407" s="56"/>
      <c r="AA407" s="56"/>
      <c r="AB407" s="56"/>
      <c r="AC407" s="56"/>
      <c r="AD407" s="56"/>
    </row>
    <row x14ac:dyDescent="0.25" r="408" customHeight="1" ht="18.75" hidden="1">
      <c r="A408" s="56"/>
      <c r="B408" s="56"/>
      <c r="C408" s="50" t="s">
        <v>16</v>
      </c>
      <c r="D408" s="50"/>
      <c r="E408" s="50"/>
      <c r="F408" s="50" t="s">
        <v>1478</v>
      </c>
      <c r="G408" s="55">
        <v>20000000</v>
      </c>
      <c r="H408" s="55"/>
      <c r="I408" s="55"/>
      <c r="J408" s="51">
        <v>1528000</v>
      </c>
      <c r="K408" s="51"/>
      <c r="L408" s="52">
        <v>46032</v>
      </c>
      <c r="M408" s="53">
        <v>45983</v>
      </c>
      <c r="N408" s="50" t="s">
        <v>155</v>
      </c>
      <c r="O408" s="50" t="s">
        <v>1479</v>
      </c>
      <c r="P408" s="50" t="s">
        <v>1478</v>
      </c>
      <c r="Q408" s="55" t="s">
        <v>1480</v>
      </c>
      <c r="R408" s="55" t="s">
        <v>1481</v>
      </c>
      <c r="S408" s="53">
        <v>47066</v>
      </c>
      <c r="T408" s="50"/>
      <c r="U408" s="50"/>
      <c r="V408" s="56"/>
      <c r="W408" s="50"/>
      <c r="X408" s="50"/>
      <c r="Y408" s="56"/>
      <c r="Z408" s="56"/>
      <c r="AA408" s="56"/>
      <c r="AB408" s="56"/>
      <c r="AC408" s="56"/>
      <c r="AD408" s="56"/>
    </row>
    <row x14ac:dyDescent="0.25" r="409" customHeight="1" ht="18.75" hidden="1">
      <c r="A409" s="56"/>
      <c r="B409" s="56"/>
      <c r="C409" s="50" t="s">
        <v>16</v>
      </c>
      <c r="D409" s="50"/>
      <c r="E409" s="50"/>
      <c r="F409" s="50" t="s">
        <v>53</v>
      </c>
      <c r="G409" s="55">
        <v>10000000</v>
      </c>
      <c r="H409" s="55"/>
      <c r="I409" s="55"/>
      <c r="J409" s="51"/>
      <c r="K409" s="51"/>
      <c r="L409" s="52">
        <v>46020</v>
      </c>
      <c r="M409" s="53">
        <v>45959</v>
      </c>
      <c r="N409" s="50" t="s">
        <v>379</v>
      </c>
      <c r="O409" s="50" t="s">
        <v>3287</v>
      </c>
      <c r="P409" s="50" t="s">
        <v>53</v>
      </c>
      <c r="Q409" s="55" t="s">
        <v>1485</v>
      </c>
      <c r="R409" s="55" t="s">
        <v>1484</v>
      </c>
      <c r="S409" s="53">
        <v>47054</v>
      </c>
      <c r="T409" s="50"/>
      <c r="U409" s="50"/>
      <c r="V409" s="48" t="s">
        <v>3288</v>
      </c>
      <c r="W409" s="50"/>
      <c r="X409" s="50"/>
      <c r="Y409" s="56"/>
      <c r="Z409" s="56"/>
      <c r="AA409" s="56"/>
      <c r="AB409" s="56"/>
      <c r="AC409" s="56"/>
      <c r="AD409" s="56"/>
    </row>
    <row x14ac:dyDescent="0.25" r="410" customHeight="1" ht="18.75" hidden="1">
      <c r="A410" s="56"/>
      <c r="B410" s="56"/>
      <c r="C410" s="50" t="s">
        <v>16</v>
      </c>
      <c r="D410" s="50"/>
      <c r="E410" s="50" t="s">
        <v>862</v>
      </c>
      <c r="F410" s="50" t="s">
        <v>1486</v>
      </c>
      <c r="G410" s="55">
        <v>10000000</v>
      </c>
      <c r="H410" s="55"/>
      <c r="I410" s="55"/>
      <c r="J410" s="51">
        <v>500000</v>
      </c>
      <c r="K410" s="51"/>
      <c r="L410" s="52">
        <v>46151</v>
      </c>
      <c r="M410" s="53">
        <v>46090</v>
      </c>
      <c r="N410" s="50" t="s">
        <v>1487</v>
      </c>
      <c r="O410" s="50" t="s">
        <v>1488</v>
      </c>
      <c r="P410" s="50" t="s">
        <v>1486</v>
      </c>
      <c r="Q410" s="55" t="s">
        <v>1489</v>
      </c>
      <c r="R410" s="55" t="s">
        <v>1490</v>
      </c>
      <c r="S410" s="53">
        <v>47185</v>
      </c>
      <c r="T410" s="50" t="s">
        <v>1491</v>
      </c>
      <c r="U410" s="50" t="s">
        <v>166</v>
      </c>
      <c r="V410" s="56"/>
      <c r="W410" s="50"/>
      <c r="X410" s="50"/>
      <c r="Y410" s="56"/>
      <c r="Z410" s="56"/>
      <c r="AA410" s="56"/>
      <c r="AB410" s="56"/>
      <c r="AC410" s="56"/>
      <c r="AD410" s="56"/>
    </row>
    <row x14ac:dyDescent="0.25" r="411" customHeight="1" ht="18.75" hidden="1">
      <c r="A411" s="56"/>
      <c r="B411" s="56"/>
      <c r="C411" s="50" t="s">
        <v>16</v>
      </c>
      <c r="D411" s="50" t="s">
        <v>143</v>
      </c>
      <c r="E411" s="50" t="s">
        <v>22</v>
      </c>
      <c r="F411" s="50" t="s">
        <v>1492</v>
      </c>
      <c r="G411" s="55">
        <v>10000000</v>
      </c>
      <c r="H411" s="55"/>
      <c r="I411" s="55"/>
      <c r="J411" s="51">
        <v>800000</v>
      </c>
      <c r="K411" s="51"/>
      <c r="L411" s="52">
        <v>46166</v>
      </c>
      <c r="M411" s="53">
        <v>46105</v>
      </c>
      <c r="N411" s="50" t="s">
        <v>1493</v>
      </c>
      <c r="O411" s="50" t="s">
        <v>1494</v>
      </c>
      <c r="P411" s="50" t="s">
        <v>1492</v>
      </c>
      <c r="Q411" s="55" t="s">
        <v>1495</v>
      </c>
      <c r="R411" s="55" t="s">
        <v>1496</v>
      </c>
      <c r="S411" s="53">
        <v>47200</v>
      </c>
      <c r="T411" s="50" t="s">
        <v>1497</v>
      </c>
      <c r="U411" s="50" t="s">
        <v>166</v>
      </c>
      <c r="V411" s="56"/>
      <c r="W411" s="50"/>
      <c r="X411" s="50"/>
      <c r="Y411" s="56"/>
      <c r="Z411" s="56"/>
      <c r="AA411" s="56"/>
      <c r="AB411" s="56"/>
      <c r="AC411" s="56"/>
      <c r="AD411" s="56"/>
    </row>
    <row x14ac:dyDescent="0.25" r="412" customHeight="1" ht="18.75" hidden="1">
      <c r="A412" s="56"/>
      <c r="B412" s="56"/>
      <c r="C412" s="50" t="s">
        <v>16</v>
      </c>
      <c r="D412" s="50"/>
      <c r="E412" s="50" t="s">
        <v>22</v>
      </c>
      <c r="F412" s="50" t="s">
        <v>1498</v>
      </c>
      <c r="G412" s="55">
        <v>10000000</v>
      </c>
      <c r="H412" s="55"/>
      <c r="I412" s="55"/>
      <c r="J412" s="51">
        <v>800000</v>
      </c>
      <c r="K412" s="51"/>
      <c r="L412" s="52">
        <v>46165</v>
      </c>
      <c r="M412" s="53">
        <v>46104</v>
      </c>
      <c r="N412" s="50" t="s">
        <v>161</v>
      </c>
      <c r="O412" s="50" t="s">
        <v>1499</v>
      </c>
      <c r="P412" s="50" t="s">
        <v>1498</v>
      </c>
      <c r="Q412" s="55" t="s">
        <v>1500</v>
      </c>
      <c r="R412" s="55" t="s">
        <v>1501</v>
      </c>
      <c r="S412" s="53">
        <v>47199</v>
      </c>
      <c r="T412" s="50" t="s">
        <v>1502</v>
      </c>
      <c r="U412" s="50" t="s">
        <v>166</v>
      </c>
      <c r="V412" s="56"/>
      <c r="W412" s="50"/>
      <c r="X412" s="50"/>
      <c r="Y412" s="56"/>
      <c r="Z412" s="56"/>
      <c r="AA412" s="56"/>
      <c r="AB412" s="56"/>
      <c r="AC412" s="56"/>
      <c r="AD412" s="56"/>
    </row>
    <row x14ac:dyDescent="0.25" r="413" customHeight="1" ht="18.75">
      <c r="A413" s="56"/>
      <c r="B413" s="56"/>
      <c r="C413" s="50" t="s">
        <v>16</v>
      </c>
      <c r="D413" s="50"/>
      <c r="E413" s="50"/>
      <c r="F413" s="50" t="s">
        <v>685</v>
      </c>
      <c r="G413" s="55">
        <v>10000000</v>
      </c>
      <c r="H413" s="55"/>
      <c r="I413" s="55"/>
      <c r="J413" s="51">
        <v>800000</v>
      </c>
      <c r="K413" s="51"/>
      <c r="L413" s="52">
        <v>46191</v>
      </c>
      <c r="M413" s="53">
        <v>46130</v>
      </c>
      <c r="N413" s="50" t="s">
        <v>239</v>
      </c>
      <c r="O413" s="50" t="s">
        <v>686</v>
      </c>
      <c r="P413" s="50" t="s">
        <v>685</v>
      </c>
      <c r="Q413" s="55" t="s">
        <v>687</v>
      </c>
      <c r="R413" s="55" t="s">
        <v>688</v>
      </c>
      <c r="S413" s="53">
        <v>47225</v>
      </c>
      <c r="T413" s="50" t="s">
        <v>689</v>
      </c>
      <c r="U413" s="50" t="s">
        <v>166</v>
      </c>
      <c r="V413" s="56"/>
      <c r="W413" s="50"/>
      <c r="X413" s="50"/>
      <c r="Y413" s="56"/>
      <c r="Z413" s="56"/>
      <c r="AA413" s="56"/>
      <c r="AB413" s="56"/>
      <c r="AC413" s="56"/>
      <c r="AD413" s="56"/>
    </row>
    <row x14ac:dyDescent="0.25" r="414" customHeight="1" ht="18.75">
      <c r="A414" s="48" t="s">
        <v>152</v>
      </c>
      <c r="B414" s="62"/>
      <c r="C414" s="50" t="s">
        <v>16</v>
      </c>
      <c r="D414" s="50" t="s">
        <v>48</v>
      </c>
      <c r="E414" s="50" t="s">
        <v>1044</v>
      </c>
      <c r="F414" s="50" t="s">
        <v>1827</v>
      </c>
      <c r="G414" s="55">
        <v>10000000</v>
      </c>
      <c r="H414" s="55"/>
      <c r="I414" s="55"/>
      <c r="J414" s="51">
        <v>800000</v>
      </c>
      <c r="K414" s="51"/>
      <c r="L414" s="52">
        <v>46191</v>
      </c>
      <c r="M414" s="53">
        <v>46130</v>
      </c>
      <c r="N414" s="50" t="s">
        <v>155</v>
      </c>
      <c r="O414" s="50" t="s">
        <v>1828</v>
      </c>
      <c r="P414" s="50" t="s">
        <v>1827</v>
      </c>
      <c r="Q414" s="55" t="s">
        <v>1829</v>
      </c>
      <c r="R414" s="55" t="s">
        <v>1830</v>
      </c>
      <c r="S414" s="53">
        <v>47226</v>
      </c>
      <c r="T414" s="50" t="s">
        <v>1831</v>
      </c>
      <c r="U414" s="50"/>
      <c r="V414" s="56" t="s">
        <v>1832</v>
      </c>
      <c r="W414" s="50"/>
      <c r="X414" s="50"/>
      <c r="Y414" s="56"/>
      <c r="Z414" s="56"/>
      <c r="AA414" s="56"/>
      <c r="AB414" s="56"/>
      <c r="AC414" s="56"/>
      <c r="AD414" s="56"/>
    </row>
    <row x14ac:dyDescent="0.25" r="415" customHeight="1" ht="18.75">
      <c r="A415" s="56"/>
      <c r="B415" s="56"/>
      <c r="C415" s="50" t="s">
        <v>16</v>
      </c>
      <c r="D415" s="50" t="s">
        <v>48</v>
      </c>
      <c r="E415" s="50" t="s">
        <v>1044</v>
      </c>
      <c r="F415" s="50" t="s">
        <v>2688</v>
      </c>
      <c r="G415" s="55">
        <v>10000000</v>
      </c>
      <c r="H415" s="55"/>
      <c r="I415" s="55"/>
      <c r="J415" s="51">
        <v>800000</v>
      </c>
      <c r="K415" s="51"/>
      <c r="L415" s="52">
        <v>46191</v>
      </c>
      <c r="M415" s="53">
        <v>46130</v>
      </c>
      <c r="N415" s="50" t="s">
        <v>168</v>
      </c>
      <c r="O415" s="50" t="s">
        <v>2689</v>
      </c>
      <c r="P415" s="50" t="s">
        <v>2688</v>
      </c>
      <c r="Q415" s="55" t="s">
        <v>2690</v>
      </c>
      <c r="R415" s="55" t="s">
        <v>2691</v>
      </c>
      <c r="S415" s="53">
        <v>47225</v>
      </c>
      <c r="T415" s="50" t="s">
        <v>2692</v>
      </c>
      <c r="U415" s="50" t="s">
        <v>166</v>
      </c>
      <c r="V415" s="56"/>
      <c r="W415" s="50"/>
      <c r="X415" s="50"/>
      <c r="Y415" s="56"/>
      <c r="Z415" s="56"/>
      <c r="AA415" s="56"/>
      <c r="AB415" s="56"/>
      <c r="AC415" s="56"/>
      <c r="AD415" s="56"/>
    </row>
    <row x14ac:dyDescent="0.25" r="416" customHeight="1" ht="18.75" hidden="1">
      <c r="A416" s="56"/>
      <c r="B416" s="56"/>
      <c r="C416" s="50" t="s">
        <v>16</v>
      </c>
      <c r="D416" s="50"/>
      <c r="E416" s="50"/>
      <c r="F416" s="50" t="s">
        <v>1509</v>
      </c>
      <c r="G416" s="55">
        <v>30000000</v>
      </c>
      <c r="H416" s="55"/>
      <c r="I416" s="55"/>
      <c r="J416" s="51">
        <v>2400000</v>
      </c>
      <c r="K416" s="51"/>
      <c r="L416" s="52">
        <v>45915</v>
      </c>
      <c r="M416" s="53">
        <v>45848</v>
      </c>
      <c r="N416" s="50" t="s">
        <v>155</v>
      </c>
      <c r="O416" s="50" t="s">
        <v>1510</v>
      </c>
      <c r="P416" s="50" t="s">
        <v>1509</v>
      </c>
      <c r="Q416" s="55" t="s">
        <v>1511</v>
      </c>
      <c r="R416" s="55" t="s">
        <v>1512</v>
      </c>
      <c r="S416" s="53">
        <v>46943</v>
      </c>
      <c r="T416" s="50"/>
      <c r="U416" s="50"/>
      <c r="V416" s="56"/>
      <c r="W416" s="50"/>
      <c r="X416" s="50"/>
      <c r="Y416" s="56"/>
      <c r="Z416" s="56"/>
      <c r="AA416" s="56"/>
      <c r="AB416" s="56"/>
      <c r="AC416" s="56"/>
      <c r="AD416" s="56"/>
    </row>
    <row x14ac:dyDescent="0.25" r="417" customHeight="1" ht="18.75" hidden="1">
      <c r="A417" s="56"/>
      <c r="B417" s="56"/>
      <c r="C417" s="50" t="s">
        <v>16</v>
      </c>
      <c r="D417" s="50"/>
      <c r="E417" s="50"/>
      <c r="F417" s="50" t="s">
        <v>1513</v>
      </c>
      <c r="G417" s="55">
        <v>10000000</v>
      </c>
      <c r="H417" s="55"/>
      <c r="I417" s="55"/>
      <c r="J417" s="51">
        <v>800000</v>
      </c>
      <c r="K417" s="51"/>
      <c r="L417" s="52">
        <v>46159</v>
      </c>
      <c r="M417" s="53">
        <v>46098</v>
      </c>
      <c r="N417" s="50" t="s">
        <v>302</v>
      </c>
      <c r="O417" s="50" t="s">
        <v>1514</v>
      </c>
      <c r="P417" s="50" t="s">
        <v>1513</v>
      </c>
      <c r="Q417" s="55" t="s">
        <v>1515</v>
      </c>
      <c r="R417" s="55" t="s">
        <v>1516</v>
      </c>
      <c r="S417" s="53">
        <v>47193</v>
      </c>
      <c r="T417" s="50"/>
      <c r="U417" s="50" t="s">
        <v>166</v>
      </c>
      <c r="V417" s="56"/>
      <c r="W417" s="50"/>
      <c r="X417" s="50"/>
      <c r="Y417" s="56"/>
      <c r="Z417" s="56"/>
      <c r="AA417" s="56"/>
      <c r="AB417" s="56"/>
      <c r="AC417" s="56"/>
      <c r="AD417" s="56"/>
    </row>
    <row x14ac:dyDescent="0.25" r="418" customHeight="1" ht="18.75" hidden="1">
      <c r="A418" s="63" t="s">
        <v>63</v>
      </c>
      <c r="B418" s="63"/>
      <c r="C418" s="49" t="s">
        <v>16</v>
      </c>
      <c r="D418" s="49"/>
      <c r="E418" s="49" t="s">
        <v>203</v>
      </c>
      <c r="F418" s="49" t="s">
        <v>1513</v>
      </c>
      <c r="G418" s="64">
        <v>20000000</v>
      </c>
      <c r="H418" s="64"/>
      <c r="I418" s="64"/>
      <c r="J418" s="65">
        <f>IF(G418&gt;0,_xludf.IFS(G418=10000000,800000,G418=20000000,1528000,G418=30000000,2028000,G418=60000000,4056000),"")</f>
      </c>
      <c r="K418" s="64"/>
      <c r="L418" s="66">
        <v>46213</v>
      </c>
      <c r="M418" s="67">
        <v>46098</v>
      </c>
      <c r="N418" s="49" t="s">
        <v>302</v>
      </c>
      <c r="O418" s="49" t="s">
        <v>1514</v>
      </c>
      <c r="P418" s="68">
        <f>IF(F418&gt;0,F418,"")</f>
      </c>
      <c r="Q418" s="69" t="s">
        <v>1515</v>
      </c>
      <c r="R418" s="69">
        <v>86992689</v>
      </c>
      <c r="S418" s="67">
        <f>IF(ISNUMBER(M418), EDATE(M418,36)-1, "")</f>
        <v>25569.375</v>
      </c>
      <c r="T418" s="49"/>
      <c r="U418" s="49"/>
      <c r="V418" s="63"/>
      <c r="W418" s="50"/>
      <c r="X418" s="50"/>
      <c r="Y418" s="56"/>
      <c r="Z418" s="56"/>
      <c r="AA418" s="56"/>
      <c r="AB418" s="56"/>
      <c r="AC418" s="56"/>
      <c r="AD418" s="56"/>
    </row>
    <row x14ac:dyDescent="0.25" r="419" customHeight="1" ht="18.75" hidden="1">
      <c r="A419" s="56"/>
      <c r="B419" s="56"/>
      <c r="C419" s="50" t="s">
        <v>16</v>
      </c>
      <c r="D419" s="50"/>
      <c r="E419" s="50"/>
      <c r="F419" s="50" t="s">
        <v>54</v>
      </c>
      <c r="G419" s="55">
        <v>30000000</v>
      </c>
      <c r="H419" s="55"/>
      <c r="I419" s="55"/>
      <c r="J419" s="51">
        <v>1528000</v>
      </c>
      <c r="K419" s="51"/>
      <c r="L419" s="52">
        <v>46027</v>
      </c>
      <c r="M419" s="53">
        <v>45965</v>
      </c>
      <c r="N419" s="50" t="s">
        <v>282</v>
      </c>
      <c r="O419" s="50" t="s">
        <v>1517</v>
      </c>
      <c r="P419" s="50" t="s">
        <v>54</v>
      </c>
      <c r="Q419" s="55" t="s">
        <v>1518</v>
      </c>
      <c r="R419" s="55" t="s">
        <v>1519</v>
      </c>
      <c r="S419" s="53">
        <v>47060</v>
      </c>
      <c r="T419" s="50"/>
      <c r="U419" s="50"/>
      <c r="V419" s="56"/>
      <c r="W419" s="50"/>
      <c r="X419" s="50"/>
      <c r="Y419" s="56"/>
      <c r="Z419" s="56"/>
      <c r="AA419" s="56"/>
      <c r="AB419" s="56"/>
      <c r="AC419" s="56"/>
      <c r="AD419" s="56"/>
    </row>
    <row x14ac:dyDescent="0.25" r="420" customHeight="1" ht="18.75" hidden="1">
      <c r="A420" s="56"/>
      <c r="B420" s="56"/>
      <c r="C420" s="50" t="s">
        <v>16</v>
      </c>
      <c r="D420" s="50"/>
      <c r="E420" s="50"/>
      <c r="F420" s="50" t="s">
        <v>318</v>
      </c>
      <c r="G420" s="55">
        <v>10000000</v>
      </c>
      <c r="H420" s="55"/>
      <c r="I420" s="55"/>
      <c r="J420" s="51">
        <v>800000</v>
      </c>
      <c r="K420" s="51"/>
      <c r="L420" s="52">
        <v>46091</v>
      </c>
      <c r="M420" s="53">
        <v>45667</v>
      </c>
      <c r="N420" s="50" t="s">
        <v>155</v>
      </c>
      <c r="O420" s="50" t="s">
        <v>1520</v>
      </c>
      <c r="P420" s="50" t="s">
        <v>318</v>
      </c>
      <c r="Q420" s="55" t="s">
        <v>1521</v>
      </c>
      <c r="R420" s="55" t="s">
        <v>1522</v>
      </c>
      <c r="S420" s="53">
        <v>47127</v>
      </c>
      <c r="T420" s="50"/>
      <c r="U420" s="50"/>
      <c r="V420" s="56"/>
      <c r="W420" s="50"/>
      <c r="X420" s="50"/>
      <c r="Y420" s="56"/>
      <c r="Z420" s="56"/>
      <c r="AA420" s="56"/>
      <c r="AB420" s="56"/>
      <c r="AC420" s="56"/>
      <c r="AD420" s="56"/>
    </row>
    <row x14ac:dyDescent="0.25" r="421" customHeight="1" ht="18.75" hidden="1">
      <c r="A421" s="56"/>
      <c r="B421" s="56"/>
      <c r="C421" s="50" t="s">
        <v>16</v>
      </c>
      <c r="D421" s="50"/>
      <c r="E421" s="50"/>
      <c r="F421" s="50" t="s">
        <v>1523</v>
      </c>
      <c r="G421" s="55">
        <v>10000000</v>
      </c>
      <c r="H421" s="55"/>
      <c r="I421" s="55"/>
      <c r="J421" s="51">
        <v>800000</v>
      </c>
      <c r="K421" s="51"/>
      <c r="L421" s="52">
        <v>46021</v>
      </c>
      <c r="M421" s="53">
        <v>45960</v>
      </c>
      <c r="N421" s="50" t="s">
        <v>306</v>
      </c>
      <c r="O421" s="50" t="s">
        <v>1524</v>
      </c>
      <c r="P421" s="50" t="s">
        <v>1523</v>
      </c>
      <c r="Q421" s="55" t="s">
        <v>1525</v>
      </c>
      <c r="R421" s="55" t="s">
        <v>1526</v>
      </c>
      <c r="S421" s="53">
        <v>47055</v>
      </c>
      <c r="T421" s="50"/>
      <c r="U421" s="50"/>
      <c r="V421" s="56"/>
      <c r="W421" s="50"/>
      <c r="X421" s="50"/>
      <c r="Y421" s="56"/>
      <c r="Z421" s="56"/>
      <c r="AA421" s="56"/>
      <c r="AB421" s="56"/>
      <c r="AC421" s="56"/>
      <c r="AD421" s="56"/>
    </row>
    <row x14ac:dyDescent="0.25" r="422" customHeight="1" ht="18.75" hidden="1">
      <c r="A422" s="48" t="s">
        <v>152</v>
      </c>
      <c r="B422" s="48"/>
      <c r="C422" s="50" t="s">
        <v>16</v>
      </c>
      <c r="D422" s="50" t="s">
        <v>55</v>
      </c>
      <c r="E422" s="50" t="s">
        <v>56</v>
      </c>
      <c r="F422" s="50" t="s">
        <v>57</v>
      </c>
      <c r="G422" s="51">
        <v>20000000</v>
      </c>
      <c r="H422" s="51"/>
      <c r="I422" s="51"/>
      <c r="J422" s="51">
        <v>1000000</v>
      </c>
      <c r="K422" s="51"/>
      <c r="L422" s="52">
        <v>46061</v>
      </c>
      <c r="M422" s="53">
        <f>IF(L422&gt;0,EDATE(L422,-2),"")</f>
        <v>25569.375</v>
      </c>
      <c r="N422" s="50" t="s">
        <v>234</v>
      </c>
      <c r="O422" s="50" t="s">
        <v>235</v>
      </c>
      <c r="P422" s="54">
        <f>IF(F422&gt;0,F422,"")</f>
      </c>
      <c r="Q422" s="55">
        <v>6904082396527</v>
      </c>
      <c r="R422" s="55">
        <v>86270733</v>
      </c>
      <c r="S422" s="53">
        <f>IF(ISNUMBER(M422), EDATE(M422,36)-1, "")</f>
        <v>25569.375</v>
      </c>
      <c r="T422" s="50"/>
      <c r="U422" s="50"/>
      <c r="V422" s="56" t="s">
        <v>58</v>
      </c>
      <c r="W422" s="50"/>
      <c r="X422" s="50"/>
      <c r="Y422" s="56"/>
      <c r="Z422" s="56"/>
      <c r="AA422" s="56"/>
      <c r="AB422" s="56"/>
      <c r="AC422" s="56"/>
      <c r="AD422" s="56"/>
    </row>
    <row x14ac:dyDescent="0.25" r="423" customHeight="1" ht="18.75" hidden="1">
      <c r="A423" s="56"/>
      <c r="B423" s="56"/>
      <c r="C423" s="50" t="s">
        <v>1527</v>
      </c>
      <c r="D423" s="50"/>
      <c r="E423" s="50"/>
      <c r="F423" s="50" t="s">
        <v>1528</v>
      </c>
      <c r="G423" s="55">
        <v>30000000</v>
      </c>
      <c r="H423" s="55"/>
      <c r="I423" s="55"/>
      <c r="J423" s="51">
        <v>1500000</v>
      </c>
      <c r="K423" s="51"/>
      <c r="L423" s="52">
        <v>45725</v>
      </c>
      <c r="M423" s="53">
        <v>45666</v>
      </c>
      <c r="N423" s="50" t="s">
        <v>217</v>
      </c>
      <c r="O423" s="50" t="s">
        <v>1529</v>
      </c>
      <c r="P423" s="50" t="s">
        <v>1528</v>
      </c>
      <c r="Q423" s="55" t="s">
        <v>1530</v>
      </c>
      <c r="R423" s="55" t="s">
        <v>1440</v>
      </c>
      <c r="S423" s="53">
        <v>46760</v>
      </c>
      <c r="T423" s="50"/>
      <c r="U423" s="50"/>
      <c r="V423" s="56"/>
      <c r="W423" s="50"/>
      <c r="X423" s="50"/>
      <c r="Y423" s="56"/>
      <c r="Z423" s="56"/>
      <c r="AA423" s="56"/>
      <c r="AB423" s="56"/>
      <c r="AC423" s="56"/>
      <c r="AD423" s="56"/>
    </row>
    <row x14ac:dyDescent="0.25" r="424" customHeight="1" ht="18.75">
      <c r="A424" s="56"/>
      <c r="B424" s="56"/>
      <c r="C424" s="49" t="s">
        <v>16</v>
      </c>
      <c r="D424" s="50" t="s">
        <v>816</v>
      </c>
      <c r="E424" s="50" t="s">
        <v>2203</v>
      </c>
      <c r="F424" s="50" t="s">
        <v>450</v>
      </c>
      <c r="G424" s="51">
        <v>10000000</v>
      </c>
      <c r="H424" s="51"/>
      <c r="I424" s="51"/>
      <c r="J424" s="87">
        <f>IF(G424&gt;0,_xludf.IFS(G424=10000000,800000,G424=20000000,1528000,G424=30000000,2028000,G424=60000000,4056000),"")</f>
      </c>
      <c r="K424" s="51"/>
      <c r="L424" s="52">
        <v>46192</v>
      </c>
      <c r="M424" s="53">
        <f>IF(L424&gt;0,EDATE(L424,-2),"")</f>
        <v>25569.375</v>
      </c>
      <c r="N424" s="50" t="s">
        <v>205</v>
      </c>
      <c r="O424" s="50" t="s">
        <v>3289</v>
      </c>
      <c r="P424" s="54">
        <f>IF(F424&gt;0,F424,"")</f>
      </c>
      <c r="Q424" s="55" t="s">
        <v>3290</v>
      </c>
      <c r="R424" s="55">
        <v>32510727</v>
      </c>
      <c r="S424" s="53">
        <f>IF(ISNUMBER(M424), EDATE(M424,36)-1, "")</f>
        <v>25569.375</v>
      </c>
      <c r="T424" s="50"/>
      <c r="U424" s="50"/>
      <c r="V424" s="56"/>
      <c r="W424" s="50"/>
      <c r="X424" s="50"/>
      <c r="Y424" s="56"/>
      <c r="Z424" s="56"/>
      <c r="AA424" s="56"/>
      <c r="AB424" s="56"/>
      <c r="AC424" s="56"/>
      <c r="AD424" s="56"/>
    </row>
    <row x14ac:dyDescent="0.25" r="425" customHeight="1" ht="18.75">
      <c r="A425" s="63"/>
      <c r="B425" s="63"/>
      <c r="C425" s="49" t="s">
        <v>16</v>
      </c>
      <c r="D425" s="49" t="s">
        <v>454</v>
      </c>
      <c r="E425" s="49" t="s">
        <v>574</v>
      </c>
      <c r="F425" s="49" t="s">
        <v>575</v>
      </c>
      <c r="G425" s="64">
        <v>10000000</v>
      </c>
      <c r="H425" s="64"/>
      <c r="I425" s="64"/>
      <c r="J425" s="64">
        <v>500000</v>
      </c>
      <c r="K425" s="64"/>
      <c r="L425" s="66">
        <v>46192</v>
      </c>
      <c r="M425" s="67">
        <f>IF(L425&gt;0,EDATE(L425,-2),"")</f>
        <v>25569.375</v>
      </c>
      <c r="N425" s="49" t="s">
        <v>155</v>
      </c>
      <c r="O425" s="49" t="s">
        <v>576</v>
      </c>
      <c r="P425" s="68">
        <f>IF(F425&gt;0,F425,"")</f>
      </c>
      <c r="Q425" s="69" t="s">
        <v>577</v>
      </c>
      <c r="R425" s="69">
        <v>63116622</v>
      </c>
      <c r="S425" s="67">
        <f>IF(ISNUMBER(M425), EDATE(M425,36)-1, "")</f>
        <v>25569.375</v>
      </c>
      <c r="T425" s="49"/>
      <c r="U425" s="49"/>
      <c r="V425" s="63"/>
      <c r="W425" s="50"/>
      <c r="X425" s="50"/>
      <c r="Y425" s="56"/>
      <c r="Z425" s="56"/>
      <c r="AA425" s="56"/>
      <c r="AB425" s="56"/>
      <c r="AC425" s="56"/>
      <c r="AD425" s="56"/>
    </row>
    <row x14ac:dyDescent="0.25" r="426" customHeight="1" ht="18.75" hidden="1">
      <c r="A426" s="56"/>
      <c r="B426" s="56"/>
      <c r="C426" s="50" t="s">
        <v>16</v>
      </c>
      <c r="D426" s="50"/>
      <c r="E426" s="50"/>
      <c r="F426" s="50" t="s">
        <v>1539</v>
      </c>
      <c r="G426" s="55">
        <v>10000000</v>
      </c>
      <c r="H426" s="55"/>
      <c r="I426" s="55"/>
      <c r="J426" s="51">
        <v>800000</v>
      </c>
      <c r="K426" s="51"/>
      <c r="L426" s="52">
        <v>46055</v>
      </c>
      <c r="M426" s="53">
        <v>45993</v>
      </c>
      <c r="N426" s="50" t="s">
        <v>217</v>
      </c>
      <c r="O426" s="50" t="s">
        <v>1540</v>
      </c>
      <c r="P426" s="50" t="s">
        <v>1539</v>
      </c>
      <c r="Q426" s="55" t="s">
        <v>1541</v>
      </c>
      <c r="R426" s="55" t="s">
        <v>1542</v>
      </c>
      <c r="S426" s="53">
        <v>47088</v>
      </c>
      <c r="T426" s="50"/>
      <c r="U426" s="50"/>
      <c r="V426" s="56"/>
      <c r="W426" s="50"/>
      <c r="X426" s="50"/>
      <c r="Y426" s="56"/>
      <c r="Z426" s="56"/>
      <c r="AA426" s="56"/>
      <c r="AB426" s="56"/>
      <c r="AC426" s="56"/>
      <c r="AD426" s="56"/>
    </row>
    <row x14ac:dyDescent="0.25" r="427" customHeight="1" ht="18.75" hidden="1">
      <c r="A427" s="48" t="s">
        <v>63</v>
      </c>
      <c r="B427" s="48"/>
      <c r="C427" s="49" t="s">
        <v>16</v>
      </c>
      <c r="D427" s="50" t="s">
        <v>202</v>
      </c>
      <c r="E427" s="50" t="s">
        <v>203</v>
      </c>
      <c r="F427" s="50" t="s">
        <v>1543</v>
      </c>
      <c r="G427" s="51">
        <v>20000000</v>
      </c>
      <c r="H427" s="51"/>
      <c r="I427" s="51"/>
      <c r="J427" s="87">
        <f>IF(G427&gt;0,_xludf.IFS(G427=10000000,800000,G427=20000000,1528000,G427=30000000,2028000,G427=60000000,4056000),"")</f>
      </c>
      <c r="K427" s="51"/>
      <c r="L427" s="52">
        <v>46213</v>
      </c>
      <c r="M427" s="53">
        <v>46009</v>
      </c>
      <c r="N427" s="50" t="s">
        <v>239</v>
      </c>
      <c r="O427" s="50" t="s">
        <v>1544</v>
      </c>
      <c r="P427" s="54">
        <f>IF(F427&gt;0,F427,"")</f>
      </c>
      <c r="Q427" s="55" t="s">
        <v>1545</v>
      </c>
      <c r="R427" s="55">
        <v>27162186</v>
      </c>
      <c r="S427" s="53">
        <f>IF(ISNUMBER(M427), EDATE(M427,36)-1, "")</f>
        <v>25569.375</v>
      </c>
      <c r="T427" s="50"/>
      <c r="U427" s="50"/>
      <c r="V427" s="48" t="s">
        <v>3291</v>
      </c>
      <c r="W427" s="50" t="s">
        <v>3238</v>
      </c>
      <c r="X427" s="50" t="s">
        <v>3238</v>
      </c>
      <c r="Y427" s="56"/>
      <c r="Z427" s="56"/>
      <c r="AA427" s="56"/>
      <c r="AB427" s="56"/>
      <c r="AC427" s="56"/>
      <c r="AD427" s="56"/>
    </row>
    <row x14ac:dyDescent="0.25" r="428" customHeight="1" ht="18.75" hidden="1">
      <c r="A428" s="56"/>
      <c r="B428" s="56"/>
      <c r="C428" s="50" t="s">
        <v>16</v>
      </c>
      <c r="D428" s="50" t="s">
        <v>454</v>
      </c>
      <c r="E428" s="50" t="s">
        <v>318</v>
      </c>
      <c r="F428" s="50" t="s">
        <v>1547</v>
      </c>
      <c r="G428" s="55">
        <v>10000000</v>
      </c>
      <c r="H428" s="55"/>
      <c r="I428" s="55"/>
      <c r="J428" s="51">
        <v>800000</v>
      </c>
      <c r="K428" s="51"/>
      <c r="L428" s="52">
        <v>46126</v>
      </c>
      <c r="M428" s="53">
        <v>46067</v>
      </c>
      <c r="N428" s="50" t="s">
        <v>988</v>
      </c>
      <c r="O428" s="50" t="s">
        <v>1548</v>
      </c>
      <c r="P428" s="50" t="s">
        <v>1547</v>
      </c>
      <c r="Q428" s="55" t="s">
        <v>1550</v>
      </c>
      <c r="R428" s="55" t="s">
        <v>1551</v>
      </c>
      <c r="S428" s="53">
        <v>47162</v>
      </c>
      <c r="T428" s="50" t="s">
        <v>1552</v>
      </c>
      <c r="U428" s="50" t="s">
        <v>166</v>
      </c>
      <c r="V428" s="48" t="s">
        <v>1553</v>
      </c>
      <c r="W428" s="50"/>
      <c r="X428" s="50"/>
      <c r="Y428" s="56"/>
      <c r="Z428" s="56"/>
      <c r="AA428" s="56"/>
      <c r="AB428" s="56"/>
      <c r="AC428" s="56"/>
      <c r="AD428" s="56"/>
    </row>
    <row x14ac:dyDescent="0.25" r="429" customHeight="1" ht="18.75" hidden="1">
      <c r="A429" s="48" t="s">
        <v>152</v>
      </c>
      <c r="B429" s="48"/>
      <c r="C429" s="50" t="s">
        <v>16</v>
      </c>
      <c r="D429" s="50" t="s">
        <v>454</v>
      </c>
      <c r="E429" s="50" t="s">
        <v>1547</v>
      </c>
      <c r="F429" s="50" t="s">
        <v>1547</v>
      </c>
      <c r="G429" s="55">
        <v>10000000</v>
      </c>
      <c r="H429" s="55"/>
      <c r="I429" s="55"/>
      <c r="J429" s="51">
        <v>800000</v>
      </c>
      <c r="K429" s="51"/>
      <c r="L429" s="52">
        <v>46167</v>
      </c>
      <c r="M429" s="53">
        <v>46106</v>
      </c>
      <c r="N429" s="50" t="s">
        <v>302</v>
      </c>
      <c r="O429" s="50" t="s">
        <v>1554</v>
      </c>
      <c r="P429" s="50" t="s">
        <v>1547</v>
      </c>
      <c r="Q429" s="55" t="s">
        <v>1550</v>
      </c>
      <c r="R429" s="55" t="s">
        <v>1551</v>
      </c>
      <c r="S429" s="53">
        <v>47201</v>
      </c>
      <c r="T429" s="50" t="s">
        <v>1556</v>
      </c>
      <c r="U429" s="50" t="s">
        <v>166</v>
      </c>
      <c r="V429" s="48" t="s">
        <v>3292</v>
      </c>
      <c r="W429" s="50"/>
      <c r="X429" s="50"/>
      <c r="Y429" s="56"/>
      <c r="Z429" s="56"/>
      <c r="AA429" s="56"/>
      <c r="AB429" s="56"/>
      <c r="AC429" s="56"/>
      <c r="AD429" s="56"/>
    </row>
    <row x14ac:dyDescent="0.25" r="430" customHeight="1" ht="18.75" hidden="1">
      <c r="A430" s="63" t="s">
        <v>152</v>
      </c>
      <c r="B430" s="63"/>
      <c r="C430" s="49" t="s">
        <v>16</v>
      </c>
      <c r="D430" s="49" t="s">
        <v>454</v>
      </c>
      <c r="E430" s="49" t="s">
        <v>318</v>
      </c>
      <c r="F430" s="49" t="s">
        <v>1547</v>
      </c>
      <c r="G430" s="64">
        <v>20000000</v>
      </c>
      <c r="H430" s="64"/>
      <c r="I430" s="64"/>
      <c r="J430" s="65">
        <f>IF(G430&gt;0,_xludf.IFS(G430=10000000,800000,G430=20000000,1528000,G430=30000000,2028000,G430=60000000,4056000),"")</f>
      </c>
      <c r="K430" s="64"/>
      <c r="L430" s="66">
        <v>46162</v>
      </c>
      <c r="M430" s="67">
        <v>46057</v>
      </c>
      <c r="N430" s="49" t="s">
        <v>555</v>
      </c>
      <c r="O430" s="49" t="s">
        <v>1559</v>
      </c>
      <c r="P430" s="68">
        <f>IF(F430&gt;0,F430,"")</f>
      </c>
      <c r="Q430" s="69" t="s">
        <v>1560</v>
      </c>
      <c r="R430" s="69">
        <v>33646259</v>
      </c>
      <c r="S430" s="53">
        <f>IF(M430&gt;0,EDATE(M430,36)-1,"")</f>
        <v>25569.375</v>
      </c>
      <c r="T430" s="49"/>
      <c r="U430" s="49"/>
      <c r="V430" s="63" t="s">
        <v>1561</v>
      </c>
      <c r="W430" s="50"/>
      <c r="X430" s="50"/>
      <c r="Y430" s="56"/>
      <c r="Z430" s="56"/>
      <c r="AA430" s="56"/>
      <c r="AB430" s="56"/>
      <c r="AC430" s="56"/>
      <c r="AD430" s="56"/>
    </row>
    <row x14ac:dyDescent="0.25" r="431" customHeight="1" ht="18.75" hidden="1">
      <c r="A431" s="56"/>
      <c r="B431" s="56"/>
      <c r="C431" s="50" t="s">
        <v>16</v>
      </c>
      <c r="D431" s="50"/>
      <c r="E431" s="50"/>
      <c r="F431" s="50" t="s">
        <v>1562</v>
      </c>
      <c r="G431" s="55">
        <v>20000000</v>
      </c>
      <c r="H431" s="55"/>
      <c r="I431" s="55"/>
      <c r="J431" s="51">
        <v>1528000</v>
      </c>
      <c r="K431" s="51"/>
      <c r="L431" s="52">
        <v>46158</v>
      </c>
      <c r="M431" s="53">
        <v>46097</v>
      </c>
      <c r="N431" s="50" t="s">
        <v>217</v>
      </c>
      <c r="O431" s="50" t="s">
        <v>1563</v>
      </c>
      <c r="P431" s="50" t="s">
        <v>1562</v>
      </c>
      <c r="Q431" s="55" t="s">
        <v>1564</v>
      </c>
      <c r="R431" s="55" t="s">
        <v>1565</v>
      </c>
      <c r="S431" s="53">
        <v>47192</v>
      </c>
      <c r="T431" s="50" t="s">
        <v>1566</v>
      </c>
      <c r="U431" s="50" t="s">
        <v>166</v>
      </c>
      <c r="V431" s="56"/>
      <c r="W431" s="50"/>
      <c r="X431" s="50"/>
      <c r="Y431" s="56"/>
      <c r="Z431" s="56"/>
      <c r="AA431" s="56"/>
      <c r="AB431" s="56"/>
      <c r="AC431" s="56"/>
      <c r="AD431" s="56"/>
    </row>
    <row x14ac:dyDescent="0.25" r="432" customHeight="1" ht="18.75" hidden="1">
      <c r="A432" s="56"/>
      <c r="B432" s="56"/>
      <c r="C432" s="50" t="s">
        <v>16</v>
      </c>
      <c r="D432" s="50"/>
      <c r="E432" s="50"/>
      <c r="F432" s="50" t="s">
        <v>1567</v>
      </c>
      <c r="G432" s="55">
        <v>60000000</v>
      </c>
      <c r="H432" s="55"/>
      <c r="I432" s="55"/>
      <c r="J432" s="51">
        <v>4056000</v>
      </c>
      <c r="K432" s="51"/>
      <c r="L432" s="52">
        <v>46004</v>
      </c>
      <c r="M432" s="53">
        <v>45943</v>
      </c>
      <c r="N432" s="50" t="s">
        <v>306</v>
      </c>
      <c r="O432" s="50" t="s">
        <v>1568</v>
      </c>
      <c r="P432" s="50" t="s">
        <v>1567</v>
      </c>
      <c r="Q432" s="55" t="s">
        <v>1569</v>
      </c>
      <c r="R432" s="55" t="s">
        <v>1570</v>
      </c>
      <c r="S432" s="53">
        <v>47038</v>
      </c>
      <c r="T432" s="50"/>
      <c r="U432" s="50"/>
      <c r="V432" s="56"/>
      <c r="W432" s="50"/>
      <c r="X432" s="50"/>
      <c r="Y432" s="56"/>
      <c r="Z432" s="56"/>
      <c r="AA432" s="56"/>
      <c r="AB432" s="56"/>
      <c r="AC432" s="56"/>
      <c r="AD432" s="56"/>
    </row>
    <row x14ac:dyDescent="0.25" r="433" customHeight="1" ht="18.75">
      <c r="A433" s="63"/>
      <c r="B433" s="63"/>
      <c r="C433" s="49" t="s">
        <v>16</v>
      </c>
      <c r="D433" s="49" t="s">
        <v>116</v>
      </c>
      <c r="E433" s="49" t="s">
        <v>117</v>
      </c>
      <c r="F433" s="49" t="s">
        <v>851</v>
      </c>
      <c r="G433" s="64">
        <v>10000000</v>
      </c>
      <c r="H433" s="64"/>
      <c r="I433" s="64"/>
      <c r="J433" s="65">
        <f>IF(G433&gt;0,_xludf.IFS(G433=10000000,800000,G433=20000000,1528000,G433=30000000,2028000,G433=60000000,4056000),"")</f>
      </c>
      <c r="K433" s="64"/>
      <c r="L433" s="66">
        <v>46192</v>
      </c>
      <c r="M433" s="67">
        <f>IF(L433&gt;0,EDATE(L433,-2),"")</f>
        <v>25569.375</v>
      </c>
      <c r="N433" s="49" t="s">
        <v>239</v>
      </c>
      <c r="O433" s="49" t="s">
        <v>852</v>
      </c>
      <c r="P433" s="68">
        <f>IF(F433&gt;0,F433,"")</f>
      </c>
      <c r="Q433" s="69" t="s">
        <v>853</v>
      </c>
      <c r="R433" s="69">
        <v>33247307</v>
      </c>
      <c r="S433" s="67">
        <f>IF(ISNUMBER(M433), EDATE(M433,36)-1, "")</f>
        <v>25569.375</v>
      </c>
      <c r="T433" s="49"/>
      <c r="U433" s="49"/>
      <c r="V433" s="63"/>
      <c r="W433" s="50"/>
      <c r="X433" s="50"/>
      <c r="Y433" s="56"/>
      <c r="Z433" s="56"/>
      <c r="AA433" s="56"/>
      <c r="AB433" s="56"/>
      <c r="AC433" s="56"/>
      <c r="AD433" s="56"/>
    </row>
    <row x14ac:dyDescent="0.25" r="434" customHeight="1" ht="18.75" hidden="1">
      <c r="A434" s="56"/>
      <c r="B434" s="56"/>
      <c r="C434" s="50" t="s">
        <v>16</v>
      </c>
      <c r="D434" s="50"/>
      <c r="E434" s="50"/>
      <c r="F434" s="50" t="s">
        <v>1575</v>
      </c>
      <c r="G434" s="55">
        <v>30000000</v>
      </c>
      <c r="H434" s="55"/>
      <c r="I434" s="55"/>
      <c r="J434" s="51">
        <v>2400000</v>
      </c>
      <c r="K434" s="51"/>
      <c r="L434" s="52">
        <v>45986</v>
      </c>
      <c r="M434" s="53">
        <v>45925</v>
      </c>
      <c r="N434" s="50" t="s">
        <v>302</v>
      </c>
      <c r="O434" s="50" t="s">
        <v>1576</v>
      </c>
      <c r="P434" s="50" t="s">
        <v>1575</v>
      </c>
      <c r="Q434" s="55" t="s">
        <v>1577</v>
      </c>
      <c r="R434" s="55" t="s">
        <v>1578</v>
      </c>
      <c r="S434" s="53">
        <v>47020</v>
      </c>
      <c r="T434" s="50"/>
      <c r="U434" s="50"/>
      <c r="V434" s="56"/>
      <c r="W434" s="50"/>
      <c r="X434" s="50"/>
      <c r="Y434" s="56"/>
      <c r="Z434" s="56"/>
      <c r="AA434" s="56"/>
      <c r="AB434" s="56"/>
      <c r="AC434" s="56"/>
      <c r="AD434" s="56"/>
    </row>
    <row x14ac:dyDescent="0.25" r="435" customHeight="1" ht="18.75">
      <c r="A435" s="63"/>
      <c r="B435" s="63"/>
      <c r="C435" s="49" t="s">
        <v>16</v>
      </c>
      <c r="D435" s="49" t="s">
        <v>454</v>
      </c>
      <c r="E435" s="49" t="s">
        <v>574</v>
      </c>
      <c r="F435" s="49" t="s">
        <v>1701</v>
      </c>
      <c r="G435" s="64">
        <v>10000000</v>
      </c>
      <c r="H435" s="64"/>
      <c r="I435" s="64"/>
      <c r="J435" s="64">
        <v>1200000</v>
      </c>
      <c r="K435" s="64"/>
      <c r="L435" s="66">
        <v>46192</v>
      </c>
      <c r="M435" s="67">
        <f>IF(L435&gt;0,EDATE(L435,-2),"")</f>
        <v>25569.375</v>
      </c>
      <c r="N435" s="49" t="s">
        <v>217</v>
      </c>
      <c r="O435" s="49" t="s">
        <v>1702</v>
      </c>
      <c r="P435" s="68">
        <f>IF(F435&gt;0,F435,"")</f>
      </c>
      <c r="Q435" s="69" t="s">
        <v>1703</v>
      </c>
      <c r="R435" s="69">
        <v>64158162</v>
      </c>
      <c r="S435" s="67">
        <f>IF(ISNUMBER(M435), EDATE(M435,36)-1, "")</f>
        <v>25569.375</v>
      </c>
      <c r="T435" s="49"/>
      <c r="U435" s="49"/>
      <c r="V435" s="63"/>
      <c r="W435" s="50"/>
      <c r="X435" s="50"/>
      <c r="Y435" s="56"/>
      <c r="Z435" s="56"/>
      <c r="AA435" s="56"/>
      <c r="AB435" s="56"/>
      <c r="AC435" s="56"/>
      <c r="AD435" s="56"/>
    </row>
    <row x14ac:dyDescent="0.25" r="436" customHeight="1" ht="18.75">
      <c r="A436" s="63"/>
      <c r="B436" s="63"/>
      <c r="C436" s="49" t="s">
        <v>16</v>
      </c>
      <c r="D436" s="49" t="s">
        <v>454</v>
      </c>
      <c r="E436" s="49" t="s">
        <v>574</v>
      </c>
      <c r="F436" s="49" t="s">
        <v>1713</v>
      </c>
      <c r="G436" s="64">
        <v>10000000</v>
      </c>
      <c r="H436" s="64"/>
      <c r="I436" s="64"/>
      <c r="J436" s="64">
        <v>1200000</v>
      </c>
      <c r="K436" s="64"/>
      <c r="L436" s="66">
        <v>46192</v>
      </c>
      <c r="M436" s="67">
        <f>IF(L436&gt;0,EDATE(L436,-2),"")</f>
        <v>25569.375</v>
      </c>
      <c r="N436" s="49" t="s">
        <v>302</v>
      </c>
      <c r="O436" s="49" t="s">
        <v>1714</v>
      </c>
      <c r="P436" s="68">
        <f>IF(F436&gt;0,F436,"")</f>
      </c>
      <c r="Q436" s="69" t="s">
        <v>1715</v>
      </c>
      <c r="R436" s="69">
        <v>90075073</v>
      </c>
      <c r="S436" s="67">
        <f>IF(ISNUMBER(M436), EDATE(M436,36)-1, "")</f>
        <v>25569.375</v>
      </c>
      <c r="T436" s="49"/>
      <c r="U436" s="49"/>
      <c r="V436" s="63"/>
      <c r="W436" s="50"/>
      <c r="X436" s="50"/>
      <c r="Y436" s="56"/>
      <c r="Z436" s="56"/>
      <c r="AA436" s="56"/>
      <c r="AB436" s="56"/>
      <c r="AC436" s="56"/>
      <c r="AD436" s="56"/>
    </row>
    <row x14ac:dyDescent="0.25" r="437" customHeight="1" ht="18.75" hidden="1">
      <c r="A437" s="56"/>
      <c r="B437" s="56"/>
      <c r="C437" s="50" t="s">
        <v>16</v>
      </c>
      <c r="D437" s="50" t="s">
        <v>143</v>
      </c>
      <c r="E437" s="50" t="s">
        <v>22</v>
      </c>
      <c r="F437" s="50" t="s">
        <v>1589</v>
      </c>
      <c r="G437" s="55">
        <v>10000000</v>
      </c>
      <c r="H437" s="55"/>
      <c r="I437" s="55"/>
      <c r="J437" s="51">
        <v>800000</v>
      </c>
      <c r="K437" s="51"/>
      <c r="L437" s="52">
        <v>46172</v>
      </c>
      <c r="M437" s="53">
        <v>46111</v>
      </c>
      <c r="N437" s="50" t="s">
        <v>217</v>
      </c>
      <c r="O437" s="50" t="s">
        <v>1590</v>
      </c>
      <c r="P437" s="50" t="s">
        <v>1589</v>
      </c>
      <c r="Q437" s="55" t="s">
        <v>1591</v>
      </c>
      <c r="R437" s="55" t="s">
        <v>1592</v>
      </c>
      <c r="S437" s="53">
        <v>47206</v>
      </c>
      <c r="T437" s="50" t="s">
        <v>1593</v>
      </c>
      <c r="U437" s="50" t="s">
        <v>166</v>
      </c>
      <c r="V437" s="56"/>
      <c r="W437" s="50"/>
      <c r="X437" s="50"/>
      <c r="Y437" s="56"/>
      <c r="Z437" s="56"/>
      <c r="AA437" s="56"/>
      <c r="AB437" s="56"/>
      <c r="AC437" s="56"/>
      <c r="AD437" s="56"/>
    </row>
    <row x14ac:dyDescent="0.25" r="438" customHeight="1" ht="18.75" hidden="1">
      <c r="A438" s="71"/>
      <c r="B438" s="71"/>
      <c r="C438" s="72" t="s">
        <v>16</v>
      </c>
      <c r="D438" s="72"/>
      <c r="E438" s="72"/>
      <c r="F438" s="72" t="s">
        <v>59</v>
      </c>
      <c r="G438" s="73"/>
      <c r="H438" s="73"/>
      <c r="I438" s="73"/>
      <c r="J438" s="74"/>
      <c r="K438" s="74"/>
      <c r="L438" s="75">
        <v>45819</v>
      </c>
      <c r="M438" s="76">
        <v>45758</v>
      </c>
      <c r="N438" s="72" t="s">
        <v>168</v>
      </c>
      <c r="O438" s="72" t="s">
        <v>471</v>
      </c>
      <c r="P438" s="72" t="s">
        <v>59</v>
      </c>
      <c r="Q438" s="73" t="s">
        <v>1594</v>
      </c>
      <c r="R438" s="73" t="s">
        <v>1595</v>
      </c>
      <c r="S438" s="76">
        <v>46853</v>
      </c>
      <c r="T438" s="72" t="s">
        <v>60</v>
      </c>
      <c r="U438" s="72"/>
      <c r="V438" s="71"/>
      <c r="W438" s="50"/>
      <c r="X438" s="50"/>
      <c r="Y438" s="56"/>
      <c r="Z438" s="56"/>
      <c r="AA438" s="56"/>
      <c r="AB438" s="56"/>
      <c r="AC438" s="56"/>
      <c r="AD438" s="56"/>
    </row>
    <row x14ac:dyDescent="0.25" r="439" customHeight="1" ht="18.75">
      <c r="A439" s="56"/>
      <c r="B439" s="56"/>
      <c r="C439" s="50" t="s">
        <v>16</v>
      </c>
      <c r="D439" s="50"/>
      <c r="E439" s="50" t="s">
        <v>1260</v>
      </c>
      <c r="F439" s="50" t="s">
        <v>1801</v>
      </c>
      <c r="G439" s="55">
        <v>10000000</v>
      </c>
      <c r="H439" s="55"/>
      <c r="I439" s="55"/>
      <c r="J439" s="51">
        <v>1200000</v>
      </c>
      <c r="K439" s="51"/>
      <c r="L439" s="52">
        <v>46192</v>
      </c>
      <c r="M439" s="53">
        <v>46131</v>
      </c>
      <c r="N439" s="50" t="s">
        <v>161</v>
      </c>
      <c r="O439" s="50" t="s">
        <v>1802</v>
      </c>
      <c r="P439" s="50" t="s">
        <v>1801</v>
      </c>
      <c r="Q439" s="55" t="s">
        <v>1803</v>
      </c>
      <c r="R439" s="55" t="s">
        <v>1804</v>
      </c>
      <c r="S439" s="53">
        <v>47226</v>
      </c>
      <c r="T439" s="50" t="s">
        <v>1805</v>
      </c>
      <c r="U439" s="50" t="s">
        <v>166</v>
      </c>
      <c r="V439" s="56"/>
      <c r="W439" s="50"/>
      <c r="X439" s="50"/>
      <c r="Y439" s="56"/>
      <c r="Z439" s="56"/>
      <c r="AA439" s="56"/>
      <c r="AB439" s="56"/>
      <c r="AC439" s="56"/>
      <c r="AD439" s="56"/>
    </row>
    <row x14ac:dyDescent="0.25" r="440" customHeight="1" ht="18.75">
      <c r="A440" s="48" t="s">
        <v>152</v>
      </c>
      <c r="B440" s="62"/>
      <c r="C440" s="50" t="s">
        <v>16</v>
      </c>
      <c r="D440" s="50"/>
      <c r="E440" s="50"/>
      <c r="F440" s="50" t="s">
        <v>84</v>
      </c>
      <c r="G440" s="55">
        <v>10000000</v>
      </c>
      <c r="H440" s="55"/>
      <c r="I440" s="55"/>
      <c r="J440" s="51">
        <v>800000</v>
      </c>
      <c r="K440" s="51"/>
      <c r="L440" s="52">
        <v>46192</v>
      </c>
      <c r="M440" s="53">
        <v>46131</v>
      </c>
      <c r="N440" s="50" t="s">
        <v>580</v>
      </c>
      <c r="O440" s="50" t="s">
        <v>1806</v>
      </c>
      <c r="P440" s="50" t="s">
        <v>84</v>
      </c>
      <c r="Q440" s="55" t="s">
        <v>1807</v>
      </c>
      <c r="R440" s="55" t="s">
        <v>1808</v>
      </c>
      <c r="S440" s="53">
        <v>47226</v>
      </c>
      <c r="T440" s="50" t="s">
        <v>85</v>
      </c>
      <c r="U440" s="50"/>
      <c r="V440" s="56" t="s">
        <v>86</v>
      </c>
      <c r="W440" s="50"/>
      <c r="X440" s="50"/>
      <c r="Y440" s="56"/>
      <c r="Z440" s="56"/>
      <c r="AA440" s="56"/>
      <c r="AB440" s="56"/>
      <c r="AC440" s="56"/>
      <c r="AD440" s="56"/>
    </row>
    <row x14ac:dyDescent="0.25" r="441" customHeight="1" ht="18.75">
      <c r="A441" s="48" t="s">
        <v>275</v>
      </c>
      <c r="B441" s="62"/>
      <c r="C441" s="50" t="s">
        <v>16</v>
      </c>
      <c r="D441" s="50"/>
      <c r="E441" s="50"/>
      <c r="F441" s="50" t="s">
        <v>2152</v>
      </c>
      <c r="G441" s="55">
        <v>10000000</v>
      </c>
      <c r="H441" s="55"/>
      <c r="I441" s="55"/>
      <c r="J441" s="51">
        <v>800000</v>
      </c>
      <c r="K441" s="51"/>
      <c r="L441" s="52">
        <v>46192</v>
      </c>
      <c r="M441" s="53">
        <v>46131</v>
      </c>
      <c r="N441" s="50" t="s">
        <v>205</v>
      </c>
      <c r="O441" s="50" t="s">
        <v>2153</v>
      </c>
      <c r="P441" s="50" t="s">
        <v>2152</v>
      </c>
      <c r="Q441" s="55" t="s">
        <v>2154</v>
      </c>
      <c r="R441" s="55" t="s">
        <v>1808</v>
      </c>
      <c r="S441" s="53">
        <v>47226</v>
      </c>
      <c r="T441" s="50" t="s">
        <v>85</v>
      </c>
      <c r="U441" s="50" t="s">
        <v>166</v>
      </c>
      <c r="V441" s="56" t="s">
        <v>2155</v>
      </c>
      <c r="W441" s="50"/>
      <c r="X441" s="50"/>
      <c r="Y441" s="56"/>
      <c r="Z441" s="56"/>
      <c r="AA441" s="56"/>
      <c r="AB441" s="56"/>
      <c r="AC441" s="56"/>
      <c r="AD441" s="56"/>
    </row>
    <row x14ac:dyDescent="0.25" r="442" customHeight="1" ht="18.75" hidden="1">
      <c r="A442" s="56"/>
      <c r="B442" s="56"/>
      <c r="C442" s="50" t="s">
        <v>16</v>
      </c>
      <c r="D442" s="50"/>
      <c r="E442" s="50"/>
      <c r="F442" s="50" t="s">
        <v>62</v>
      </c>
      <c r="G442" s="55">
        <v>10000000</v>
      </c>
      <c r="H442" s="55"/>
      <c r="I442" s="55"/>
      <c r="J442" s="51">
        <v>800000</v>
      </c>
      <c r="K442" s="51"/>
      <c r="L442" s="52">
        <v>45983</v>
      </c>
      <c r="M442" s="53">
        <v>45922</v>
      </c>
      <c r="N442" s="50" t="s">
        <v>282</v>
      </c>
      <c r="O442" s="50" t="s">
        <v>1601</v>
      </c>
      <c r="P442" s="50" t="s">
        <v>62</v>
      </c>
      <c r="Q442" s="55" t="s">
        <v>1602</v>
      </c>
      <c r="R442" s="55" t="s">
        <v>1603</v>
      </c>
      <c r="S442" s="53">
        <v>47017</v>
      </c>
      <c r="T442" s="50"/>
      <c r="U442" s="50"/>
      <c r="V442" s="56"/>
      <c r="W442" s="50"/>
      <c r="X442" s="50"/>
      <c r="Y442" s="56"/>
      <c r="Z442" s="56"/>
      <c r="AA442" s="56"/>
      <c r="AB442" s="56"/>
      <c r="AC442" s="56"/>
      <c r="AD442" s="56"/>
    </row>
    <row x14ac:dyDescent="0.25" r="443" customHeight="1" ht="18.75" hidden="1">
      <c r="A443" s="56"/>
      <c r="B443" s="56"/>
      <c r="C443" s="50" t="s">
        <v>16</v>
      </c>
      <c r="D443" s="50"/>
      <c r="E443" s="50"/>
      <c r="F443" s="50" t="s">
        <v>62</v>
      </c>
      <c r="G443" s="55">
        <v>20000000</v>
      </c>
      <c r="H443" s="55"/>
      <c r="I443" s="55"/>
      <c r="J443" s="51">
        <v>1528000</v>
      </c>
      <c r="K443" s="51"/>
      <c r="L443" s="52">
        <v>46056</v>
      </c>
      <c r="M443" s="53">
        <v>45994</v>
      </c>
      <c r="N443" s="50" t="s">
        <v>168</v>
      </c>
      <c r="O443" s="50" t="s">
        <v>3293</v>
      </c>
      <c r="P443" s="50" t="s">
        <v>62</v>
      </c>
      <c r="Q443" s="55" t="s">
        <v>1602</v>
      </c>
      <c r="R443" s="55" t="s">
        <v>1603</v>
      </c>
      <c r="S443" s="53">
        <v>47089</v>
      </c>
      <c r="T443" s="50"/>
      <c r="U443" s="50"/>
      <c r="V443" s="56"/>
      <c r="W443" s="50"/>
      <c r="X443" s="50"/>
      <c r="Y443" s="56"/>
      <c r="Z443" s="56"/>
      <c r="AA443" s="56"/>
      <c r="AB443" s="56"/>
      <c r="AC443" s="56"/>
      <c r="AD443" s="56"/>
    </row>
    <row x14ac:dyDescent="0.25" r="444" customHeight="1" ht="18.75">
      <c r="A444" s="56"/>
      <c r="B444" s="56"/>
      <c r="C444" s="50" t="s">
        <v>16</v>
      </c>
      <c r="D444" s="50" t="s">
        <v>48</v>
      </c>
      <c r="E444" s="50" t="s">
        <v>1044</v>
      </c>
      <c r="F444" s="50" t="s">
        <v>2540</v>
      </c>
      <c r="G444" s="55">
        <v>10000000</v>
      </c>
      <c r="H444" s="55"/>
      <c r="I444" s="55"/>
      <c r="J444" s="51">
        <v>800000</v>
      </c>
      <c r="K444" s="51"/>
      <c r="L444" s="52">
        <v>46192</v>
      </c>
      <c r="M444" s="53">
        <v>46131</v>
      </c>
      <c r="N444" s="50" t="s">
        <v>302</v>
      </c>
      <c r="O444" s="50" t="s">
        <v>2541</v>
      </c>
      <c r="P444" s="50" t="s">
        <v>2540</v>
      </c>
      <c r="Q444" s="55" t="s">
        <v>2542</v>
      </c>
      <c r="R444" s="55" t="s">
        <v>2543</v>
      </c>
      <c r="S444" s="53">
        <v>47226</v>
      </c>
      <c r="T444" s="50" t="s">
        <v>2544</v>
      </c>
      <c r="U444" s="50" t="s">
        <v>166</v>
      </c>
      <c r="V444" s="56"/>
      <c r="W444" s="50"/>
      <c r="X444" s="50"/>
      <c r="Y444" s="56"/>
      <c r="Z444" s="56"/>
      <c r="AA444" s="56"/>
      <c r="AB444" s="56"/>
      <c r="AC444" s="56"/>
      <c r="AD444" s="56"/>
    </row>
    <row x14ac:dyDescent="0.25" r="445" customHeight="1" ht="18.75" hidden="1">
      <c r="A445" s="48" t="s">
        <v>152</v>
      </c>
      <c r="B445" s="48"/>
      <c r="C445" s="50" t="s">
        <v>16</v>
      </c>
      <c r="D445" s="50" t="s">
        <v>80</v>
      </c>
      <c r="E445" s="50" t="s">
        <v>97</v>
      </c>
      <c r="F445" s="50" t="s">
        <v>3294</v>
      </c>
      <c r="G445" s="51">
        <v>20000000</v>
      </c>
      <c r="H445" s="51"/>
      <c r="I445" s="51"/>
      <c r="J445" s="51">
        <v>1528000</v>
      </c>
      <c r="K445" s="51"/>
      <c r="L445" s="52">
        <v>46113</v>
      </c>
      <c r="M445" s="53">
        <f>IF(L445&gt;0,EDATE(L445,-2),"")</f>
        <v>25569.375</v>
      </c>
      <c r="N445" s="50" t="s">
        <v>168</v>
      </c>
      <c r="O445" s="50" t="s">
        <v>3295</v>
      </c>
      <c r="P445" s="54">
        <f>IF(F445&gt;0,F445,"")</f>
      </c>
      <c r="Q445" s="55">
        <v>8505272399010</v>
      </c>
      <c r="R445" s="55">
        <v>87759431</v>
      </c>
      <c r="S445" s="53">
        <f>IF(ISNUMBER(M445), EDATE(M445,36)-1, "")</f>
        <v>25569.375</v>
      </c>
      <c r="T445" s="50"/>
      <c r="U445" s="50"/>
      <c r="V445" s="56"/>
      <c r="W445" s="50"/>
      <c r="X445" s="50"/>
      <c r="Y445" s="56"/>
      <c r="Z445" s="56"/>
      <c r="AA445" s="56"/>
      <c r="AB445" s="56"/>
      <c r="AC445" s="56"/>
      <c r="AD445" s="56"/>
    </row>
    <row x14ac:dyDescent="0.25" r="446" customHeight="1" ht="18.75">
      <c r="A446" s="56"/>
      <c r="B446" s="56"/>
      <c r="C446" s="50" t="s">
        <v>16</v>
      </c>
      <c r="D446" s="50"/>
      <c r="E446" s="50" t="s">
        <v>34</v>
      </c>
      <c r="F446" s="50" t="s">
        <v>2569</v>
      </c>
      <c r="G446" s="55">
        <v>60000000</v>
      </c>
      <c r="H446" s="55"/>
      <c r="I446" s="55"/>
      <c r="J446" s="51">
        <v>3000000</v>
      </c>
      <c r="K446" s="51"/>
      <c r="L446" s="52">
        <v>46192</v>
      </c>
      <c r="M446" s="53">
        <v>46131</v>
      </c>
      <c r="N446" s="50" t="s">
        <v>302</v>
      </c>
      <c r="O446" s="50" t="s">
        <v>2570</v>
      </c>
      <c r="P446" s="50" t="s">
        <v>2569</v>
      </c>
      <c r="Q446" s="55" t="s">
        <v>2571</v>
      </c>
      <c r="R446" s="55" t="s">
        <v>2572</v>
      </c>
      <c r="S446" s="53">
        <v>47226</v>
      </c>
      <c r="T446" s="50" t="s">
        <v>2573</v>
      </c>
      <c r="U446" s="50" t="s">
        <v>166</v>
      </c>
      <c r="V446" s="56"/>
      <c r="W446" s="50"/>
      <c r="X446" s="50"/>
      <c r="Y446" s="56"/>
      <c r="Z446" s="56"/>
      <c r="AA446" s="56"/>
      <c r="AB446" s="56"/>
      <c r="AC446" s="56"/>
      <c r="AD446" s="56"/>
    </row>
    <row x14ac:dyDescent="0.25" r="447" customHeight="1" ht="18.75">
      <c r="A447" s="63"/>
      <c r="B447" s="63"/>
      <c r="C447" s="49" t="s">
        <v>16</v>
      </c>
      <c r="D447" s="49" t="s">
        <v>454</v>
      </c>
      <c r="E447" s="49" t="s">
        <v>2506</v>
      </c>
      <c r="F447" s="49" t="s">
        <v>2678</v>
      </c>
      <c r="G447" s="64">
        <v>10000000</v>
      </c>
      <c r="H447" s="64"/>
      <c r="I447" s="64"/>
      <c r="J447" s="64">
        <v>500000</v>
      </c>
      <c r="K447" s="64"/>
      <c r="L447" s="66">
        <v>46192</v>
      </c>
      <c r="M447" s="67">
        <f>IF(L447&gt;0,EDATE(L447,-2),"")</f>
        <v>25569.375</v>
      </c>
      <c r="N447" s="49" t="s">
        <v>217</v>
      </c>
      <c r="O447" s="49" t="s">
        <v>2679</v>
      </c>
      <c r="P447" s="68">
        <f>IF(F447&gt;0,F447,"")</f>
      </c>
      <c r="Q447" s="69" t="s">
        <v>2680</v>
      </c>
      <c r="R447" s="69">
        <v>39397081</v>
      </c>
      <c r="S447" s="67">
        <f>IF(ISNUMBER(M447), EDATE(M447,36)-1, "")</f>
        <v>25569.375</v>
      </c>
      <c r="T447" s="49"/>
      <c r="U447" s="49"/>
      <c r="V447" s="63" t="s">
        <v>2681</v>
      </c>
      <c r="W447" s="50"/>
      <c r="X447" s="50"/>
      <c r="Y447" s="56"/>
      <c r="Z447" s="56"/>
      <c r="AA447" s="56"/>
      <c r="AB447" s="56"/>
      <c r="AC447" s="56"/>
      <c r="AD447" s="56"/>
    </row>
    <row x14ac:dyDescent="0.25" r="448" customHeight="1" ht="18.75">
      <c r="A448" s="56"/>
      <c r="B448" s="56"/>
      <c r="C448" s="50" t="s">
        <v>16</v>
      </c>
      <c r="D448" s="50"/>
      <c r="E448" s="50"/>
      <c r="F448" s="50" t="s">
        <v>2711</v>
      </c>
      <c r="G448" s="55">
        <v>10000000</v>
      </c>
      <c r="H448" s="55"/>
      <c r="I448" s="55"/>
      <c r="J448" s="51">
        <v>800000</v>
      </c>
      <c r="K448" s="51"/>
      <c r="L448" s="52">
        <v>46192</v>
      </c>
      <c r="M448" s="53">
        <v>46131</v>
      </c>
      <c r="N448" s="50" t="s">
        <v>161</v>
      </c>
      <c r="O448" s="50" t="s">
        <v>2712</v>
      </c>
      <c r="P448" s="50" t="s">
        <v>2711</v>
      </c>
      <c r="Q448" s="55" t="s">
        <v>2713</v>
      </c>
      <c r="R448" s="55" t="s">
        <v>2714</v>
      </c>
      <c r="S448" s="53">
        <v>47226</v>
      </c>
      <c r="T448" s="50" t="s">
        <v>2715</v>
      </c>
      <c r="U448" s="50" t="s">
        <v>166</v>
      </c>
      <c r="V448" s="56"/>
      <c r="W448" s="50"/>
      <c r="X448" s="50"/>
      <c r="Y448" s="56"/>
      <c r="Z448" s="56"/>
      <c r="AA448" s="56"/>
      <c r="AB448" s="56"/>
      <c r="AC448" s="56"/>
      <c r="AD448" s="56"/>
    </row>
    <row x14ac:dyDescent="0.25" r="449" customHeight="1" ht="18.75" hidden="1">
      <c r="A449" s="56"/>
      <c r="B449" s="56"/>
      <c r="C449" s="49" t="s">
        <v>16</v>
      </c>
      <c r="D449" s="50" t="s">
        <v>410</v>
      </c>
      <c r="E449" s="50" t="s">
        <v>411</v>
      </c>
      <c r="F449" s="50" t="s">
        <v>1619</v>
      </c>
      <c r="G449" s="51">
        <v>20000000</v>
      </c>
      <c r="H449" s="51"/>
      <c r="I449" s="51"/>
      <c r="J449" s="51">
        <v>1528000</v>
      </c>
      <c r="K449" s="51"/>
      <c r="L449" s="52">
        <v>46170</v>
      </c>
      <c r="M449" s="53">
        <f>IF(L449&gt;0,EDATE(L449,-2),"")</f>
        <v>25569.375</v>
      </c>
      <c r="N449" s="50" t="s">
        <v>302</v>
      </c>
      <c r="O449" s="50" t="s">
        <v>1620</v>
      </c>
      <c r="P449" s="54">
        <f>IF(F449&gt;0,F449,"")</f>
      </c>
      <c r="Q449" s="55">
        <v>8206252471216</v>
      </c>
      <c r="R449" s="55">
        <v>21722632</v>
      </c>
      <c r="S449" s="53">
        <f>IF(ISNUMBER(M449), EDATE(M449,36)-1, "")</f>
        <v>25569.375</v>
      </c>
      <c r="T449" s="50"/>
      <c r="U449" s="50"/>
      <c r="V449" s="56"/>
      <c r="W449" s="50"/>
      <c r="X449" s="50"/>
      <c r="Y449" s="56"/>
      <c r="Z449" s="56"/>
      <c r="AA449" s="56"/>
      <c r="AB449" s="56"/>
      <c r="AC449" s="56"/>
      <c r="AD449" s="56"/>
    </row>
    <row x14ac:dyDescent="0.25" r="450" customHeight="1" ht="18.75">
      <c r="A450" s="56"/>
      <c r="B450" s="56"/>
      <c r="C450" s="50" t="s">
        <v>16</v>
      </c>
      <c r="D450" s="50"/>
      <c r="E450" s="50"/>
      <c r="F450" s="50" t="s">
        <v>378</v>
      </c>
      <c r="G450" s="55">
        <v>10000000</v>
      </c>
      <c r="H450" s="55"/>
      <c r="I450" s="55"/>
      <c r="J450" s="51">
        <v>800000</v>
      </c>
      <c r="K450" s="51"/>
      <c r="L450" s="52">
        <v>46193</v>
      </c>
      <c r="M450" s="53">
        <v>46132</v>
      </c>
      <c r="N450" s="50" t="s">
        <v>379</v>
      </c>
      <c r="O450" s="50" t="s">
        <v>380</v>
      </c>
      <c r="P450" s="50" t="s">
        <v>378</v>
      </c>
      <c r="Q450" s="55" t="s">
        <v>381</v>
      </c>
      <c r="R450" s="55" t="s">
        <v>382</v>
      </c>
      <c r="S450" s="53">
        <v>47227</v>
      </c>
      <c r="T450" s="50" t="s">
        <v>383</v>
      </c>
      <c r="U450" s="50" t="s">
        <v>166</v>
      </c>
      <c r="V450" s="56"/>
      <c r="W450" s="50"/>
      <c r="X450" s="50"/>
      <c r="Y450" s="56"/>
      <c r="Z450" s="56"/>
      <c r="AA450" s="56"/>
      <c r="AB450" s="56"/>
      <c r="AC450" s="56"/>
      <c r="AD450" s="56"/>
    </row>
    <row x14ac:dyDescent="0.25" r="451" customHeight="1" ht="18.75" hidden="1">
      <c r="A451" s="63"/>
      <c r="B451" s="63"/>
      <c r="C451" s="49" t="s">
        <v>16</v>
      </c>
      <c r="D451" s="49" t="s">
        <v>454</v>
      </c>
      <c r="E451" s="49" t="s">
        <v>455</v>
      </c>
      <c r="F451" s="49" t="s">
        <v>1624</v>
      </c>
      <c r="G451" s="64">
        <v>10000000</v>
      </c>
      <c r="H451" s="64"/>
      <c r="I451" s="64"/>
      <c r="J451" s="65">
        <f>IF(G451&gt;0,_xludf.IFS(G451=10000000,800000,G451=20000000,1528000,G451=30000000,2028000,G451=60000000,4056000),"")</f>
      </c>
      <c r="K451" s="64"/>
      <c r="L451" s="66">
        <v>46154</v>
      </c>
      <c r="M451" s="67">
        <f>IF(L451&gt;0,EDATE(L451,-2),"")</f>
        <v>25569.375</v>
      </c>
      <c r="N451" s="49" t="s">
        <v>988</v>
      </c>
      <c r="O451" s="49" t="s">
        <v>1625</v>
      </c>
      <c r="P451" s="68">
        <f>IF(F451&gt;0,F451,"")</f>
      </c>
      <c r="Q451" s="69" t="s">
        <v>1626</v>
      </c>
      <c r="R451" s="69">
        <v>22108996</v>
      </c>
      <c r="S451" s="67">
        <f>IF(ISNUMBER(M451), EDATE(M451,36)-1, "")</f>
        <v>25569.375</v>
      </c>
      <c r="T451" s="49"/>
      <c r="U451" s="49"/>
      <c r="V451" s="63"/>
      <c r="W451" s="50"/>
      <c r="X451" s="50"/>
      <c r="Y451" s="56"/>
      <c r="Z451" s="56"/>
      <c r="AA451" s="56"/>
      <c r="AB451" s="56"/>
      <c r="AC451" s="56"/>
      <c r="AD451" s="56"/>
    </row>
    <row x14ac:dyDescent="0.25" r="452" customHeight="1" ht="18.75">
      <c r="A452" s="56"/>
      <c r="B452" s="56"/>
      <c r="C452" s="50" t="s">
        <v>16</v>
      </c>
      <c r="D452" s="50" t="s">
        <v>454</v>
      </c>
      <c r="E452" s="50"/>
      <c r="F452" s="50" t="s">
        <v>509</v>
      </c>
      <c r="G452" s="55">
        <v>10000000</v>
      </c>
      <c r="H452" s="55"/>
      <c r="I452" s="55"/>
      <c r="J452" s="51">
        <v>800000</v>
      </c>
      <c r="K452" s="51"/>
      <c r="L452" s="52">
        <v>46193</v>
      </c>
      <c r="M452" s="53">
        <v>46132</v>
      </c>
      <c r="N452" s="50" t="s">
        <v>168</v>
      </c>
      <c r="O452" s="50" t="s">
        <v>510</v>
      </c>
      <c r="P452" s="50" t="s">
        <v>509</v>
      </c>
      <c r="Q452" s="55" t="s">
        <v>511</v>
      </c>
      <c r="R452" s="55" t="s">
        <v>512</v>
      </c>
      <c r="S452" s="53">
        <v>47227</v>
      </c>
      <c r="T452" s="50"/>
      <c r="U452" s="50"/>
      <c r="V452" s="56"/>
      <c r="W452" s="50"/>
      <c r="X452" s="50"/>
      <c r="Y452" s="56"/>
      <c r="Z452" s="56"/>
      <c r="AA452" s="56"/>
      <c r="AB452" s="56"/>
      <c r="AC452" s="56"/>
      <c r="AD452" s="56"/>
    </row>
    <row x14ac:dyDescent="0.25" r="453" customHeight="1" ht="18.75" hidden="1">
      <c r="A453" s="56"/>
      <c r="B453" s="56"/>
      <c r="C453" s="50" t="s">
        <v>16</v>
      </c>
      <c r="D453" s="50"/>
      <c r="E453" s="50" t="s">
        <v>596</v>
      </c>
      <c r="F453" s="50" t="s">
        <v>1634</v>
      </c>
      <c r="G453" s="55">
        <v>10000000</v>
      </c>
      <c r="H453" s="55"/>
      <c r="I453" s="55"/>
      <c r="J453" s="51">
        <v>800000</v>
      </c>
      <c r="K453" s="51"/>
      <c r="L453" s="52">
        <v>46127</v>
      </c>
      <c r="M453" s="53">
        <v>46068</v>
      </c>
      <c r="N453" s="50" t="s">
        <v>306</v>
      </c>
      <c r="O453" s="50" t="s">
        <v>1635</v>
      </c>
      <c r="P453" s="50" t="s">
        <v>1634</v>
      </c>
      <c r="Q453" s="55" t="s">
        <v>1636</v>
      </c>
      <c r="R453" s="55" t="s">
        <v>1637</v>
      </c>
      <c r="S453" s="53">
        <v>47163</v>
      </c>
      <c r="T453" s="50" t="s">
        <v>1638</v>
      </c>
      <c r="U453" s="50" t="s">
        <v>166</v>
      </c>
      <c r="V453" s="56"/>
      <c r="W453" s="50"/>
      <c r="X453" s="50"/>
      <c r="Y453" s="56"/>
      <c r="Z453" s="56"/>
      <c r="AA453" s="56"/>
      <c r="AB453" s="56"/>
      <c r="AC453" s="56"/>
      <c r="AD453" s="56"/>
    </row>
    <row x14ac:dyDescent="0.25" r="454" customHeight="1" ht="18.75" hidden="1">
      <c r="A454" s="71"/>
      <c r="B454" s="71"/>
      <c r="C454" s="72" t="s">
        <v>16</v>
      </c>
      <c r="D454" s="72"/>
      <c r="E454" s="72"/>
      <c r="F454" s="72" t="s">
        <v>1639</v>
      </c>
      <c r="G454" s="73">
        <v>10000000</v>
      </c>
      <c r="H454" s="73"/>
      <c r="I454" s="73"/>
      <c r="J454" s="74"/>
      <c r="K454" s="74"/>
      <c r="L454" s="75">
        <v>46173</v>
      </c>
      <c r="M454" s="76">
        <v>46112</v>
      </c>
      <c r="N454" s="72" t="s">
        <v>302</v>
      </c>
      <c r="O454" s="72" t="s">
        <v>1640</v>
      </c>
      <c r="P454" s="72" t="s">
        <v>1639</v>
      </c>
      <c r="Q454" s="73" t="s">
        <v>1641</v>
      </c>
      <c r="R454" s="73" t="s">
        <v>3296</v>
      </c>
      <c r="S454" s="76">
        <v>47207</v>
      </c>
      <c r="T454" s="72" t="s">
        <v>1642</v>
      </c>
      <c r="U454" s="72" t="s">
        <v>166</v>
      </c>
      <c r="V454" s="71"/>
      <c r="W454" s="50"/>
      <c r="X454" s="50"/>
      <c r="Y454" s="56"/>
      <c r="Z454" s="56"/>
      <c r="AA454" s="56"/>
      <c r="AB454" s="56"/>
      <c r="AC454" s="56"/>
      <c r="AD454" s="56"/>
    </row>
    <row x14ac:dyDescent="0.25" r="455" customHeight="1" ht="18.75" hidden="1">
      <c r="A455" s="63"/>
      <c r="B455" s="63"/>
      <c r="C455" s="49" t="s">
        <v>16</v>
      </c>
      <c r="D455" s="49" t="s">
        <v>80</v>
      </c>
      <c r="E455" s="49" t="s">
        <v>596</v>
      </c>
      <c r="F455" s="49" t="s">
        <v>1639</v>
      </c>
      <c r="G455" s="64">
        <v>10000000</v>
      </c>
      <c r="H455" s="64"/>
      <c r="I455" s="64"/>
      <c r="J455" s="64">
        <v>500000</v>
      </c>
      <c r="K455" s="64"/>
      <c r="L455" s="66">
        <v>46173</v>
      </c>
      <c r="M455" s="67">
        <f>IF(L455&gt;0,EDATE(L455,-2),"")</f>
        <v>25569.375</v>
      </c>
      <c r="N455" s="49" t="s">
        <v>155</v>
      </c>
      <c r="O455" s="49" t="s">
        <v>3297</v>
      </c>
      <c r="P455" s="68">
        <f>IF(F455&gt;0,F455,"")</f>
      </c>
      <c r="Q455" s="69" t="s">
        <v>1641</v>
      </c>
      <c r="R455" s="69">
        <v>88324391</v>
      </c>
      <c r="S455" s="67">
        <f>IF(ISNUMBER(M455), EDATE(M455,36)-1, "")</f>
        <v>25569.375</v>
      </c>
      <c r="T455" s="49"/>
      <c r="U455" s="49"/>
      <c r="V455" s="63"/>
      <c r="W455" s="50"/>
      <c r="X455" s="50"/>
      <c r="Y455" s="56"/>
      <c r="Z455" s="56"/>
      <c r="AA455" s="56"/>
      <c r="AB455" s="56"/>
      <c r="AC455" s="56"/>
      <c r="AD455" s="56"/>
    </row>
    <row x14ac:dyDescent="0.25" r="456" customHeight="1" ht="18.75" hidden="1">
      <c r="A456" s="56"/>
      <c r="B456" s="56"/>
      <c r="C456" s="50" t="s">
        <v>16</v>
      </c>
      <c r="D456" s="50"/>
      <c r="E456" s="50"/>
      <c r="F456" s="50" t="s">
        <v>64</v>
      </c>
      <c r="G456" s="55">
        <v>10000000</v>
      </c>
      <c r="H456" s="55"/>
      <c r="I456" s="55"/>
      <c r="J456" s="51">
        <v>800000</v>
      </c>
      <c r="K456" s="51"/>
      <c r="L456" s="52">
        <v>46090</v>
      </c>
      <c r="M456" s="53">
        <v>46031</v>
      </c>
      <c r="N456" s="50" t="s">
        <v>155</v>
      </c>
      <c r="O456" s="50" t="s">
        <v>1643</v>
      </c>
      <c r="P456" s="50" t="s">
        <v>64</v>
      </c>
      <c r="Q456" s="55" t="s">
        <v>1644</v>
      </c>
      <c r="R456" s="55" t="s">
        <v>1645</v>
      </c>
      <c r="S456" s="53">
        <v>47126</v>
      </c>
      <c r="T456" s="50"/>
      <c r="U456" s="50"/>
      <c r="V456" s="56"/>
      <c r="W456" s="50"/>
      <c r="X456" s="50"/>
      <c r="Y456" s="56"/>
      <c r="Z456" s="56"/>
      <c r="AA456" s="56"/>
      <c r="AB456" s="56"/>
      <c r="AC456" s="56"/>
      <c r="AD456" s="56"/>
    </row>
    <row x14ac:dyDescent="0.25" r="457" customHeight="1" ht="18.75" hidden="1">
      <c r="A457" s="56"/>
      <c r="B457" s="56"/>
      <c r="C457" s="49" t="s">
        <v>16</v>
      </c>
      <c r="D457" s="50" t="s">
        <v>48</v>
      </c>
      <c r="E457" s="50" t="s">
        <v>117</v>
      </c>
      <c r="F457" s="50" t="s">
        <v>64</v>
      </c>
      <c r="G457" s="51">
        <v>10000000</v>
      </c>
      <c r="H457" s="51"/>
      <c r="I457" s="51"/>
      <c r="J457" s="87">
        <f>IF(G457&gt;0,_xludf.IFS(G457=10000000,800000,G457=20000000,1528000,G457=30000000,2028000,G457=60000000,4056000),"")</f>
      </c>
      <c r="K457" s="51"/>
      <c r="L457" s="52">
        <v>46090</v>
      </c>
      <c r="M457" s="53">
        <f>IF(L457&gt;0,EDATE(L457,-2),"")</f>
        <v>25569.375</v>
      </c>
      <c r="N457" s="50" t="s">
        <v>155</v>
      </c>
      <c r="O457" s="50" t="s">
        <v>1643</v>
      </c>
      <c r="P457" s="54">
        <f>IF(F457&gt;0,F457,"")</f>
      </c>
      <c r="Q457" s="55" t="s">
        <v>1644</v>
      </c>
      <c r="R457" s="55">
        <v>99983035</v>
      </c>
      <c r="S457" s="53">
        <f>IF(ISNUMBER(M457), EDATE(M457,36)-1, "")</f>
        <v>25569.375</v>
      </c>
      <c r="T457" s="50"/>
      <c r="U457" s="50"/>
      <c r="V457" s="56"/>
      <c r="W457" s="50"/>
      <c r="X457" s="50"/>
      <c r="Y457" s="56"/>
      <c r="Z457" s="56"/>
      <c r="AA457" s="56"/>
      <c r="AB457" s="56"/>
      <c r="AC457" s="56"/>
      <c r="AD457" s="56"/>
    </row>
    <row x14ac:dyDescent="0.25" r="458" customHeight="1" ht="18.75" hidden="1">
      <c r="A458" s="48" t="s">
        <v>252</v>
      </c>
      <c r="B458" s="48"/>
      <c r="C458" s="49" t="s">
        <v>16</v>
      </c>
      <c r="D458" s="50" t="s">
        <v>48</v>
      </c>
      <c r="E458" s="50" t="s">
        <v>117</v>
      </c>
      <c r="F458" s="50" t="s">
        <v>3298</v>
      </c>
      <c r="G458" s="51">
        <v>10000000</v>
      </c>
      <c r="H458" s="51"/>
      <c r="I458" s="51"/>
      <c r="J458" s="51">
        <v>1200000</v>
      </c>
      <c r="K458" s="51"/>
      <c r="L458" s="52">
        <v>46090</v>
      </c>
      <c r="M458" s="53">
        <f>IF(L458&gt;0,EDATE(L458,-2),"")</f>
        <v>25569.375</v>
      </c>
      <c r="N458" s="50" t="s">
        <v>155</v>
      </c>
      <c r="O458" s="50" t="s">
        <v>1643</v>
      </c>
      <c r="P458" s="54">
        <f>IF(F458&gt;0,F458,"")</f>
      </c>
      <c r="Q458" s="55" t="s">
        <v>1644</v>
      </c>
      <c r="R458" s="55">
        <v>99983035</v>
      </c>
      <c r="S458" s="53">
        <f>IF(ISNUMBER(M458), EDATE(M458,36)-1, "")</f>
        <v>25569.375</v>
      </c>
      <c r="T458" s="50"/>
      <c r="U458" s="50"/>
      <c r="V458" s="48" t="s">
        <v>1146</v>
      </c>
      <c r="W458" s="50"/>
      <c r="X458" s="50"/>
      <c r="Y458" s="56"/>
      <c r="Z458" s="56"/>
      <c r="AA458" s="56"/>
      <c r="AB458" s="56"/>
      <c r="AC458" s="56"/>
      <c r="AD458" s="56"/>
    </row>
    <row x14ac:dyDescent="0.25" r="459" customHeight="1" ht="18.75">
      <c r="A459" s="56"/>
      <c r="B459" s="56"/>
      <c r="C459" s="50" t="s">
        <v>16</v>
      </c>
      <c r="D459" s="50" t="s">
        <v>454</v>
      </c>
      <c r="E459" s="50" t="s">
        <v>538</v>
      </c>
      <c r="F459" s="50" t="s">
        <v>530</v>
      </c>
      <c r="G459" s="51">
        <v>10000000</v>
      </c>
      <c r="H459" s="51"/>
      <c r="I459" s="51"/>
      <c r="J459" s="87">
        <f>IF(G459&gt;0,_xludf.IFS(G459=10000000,1200000,G459=20000000,1800000,G459=30000000,2400000,G459=60000000,4000000),"")</f>
      </c>
      <c r="K459" s="51"/>
      <c r="L459" s="52">
        <v>46193</v>
      </c>
      <c r="M459" s="53">
        <f>IF(L459&gt;0,EDATE(L459,-2),"")</f>
        <v>25569.375</v>
      </c>
      <c r="N459" s="50" t="s">
        <v>379</v>
      </c>
      <c r="O459" s="50" t="s">
        <v>539</v>
      </c>
      <c r="P459" s="54">
        <f>IF(F459&gt;0,F459,"")</f>
      </c>
      <c r="Q459" s="55">
        <v>6208152829510</v>
      </c>
      <c r="R459" s="55">
        <v>84194488</v>
      </c>
      <c r="S459" s="53">
        <f>IF(ISNUMBER(M459), EDATE(M459,36)-1, "")</f>
        <v>25569.375</v>
      </c>
      <c r="T459" s="50"/>
      <c r="U459" s="50"/>
      <c r="V459" s="50"/>
      <c r="W459" s="50"/>
      <c r="X459" s="50"/>
      <c r="Y459" s="56"/>
      <c r="Z459" s="56"/>
      <c r="AA459" s="56"/>
      <c r="AB459" s="56"/>
      <c r="AC459" s="56"/>
      <c r="AD459" s="56"/>
    </row>
    <row x14ac:dyDescent="0.25" r="460" customHeight="1" ht="18.75">
      <c r="A460" s="56"/>
      <c r="B460" s="56"/>
      <c r="C460" s="50" t="s">
        <v>16</v>
      </c>
      <c r="D460" s="50"/>
      <c r="E460" s="50"/>
      <c r="F460" s="50" t="s">
        <v>763</v>
      </c>
      <c r="G460" s="55">
        <v>10000000</v>
      </c>
      <c r="H460" s="55"/>
      <c r="I460" s="55"/>
      <c r="J460" s="51">
        <v>800000</v>
      </c>
      <c r="K460" s="51"/>
      <c r="L460" s="52">
        <v>46193</v>
      </c>
      <c r="M460" s="53">
        <v>46132</v>
      </c>
      <c r="N460" s="50" t="s">
        <v>174</v>
      </c>
      <c r="O460" s="50" t="s">
        <v>764</v>
      </c>
      <c r="P460" s="50" t="s">
        <v>763</v>
      </c>
      <c r="Q460" s="55" t="s">
        <v>765</v>
      </c>
      <c r="R460" s="55" t="s">
        <v>766</v>
      </c>
      <c r="S460" s="53">
        <v>47227</v>
      </c>
      <c r="T460" s="50" t="s">
        <v>767</v>
      </c>
      <c r="U460" s="50" t="s">
        <v>166</v>
      </c>
      <c r="V460" s="56"/>
      <c r="W460" s="50"/>
      <c r="X460" s="50"/>
      <c r="Y460" s="56"/>
      <c r="Z460" s="56"/>
      <c r="AA460" s="56"/>
      <c r="AB460" s="56"/>
      <c r="AC460" s="56"/>
      <c r="AD460" s="56"/>
    </row>
    <row x14ac:dyDescent="0.25" r="461" customHeight="1" ht="18.75">
      <c r="A461" s="56"/>
      <c r="B461" s="56"/>
      <c r="C461" s="50" t="s">
        <v>16</v>
      </c>
      <c r="D461" s="50" t="s">
        <v>48</v>
      </c>
      <c r="E461" s="50" t="s">
        <v>807</v>
      </c>
      <c r="F461" s="50" t="s">
        <v>808</v>
      </c>
      <c r="G461" s="55">
        <v>10000000</v>
      </c>
      <c r="H461" s="55"/>
      <c r="I461" s="55"/>
      <c r="J461" s="51">
        <v>500000</v>
      </c>
      <c r="K461" s="51"/>
      <c r="L461" s="52">
        <v>46193</v>
      </c>
      <c r="M461" s="53">
        <v>46132</v>
      </c>
      <c r="N461" s="50" t="s">
        <v>168</v>
      </c>
      <c r="O461" s="50" t="s">
        <v>809</v>
      </c>
      <c r="P461" s="50" t="s">
        <v>808</v>
      </c>
      <c r="Q461" s="55" t="s">
        <v>810</v>
      </c>
      <c r="R461" s="55" t="s">
        <v>811</v>
      </c>
      <c r="S461" s="53">
        <v>47227</v>
      </c>
      <c r="T461" s="50" t="s">
        <v>812</v>
      </c>
      <c r="U461" s="50" t="s">
        <v>166</v>
      </c>
      <c r="V461" s="56"/>
      <c r="W461" s="50"/>
      <c r="X461" s="50"/>
      <c r="Y461" s="56"/>
      <c r="Z461" s="56"/>
      <c r="AA461" s="56"/>
      <c r="AB461" s="56"/>
      <c r="AC461" s="56"/>
      <c r="AD461" s="56"/>
    </row>
    <row x14ac:dyDescent="0.25" r="462" customHeight="1" ht="18.75" hidden="1">
      <c r="A462" s="56"/>
      <c r="B462" s="56"/>
      <c r="C462" s="50" t="s">
        <v>16</v>
      </c>
      <c r="D462" s="50"/>
      <c r="E462" s="50"/>
      <c r="F462" s="50" t="s">
        <v>1656</v>
      </c>
      <c r="G462" s="55">
        <v>10000000</v>
      </c>
      <c r="H462" s="55"/>
      <c r="I462" s="55"/>
      <c r="J462" s="51">
        <v>800000</v>
      </c>
      <c r="K462" s="51"/>
      <c r="L462" s="52">
        <v>45984</v>
      </c>
      <c r="M462" s="53">
        <v>45923</v>
      </c>
      <c r="N462" s="50" t="s">
        <v>155</v>
      </c>
      <c r="O462" s="50" t="s">
        <v>3299</v>
      </c>
      <c r="P462" s="50" t="s">
        <v>1656</v>
      </c>
      <c r="Q462" s="55" t="s">
        <v>1658</v>
      </c>
      <c r="R462" s="55" t="s">
        <v>1659</v>
      </c>
      <c r="S462" s="53">
        <v>47018</v>
      </c>
      <c r="T462" s="50"/>
      <c r="U462" s="50"/>
      <c r="V462" s="56"/>
      <c r="W462" s="50"/>
      <c r="X462" s="50"/>
      <c r="Y462" s="56"/>
      <c r="Z462" s="56"/>
      <c r="AA462" s="56"/>
      <c r="AB462" s="56"/>
      <c r="AC462" s="56"/>
      <c r="AD462" s="56"/>
    </row>
    <row x14ac:dyDescent="0.25" r="463" customHeight="1" ht="18.75" hidden="1">
      <c r="A463" s="56"/>
      <c r="B463" s="56"/>
      <c r="C463" s="50" t="s">
        <v>16</v>
      </c>
      <c r="D463" s="50"/>
      <c r="E463" s="50"/>
      <c r="F463" s="50" t="s">
        <v>1656</v>
      </c>
      <c r="G463" s="55">
        <v>60000000</v>
      </c>
      <c r="H463" s="55"/>
      <c r="I463" s="55"/>
      <c r="J463" s="51">
        <v>4056000</v>
      </c>
      <c r="K463" s="51"/>
      <c r="L463" s="52">
        <v>46087</v>
      </c>
      <c r="M463" s="53">
        <v>45986</v>
      </c>
      <c r="N463" s="50" t="s">
        <v>155</v>
      </c>
      <c r="O463" s="50" t="s">
        <v>1657</v>
      </c>
      <c r="P463" s="50" t="s">
        <v>1656</v>
      </c>
      <c r="Q463" s="55" t="s">
        <v>1658</v>
      </c>
      <c r="R463" s="55" t="s">
        <v>1659</v>
      </c>
      <c r="S463" s="53">
        <v>47081</v>
      </c>
      <c r="T463" s="50"/>
      <c r="U463" s="50"/>
      <c r="V463" s="56"/>
      <c r="W463" s="50"/>
      <c r="X463" s="50"/>
      <c r="Y463" s="56"/>
      <c r="Z463" s="56"/>
      <c r="AA463" s="56"/>
      <c r="AB463" s="56"/>
      <c r="AC463" s="56"/>
      <c r="AD463" s="56"/>
    </row>
    <row x14ac:dyDescent="0.25" r="464" customHeight="1" ht="18.75" hidden="1">
      <c r="A464" s="56"/>
      <c r="B464" s="56"/>
      <c r="C464" s="49" t="s">
        <v>16</v>
      </c>
      <c r="D464" s="50"/>
      <c r="E464" s="50"/>
      <c r="F464" s="50" t="s">
        <v>1661</v>
      </c>
      <c r="G464" s="51">
        <v>60000000</v>
      </c>
      <c r="H464" s="51"/>
      <c r="I464" s="51"/>
      <c r="J464" s="51">
        <v>4800000</v>
      </c>
      <c r="K464" s="51"/>
      <c r="L464" s="52">
        <v>45951</v>
      </c>
      <c r="M464" s="53">
        <v>45848</v>
      </c>
      <c r="N464" s="50" t="s">
        <v>302</v>
      </c>
      <c r="O464" s="50" t="s">
        <v>1662</v>
      </c>
      <c r="P464" s="54">
        <f>IF(F464&gt;0,F464,"")</f>
      </c>
      <c r="Q464" s="55" t="s">
        <v>1663</v>
      </c>
      <c r="R464" s="55">
        <v>92778452</v>
      </c>
      <c r="S464" s="53">
        <v>46985</v>
      </c>
      <c r="T464" s="50"/>
      <c r="U464" s="50"/>
      <c r="V464" s="56"/>
      <c r="W464" s="50"/>
      <c r="X464" s="50"/>
      <c r="Y464" s="56"/>
      <c r="Z464" s="56"/>
      <c r="AA464" s="56"/>
      <c r="AB464" s="56"/>
      <c r="AC464" s="56"/>
      <c r="AD464" s="56"/>
    </row>
    <row x14ac:dyDescent="0.25" r="465" customHeight="1" ht="18.75">
      <c r="A465" s="56"/>
      <c r="B465" s="56"/>
      <c r="C465" s="50" t="s">
        <v>16</v>
      </c>
      <c r="D465" s="50" t="s">
        <v>48</v>
      </c>
      <c r="E465" s="50"/>
      <c r="F465" s="50" t="s">
        <v>49</v>
      </c>
      <c r="G465" s="55">
        <v>10000000</v>
      </c>
      <c r="H465" s="55"/>
      <c r="I465" s="55"/>
      <c r="J465" s="51">
        <v>1200000</v>
      </c>
      <c r="K465" s="51"/>
      <c r="L465" s="52">
        <v>46193</v>
      </c>
      <c r="M465" s="53">
        <v>46132</v>
      </c>
      <c r="N465" s="50" t="s">
        <v>1421</v>
      </c>
      <c r="O465" s="50" t="s">
        <v>1422</v>
      </c>
      <c r="P465" s="50" t="s">
        <v>49</v>
      </c>
      <c r="Q465" s="55" t="s">
        <v>1423</v>
      </c>
      <c r="R465" s="55" t="s">
        <v>1424</v>
      </c>
      <c r="S465" s="53">
        <v>47228</v>
      </c>
      <c r="T465" s="50" t="s">
        <v>50</v>
      </c>
      <c r="U465" s="50"/>
      <c r="V465" s="56"/>
      <c r="W465" s="50"/>
      <c r="X465" s="50"/>
      <c r="Y465" s="56"/>
      <c r="Z465" s="56"/>
      <c r="AA465" s="56"/>
      <c r="AB465" s="56"/>
      <c r="AC465" s="56"/>
      <c r="AD465" s="56"/>
    </row>
    <row x14ac:dyDescent="0.25" r="466" customHeight="1" ht="18.75">
      <c r="A466" s="56"/>
      <c r="B466" s="56"/>
      <c r="C466" s="50" t="s">
        <v>16</v>
      </c>
      <c r="D466" s="50"/>
      <c r="E466" s="50"/>
      <c r="F466" s="50" t="s">
        <v>93</v>
      </c>
      <c r="G466" s="55">
        <v>50000000</v>
      </c>
      <c r="H466" s="55"/>
      <c r="I466" s="55"/>
      <c r="J466" s="51">
        <v>4056000</v>
      </c>
      <c r="K466" s="51"/>
      <c r="L466" s="52">
        <v>46193</v>
      </c>
      <c r="M466" s="53">
        <v>46132</v>
      </c>
      <c r="N466" s="50" t="s">
        <v>168</v>
      </c>
      <c r="O466" s="50" t="s">
        <v>2044</v>
      </c>
      <c r="P466" s="50" t="s">
        <v>93</v>
      </c>
      <c r="Q466" s="55" t="s">
        <v>2045</v>
      </c>
      <c r="R466" s="55" t="s">
        <v>2046</v>
      </c>
      <c r="S466" s="53">
        <v>47227</v>
      </c>
      <c r="T466" s="50"/>
      <c r="U466" s="50" t="s">
        <v>166</v>
      </c>
      <c r="V466" s="56"/>
      <c r="W466" s="50"/>
      <c r="X466" s="50"/>
      <c r="Y466" s="56"/>
      <c r="Z466" s="56"/>
      <c r="AA466" s="56"/>
      <c r="AB466" s="56"/>
      <c r="AC466" s="56"/>
      <c r="AD466" s="56"/>
    </row>
    <row x14ac:dyDescent="0.25" r="467" customHeight="1" ht="18.75" hidden="1">
      <c r="A467" s="56"/>
      <c r="B467" s="56"/>
      <c r="C467" s="50" t="s">
        <v>16</v>
      </c>
      <c r="D467" s="50"/>
      <c r="E467" s="50" t="s">
        <v>64</v>
      </c>
      <c r="F467" s="50" t="s">
        <v>636</v>
      </c>
      <c r="G467" s="55">
        <v>10000000</v>
      </c>
      <c r="H467" s="55"/>
      <c r="I467" s="55"/>
      <c r="J467" s="51">
        <v>800000</v>
      </c>
      <c r="K467" s="51"/>
      <c r="L467" s="52">
        <v>46116</v>
      </c>
      <c r="M467" s="53">
        <v>46057</v>
      </c>
      <c r="N467" s="50" t="s">
        <v>282</v>
      </c>
      <c r="O467" s="50" t="s">
        <v>1674</v>
      </c>
      <c r="P467" s="50" t="s">
        <v>636</v>
      </c>
      <c r="Q467" s="55" t="s">
        <v>1676</v>
      </c>
      <c r="R467" s="55" t="s">
        <v>3300</v>
      </c>
      <c r="S467" s="53">
        <v>47152</v>
      </c>
      <c r="T467" s="50"/>
      <c r="U467" s="50" t="s">
        <v>3301</v>
      </c>
      <c r="V467" s="56"/>
      <c r="W467" s="50"/>
      <c r="X467" s="50"/>
      <c r="Y467" s="56"/>
      <c r="Z467" s="56"/>
      <c r="AA467" s="56"/>
      <c r="AB467" s="56"/>
      <c r="AC467" s="56"/>
      <c r="AD467" s="56"/>
    </row>
    <row x14ac:dyDescent="0.25" r="468" customHeight="1" ht="18.75" hidden="1">
      <c r="A468" s="63"/>
      <c r="B468" s="63"/>
      <c r="C468" s="49" t="s">
        <v>16</v>
      </c>
      <c r="D468" s="49" t="s">
        <v>48</v>
      </c>
      <c r="E468" s="49" t="s">
        <v>117</v>
      </c>
      <c r="F468" s="49" t="s">
        <v>636</v>
      </c>
      <c r="G468" s="64">
        <v>10000000</v>
      </c>
      <c r="H468" s="64"/>
      <c r="I468" s="64"/>
      <c r="J468" s="65">
        <f>IF(G468&gt;0,_xludf.IFS(G468=10000000,800000,G468=20000000,1528000,G468=30000000,2028000,G468=60000000,4056000),"")</f>
      </c>
      <c r="K468" s="64"/>
      <c r="L468" s="66">
        <v>46116</v>
      </c>
      <c r="M468" s="67">
        <f>IF(L468&gt;0,EDATE(L468,-2),"")</f>
        <v>25569.375</v>
      </c>
      <c r="N468" s="49" t="s">
        <v>168</v>
      </c>
      <c r="O468" s="49" t="s">
        <v>1674</v>
      </c>
      <c r="P468" s="68">
        <f>IF(F468&gt;0,F468,"")</f>
      </c>
      <c r="Q468" s="69" t="s">
        <v>1676</v>
      </c>
      <c r="R468" s="69">
        <v>56595831</v>
      </c>
      <c r="S468" s="67">
        <f>IF(ISNUMBER(M468), EDATE(M468,36)-1, "")</f>
        <v>25569.375</v>
      </c>
      <c r="T468" s="49"/>
      <c r="U468" s="49"/>
      <c r="V468" s="63" t="s">
        <v>66</v>
      </c>
      <c r="W468" s="50"/>
      <c r="X468" s="50"/>
      <c r="Y468" s="56"/>
      <c r="Z468" s="56"/>
      <c r="AA468" s="56"/>
      <c r="AB468" s="56"/>
      <c r="AC468" s="56"/>
      <c r="AD468" s="56"/>
    </row>
    <row x14ac:dyDescent="0.25" r="469" customHeight="1" ht="18.75">
      <c r="A469" s="56"/>
      <c r="B469" s="56"/>
      <c r="C469" s="50" t="s">
        <v>16</v>
      </c>
      <c r="D469" s="50"/>
      <c r="E469" s="50"/>
      <c r="F469" s="50" t="s">
        <v>807</v>
      </c>
      <c r="G469" s="55">
        <v>10000000</v>
      </c>
      <c r="H469" s="55"/>
      <c r="I469" s="55"/>
      <c r="J469" s="51">
        <v>1200000</v>
      </c>
      <c r="K469" s="51"/>
      <c r="L469" s="52">
        <v>46193</v>
      </c>
      <c r="M469" s="53">
        <v>46132</v>
      </c>
      <c r="N469" s="50" t="s">
        <v>217</v>
      </c>
      <c r="O469" s="50" t="s">
        <v>2532</v>
      </c>
      <c r="P469" s="50" t="s">
        <v>807</v>
      </c>
      <c r="Q469" s="55" t="s">
        <v>2533</v>
      </c>
      <c r="R469" s="55" t="s">
        <v>2534</v>
      </c>
      <c r="S469" s="53">
        <v>47227</v>
      </c>
      <c r="T469" s="50" t="s">
        <v>2535</v>
      </c>
      <c r="U469" s="50" t="s">
        <v>166</v>
      </c>
      <c r="V469" s="56"/>
      <c r="W469" s="50"/>
      <c r="X469" s="50"/>
      <c r="Y469" s="56"/>
      <c r="Z469" s="56"/>
      <c r="AA469" s="56"/>
      <c r="AB469" s="56"/>
      <c r="AC469" s="56"/>
      <c r="AD469" s="56"/>
    </row>
    <row x14ac:dyDescent="0.25" r="470" customHeight="1" ht="18.75" hidden="1">
      <c r="A470" s="56"/>
      <c r="B470" s="56"/>
      <c r="C470" s="49" t="s">
        <v>16</v>
      </c>
      <c r="D470" s="50" t="s">
        <v>410</v>
      </c>
      <c r="E470" s="50" t="s">
        <v>411</v>
      </c>
      <c r="F470" s="50" t="s">
        <v>1677</v>
      </c>
      <c r="G470" s="51">
        <v>10000000</v>
      </c>
      <c r="H470" s="51"/>
      <c r="I470" s="51"/>
      <c r="J470" s="51">
        <v>800000</v>
      </c>
      <c r="K470" s="51"/>
      <c r="L470" s="52">
        <v>46170</v>
      </c>
      <c r="M470" s="53">
        <f>IF(L470&gt;0,EDATE(L470,-2),"")</f>
        <v>25569.375</v>
      </c>
      <c r="N470" s="50" t="s">
        <v>168</v>
      </c>
      <c r="O470" s="50" t="s">
        <v>1678</v>
      </c>
      <c r="P470" s="54">
        <f>IF(F470&gt;0,F470,"")</f>
      </c>
      <c r="Q470" s="55">
        <v>6106102749218</v>
      </c>
      <c r="R470" s="55">
        <v>62372353</v>
      </c>
      <c r="S470" s="53">
        <f>IF(ISNUMBER(M470), EDATE(M470,36)-1, "")</f>
        <v>25569.375</v>
      </c>
      <c r="T470" s="50"/>
      <c r="U470" s="50"/>
      <c r="V470" s="56"/>
      <c r="W470" s="50"/>
      <c r="X470" s="50"/>
      <c r="Y470" s="56"/>
      <c r="Z470" s="56"/>
      <c r="AA470" s="56"/>
      <c r="AB470" s="56"/>
      <c r="AC470" s="56"/>
      <c r="AD470" s="56"/>
    </row>
    <row x14ac:dyDescent="0.25" r="471" customHeight="1" ht="18.75" hidden="1">
      <c r="A471" s="56"/>
      <c r="B471" s="56"/>
      <c r="C471" s="50" t="s">
        <v>16</v>
      </c>
      <c r="D471" s="50"/>
      <c r="E471" s="50"/>
      <c r="F471" s="50" t="s">
        <v>1679</v>
      </c>
      <c r="G471" s="55">
        <v>10000000</v>
      </c>
      <c r="H471" s="55"/>
      <c r="I471" s="55"/>
      <c r="J471" s="51">
        <v>800000</v>
      </c>
      <c r="K471" s="51"/>
      <c r="L471" s="52">
        <v>46159</v>
      </c>
      <c r="M471" s="53">
        <v>46098</v>
      </c>
      <c r="N471" s="50" t="s">
        <v>212</v>
      </c>
      <c r="O471" s="50" t="s">
        <v>1084</v>
      </c>
      <c r="P471" s="50" t="s">
        <v>1679</v>
      </c>
      <c r="Q471" s="55" t="s">
        <v>1680</v>
      </c>
      <c r="R471" s="55" t="s">
        <v>1681</v>
      </c>
      <c r="S471" s="53">
        <v>47193</v>
      </c>
      <c r="T471" s="50" t="s">
        <v>1682</v>
      </c>
      <c r="U471" s="50" t="s">
        <v>166</v>
      </c>
      <c r="V471" s="56"/>
      <c r="W471" s="50"/>
      <c r="X471" s="50"/>
      <c r="Y471" s="56"/>
      <c r="Z471" s="56"/>
      <c r="AA471" s="56"/>
      <c r="AB471" s="56"/>
      <c r="AC471" s="56"/>
      <c r="AD471" s="56"/>
    </row>
    <row x14ac:dyDescent="0.25" r="472" customHeight="1" ht="18.75" hidden="1">
      <c r="A472" s="56"/>
      <c r="B472" s="56"/>
      <c r="C472" s="50" t="s">
        <v>16</v>
      </c>
      <c r="D472" s="50"/>
      <c r="E472" s="50"/>
      <c r="F472" s="50" t="s">
        <v>69</v>
      </c>
      <c r="G472" s="55">
        <v>60000000</v>
      </c>
      <c r="H472" s="55"/>
      <c r="I472" s="55"/>
      <c r="J472" s="51">
        <v>4800000</v>
      </c>
      <c r="K472" s="51"/>
      <c r="L472" s="52">
        <v>45951</v>
      </c>
      <c r="M472" s="53">
        <v>45848</v>
      </c>
      <c r="N472" s="50" t="s">
        <v>302</v>
      </c>
      <c r="O472" s="50" t="s">
        <v>1683</v>
      </c>
      <c r="P472" s="50" t="s">
        <v>69</v>
      </c>
      <c r="Q472" s="55" t="s">
        <v>1663</v>
      </c>
      <c r="R472" s="55" t="s">
        <v>1684</v>
      </c>
      <c r="S472" s="53">
        <v>46943</v>
      </c>
      <c r="T472" s="50"/>
      <c r="U472" s="50"/>
      <c r="V472" s="56"/>
      <c r="W472" s="50"/>
      <c r="X472" s="50"/>
      <c r="Y472" s="56"/>
      <c r="Z472" s="56"/>
      <c r="AA472" s="56"/>
      <c r="AB472" s="56"/>
      <c r="AC472" s="56"/>
      <c r="AD472" s="56"/>
    </row>
    <row x14ac:dyDescent="0.25" r="473" customHeight="1" ht="18.75" hidden="1">
      <c r="A473" s="48" t="s">
        <v>152</v>
      </c>
      <c r="B473" s="48"/>
      <c r="C473" s="50" t="s">
        <v>16</v>
      </c>
      <c r="D473" s="50" t="s">
        <v>67</v>
      </c>
      <c r="E473" s="50" t="s">
        <v>68</v>
      </c>
      <c r="F473" s="50" t="s">
        <v>69</v>
      </c>
      <c r="G473" s="55">
        <v>30000000</v>
      </c>
      <c r="H473" s="55"/>
      <c r="I473" s="55"/>
      <c r="J473" s="51">
        <v>2400000</v>
      </c>
      <c r="K473" s="51"/>
      <c r="L473" s="52">
        <v>46068</v>
      </c>
      <c r="M473" s="53">
        <v>46005</v>
      </c>
      <c r="N473" s="50" t="s">
        <v>302</v>
      </c>
      <c r="O473" s="50" t="s">
        <v>1662</v>
      </c>
      <c r="P473" s="50" t="s">
        <v>69</v>
      </c>
      <c r="Q473" s="55" t="s">
        <v>1663</v>
      </c>
      <c r="R473" s="85" t="s">
        <v>1684</v>
      </c>
      <c r="S473" s="53">
        <v>47100</v>
      </c>
      <c r="T473" s="50" t="s">
        <v>1685</v>
      </c>
      <c r="U473" s="50"/>
      <c r="V473" s="56"/>
      <c r="W473" s="50"/>
      <c r="X473" s="50"/>
      <c r="Y473" s="56"/>
      <c r="Z473" s="56"/>
      <c r="AA473" s="56"/>
      <c r="AB473" s="56"/>
      <c r="AC473" s="56"/>
      <c r="AD473" s="56"/>
    </row>
    <row x14ac:dyDescent="0.25" r="474" customHeight="1" ht="18.75">
      <c r="A474" s="56"/>
      <c r="B474" s="56"/>
      <c r="C474" s="50" t="s">
        <v>16</v>
      </c>
      <c r="D474" s="50"/>
      <c r="E474" s="50"/>
      <c r="F474" s="50" t="s">
        <v>2790</v>
      </c>
      <c r="G474" s="55">
        <v>30000000</v>
      </c>
      <c r="H474" s="55"/>
      <c r="I474" s="55"/>
      <c r="J474" s="51">
        <v>2028000</v>
      </c>
      <c r="K474" s="51"/>
      <c r="L474" s="52">
        <v>46193</v>
      </c>
      <c r="M474" s="53">
        <v>46132</v>
      </c>
      <c r="N474" s="50" t="s">
        <v>161</v>
      </c>
      <c r="O474" s="50" t="s">
        <v>2791</v>
      </c>
      <c r="P474" s="50" t="s">
        <v>2790</v>
      </c>
      <c r="Q474" s="55" t="s">
        <v>2792</v>
      </c>
      <c r="R474" s="55" t="s">
        <v>2793</v>
      </c>
      <c r="S474" s="53">
        <v>47227</v>
      </c>
      <c r="T474" s="50" t="s">
        <v>2794</v>
      </c>
      <c r="U474" s="50" t="s">
        <v>166</v>
      </c>
      <c r="V474" s="56"/>
      <c r="W474" s="50"/>
      <c r="X474" s="50"/>
      <c r="Y474" s="56"/>
      <c r="Z474" s="56"/>
      <c r="AA474" s="56"/>
      <c r="AB474" s="56"/>
      <c r="AC474" s="56"/>
      <c r="AD474" s="56"/>
    </row>
    <row x14ac:dyDescent="0.25" r="475" customHeight="1" ht="18.75">
      <c r="A475" s="56"/>
      <c r="B475" s="56"/>
      <c r="C475" s="50" t="s">
        <v>16</v>
      </c>
      <c r="D475" s="50"/>
      <c r="E475" s="50"/>
      <c r="F475" s="50" t="s">
        <v>2982</v>
      </c>
      <c r="G475" s="55">
        <v>10000000</v>
      </c>
      <c r="H475" s="55"/>
      <c r="I475" s="55"/>
      <c r="J475" s="51">
        <v>800000</v>
      </c>
      <c r="K475" s="51"/>
      <c r="L475" s="52">
        <v>46193</v>
      </c>
      <c r="M475" s="53">
        <v>46132</v>
      </c>
      <c r="N475" s="50" t="s">
        <v>2442</v>
      </c>
      <c r="O475" s="50" t="s">
        <v>2983</v>
      </c>
      <c r="P475" s="50" t="s">
        <v>2982</v>
      </c>
      <c r="Q475" s="55" t="s">
        <v>2984</v>
      </c>
      <c r="R475" s="55" t="s">
        <v>2985</v>
      </c>
      <c r="S475" s="53">
        <v>47227</v>
      </c>
      <c r="T475" s="50"/>
      <c r="U475" s="50" t="s">
        <v>166</v>
      </c>
      <c r="V475" s="56"/>
      <c r="W475" s="50" t="s">
        <v>3238</v>
      </c>
      <c r="X475" s="50" t="s">
        <v>3238</v>
      </c>
      <c r="Y475" s="56"/>
      <c r="Z475" s="56"/>
      <c r="AA475" s="56"/>
      <c r="AB475" s="56"/>
      <c r="AC475" s="56"/>
      <c r="AD475" s="56"/>
    </row>
    <row x14ac:dyDescent="0.25" r="476" customHeight="1" ht="18.75" hidden="1">
      <c r="A476" s="56"/>
      <c r="B476" s="56"/>
      <c r="C476" s="50" t="s">
        <v>16</v>
      </c>
      <c r="D476" s="50"/>
      <c r="E476" s="50"/>
      <c r="F476" s="50" t="s">
        <v>1697</v>
      </c>
      <c r="G476" s="55">
        <v>10000000</v>
      </c>
      <c r="H476" s="55"/>
      <c r="I476" s="55"/>
      <c r="J476" s="51">
        <v>800000</v>
      </c>
      <c r="K476" s="51"/>
      <c r="L476" s="52">
        <v>46064</v>
      </c>
      <c r="M476" s="53">
        <v>46002</v>
      </c>
      <c r="N476" s="50" t="s">
        <v>155</v>
      </c>
      <c r="O476" s="50" t="s">
        <v>1698</v>
      </c>
      <c r="P476" s="50" t="s">
        <v>1697</v>
      </c>
      <c r="Q476" s="55" t="s">
        <v>1699</v>
      </c>
      <c r="R476" s="55" t="s">
        <v>1700</v>
      </c>
      <c r="S476" s="53">
        <v>47097</v>
      </c>
      <c r="T476" s="50"/>
      <c r="U476" s="50"/>
      <c r="V476" s="56"/>
      <c r="W476" s="50"/>
      <c r="X476" s="50"/>
      <c r="Y476" s="56"/>
      <c r="Z476" s="56"/>
      <c r="AA476" s="56"/>
      <c r="AB476" s="56"/>
      <c r="AC476" s="56"/>
      <c r="AD476" s="56"/>
    </row>
    <row x14ac:dyDescent="0.25" r="477" customHeight="1" ht="18.75">
      <c r="A477" s="63"/>
      <c r="B477" s="63"/>
      <c r="C477" s="49" t="s">
        <v>16</v>
      </c>
      <c r="D477" s="49"/>
      <c r="E477" s="49" t="s">
        <v>357</v>
      </c>
      <c r="F477" s="49" t="s">
        <v>3117</v>
      </c>
      <c r="G477" s="64">
        <v>10000000</v>
      </c>
      <c r="H477" s="64"/>
      <c r="I477" s="64"/>
      <c r="J477" s="64">
        <v>1200000</v>
      </c>
      <c r="K477" s="64"/>
      <c r="L477" s="66">
        <v>46193</v>
      </c>
      <c r="M477" s="67">
        <f>IF(L477&gt;0,EDATE(L477,-2),"")</f>
        <v>25569.375</v>
      </c>
      <c r="N477" s="49" t="s">
        <v>217</v>
      </c>
      <c r="O477" s="49" t="s">
        <v>3118</v>
      </c>
      <c r="P477" s="68">
        <f>IF(F477&gt;0,F477,"")</f>
      </c>
      <c r="Q477" s="69" t="s">
        <v>3119</v>
      </c>
      <c r="R477" s="69">
        <v>88895639</v>
      </c>
      <c r="S477" s="67">
        <f>IF(ISNUMBER(M477), EDATE(M477,36)-1, "")</f>
        <v>25569.375</v>
      </c>
      <c r="T477" s="49"/>
      <c r="U477" s="49"/>
      <c r="V477" s="63"/>
      <c r="W477" s="50"/>
      <c r="X477" s="50"/>
      <c r="Y477" s="56"/>
      <c r="Z477" s="56"/>
      <c r="AA477" s="56"/>
      <c r="AB477" s="56"/>
      <c r="AC477" s="56"/>
      <c r="AD477" s="56"/>
    </row>
    <row x14ac:dyDescent="0.25" r="478" customHeight="1" ht="18.75" hidden="1">
      <c r="A478" s="56"/>
      <c r="B478" s="56"/>
      <c r="C478" s="50" t="s">
        <v>16</v>
      </c>
      <c r="D478" s="50"/>
      <c r="E478" s="50"/>
      <c r="F478" s="50" t="s">
        <v>1704</v>
      </c>
      <c r="G478" s="55">
        <v>10000000</v>
      </c>
      <c r="H478" s="55"/>
      <c r="I478" s="55"/>
      <c r="J478" s="51">
        <v>800000</v>
      </c>
      <c r="K478" s="51"/>
      <c r="L478" s="52">
        <v>46168</v>
      </c>
      <c r="M478" s="53">
        <v>46107</v>
      </c>
      <c r="N478" s="50" t="s">
        <v>217</v>
      </c>
      <c r="O478" s="50" t="s">
        <v>1705</v>
      </c>
      <c r="P478" s="50" t="s">
        <v>1704</v>
      </c>
      <c r="Q478" s="55" t="s">
        <v>1706</v>
      </c>
      <c r="R478" s="55" t="s">
        <v>1707</v>
      </c>
      <c r="S478" s="53">
        <v>47202</v>
      </c>
      <c r="T478" s="50" t="s">
        <v>1708</v>
      </c>
      <c r="U478" s="50" t="s">
        <v>166</v>
      </c>
      <c r="V478" s="56"/>
      <c r="W478" s="50"/>
      <c r="X478" s="50"/>
      <c r="Y478" s="56"/>
      <c r="Z478" s="56"/>
      <c r="AA478" s="56"/>
      <c r="AB478" s="56"/>
      <c r="AC478" s="56"/>
      <c r="AD478" s="56"/>
    </row>
    <row x14ac:dyDescent="0.25" r="479" customHeight="1" ht="18.75" hidden="1">
      <c r="A479" s="56"/>
      <c r="B479" s="56"/>
      <c r="C479" s="50" t="s">
        <v>16</v>
      </c>
      <c r="D479" s="50"/>
      <c r="E479" s="50"/>
      <c r="F479" s="50" t="s">
        <v>1709</v>
      </c>
      <c r="G479" s="55">
        <v>10000000</v>
      </c>
      <c r="H479" s="55"/>
      <c r="I479" s="55"/>
      <c r="J479" s="51">
        <v>800000</v>
      </c>
      <c r="K479" s="51"/>
      <c r="L479" s="52">
        <v>46076</v>
      </c>
      <c r="M479" s="53">
        <v>46014</v>
      </c>
      <c r="N479" s="50" t="s">
        <v>239</v>
      </c>
      <c r="O479" s="50" t="s">
        <v>1710</v>
      </c>
      <c r="P479" s="50" t="s">
        <v>1709</v>
      </c>
      <c r="Q479" s="55" t="s">
        <v>1711</v>
      </c>
      <c r="R479" s="55" t="s">
        <v>1712</v>
      </c>
      <c r="S479" s="53">
        <v>46805</v>
      </c>
      <c r="T479" s="50"/>
      <c r="U479" s="50"/>
      <c r="V479" s="56"/>
      <c r="W479" s="50"/>
      <c r="X479" s="50"/>
      <c r="Y479" s="56"/>
      <c r="Z479" s="56"/>
      <c r="AA479" s="56"/>
      <c r="AB479" s="56"/>
      <c r="AC479" s="56"/>
      <c r="AD479" s="56"/>
    </row>
    <row x14ac:dyDescent="0.25" r="480" customHeight="1" ht="18.75">
      <c r="A480" s="63"/>
      <c r="B480" s="63"/>
      <c r="C480" s="49" t="s">
        <v>16</v>
      </c>
      <c r="D480" s="49" t="s">
        <v>454</v>
      </c>
      <c r="E480" s="49" t="s">
        <v>647</v>
      </c>
      <c r="F480" s="49" t="s">
        <v>3205</v>
      </c>
      <c r="G480" s="64">
        <v>10000000</v>
      </c>
      <c r="H480" s="64"/>
      <c r="I480" s="64"/>
      <c r="J480" s="64">
        <v>1200000</v>
      </c>
      <c r="K480" s="64"/>
      <c r="L480" s="66">
        <v>46193</v>
      </c>
      <c r="M480" s="67">
        <f>IF(L480&gt;0,EDATE(L480,-2),"")</f>
        <v>25569.375</v>
      </c>
      <c r="N480" s="49" t="s">
        <v>212</v>
      </c>
      <c r="O480" s="49" t="s">
        <v>3206</v>
      </c>
      <c r="P480" s="68">
        <f>IF(F480&gt;0,F480,"")</f>
      </c>
      <c r="Q480" s="69" t="s">
        <v>3207</v>
      </c>
      <c r="R480" s="69">
        <v>39331693</v>
      </c>
      <c r="S480" s="67">
        <f>IF(ISNUMBER(M480), EDATE(M480,36)-1, "")</f>
        <v>25569.375</v>
      </c>
      <c r="T480" s="49"/>
      <c r="U480" s="49"/>
      <c r="V480" s="63"/>
      <c r="W480" s="50"/>
      <c r="X480" s="50"/>
      <c r="Y480" s="56"/>
      <c r="Z480" s="56"/>
      <c r="AA480" s="56"/>
      <c r="AB480" s="56"/>
      <c r="AC480" s="56"/>
      <c r="AD480" s="56"/>
    </row>
    <row x14ac:dyDescent="0.25" r="481" customHeight="1" ht="18.75" hidden="1">
      <c r="A481" s="56"/>
      <c r="B481" s="56"/>
      <c r="C481" s="50" t="s">
        <v>16</v>
      </c>
      <c r="D481" s="50"/>
      <c r="E481" s="50"/>
      <c r="F481" s="50" t="s">
        <v>1716</v>
      </c>
      <c r="G481" s="55">
        <v>30000000</v>
      </c>
      <c r="H481" s="55"/>
      <c r="I481" s="55"/>
      <c r="J481" s="51">
        <v>2400000</v>
      </c>
      <c r="K481" s="51"/>
      <c r="L481" s="52">
        <v>45888</v>
      </c>
      <c r="M481" s="53">
        <v>45827</v>
      </c>
      <c r="N481" s="50" t="s">
        <v>302</v>
      </c>
      <c r="O481" s="50" t="s">
        <v>1717</v>
      </c>
      <c r="P481" s="50" t="s">
        <v>1716</v>
      </c>
      <c r="Q481" s="55" t="s">
        <v>1718</v>
      </c>
      <c r="R481" s="55" t="s">
        <v>1719</v>
      </c>
      <c r="S481" s="53">
        <v>46922</v>
      </c>
      <c r="T481" s="50"/>
      <c r="U481" s="50"/>
      <c r="V481" s="56"/>
      <c r="W481" s="50"/>
      <c r="X481" s="50"/>
      <c r="Y481" s="56"/>
      <c r="Z481" s="56"/>
      <c r="AA481" s="56"/>
      <c r="AB481" s="56"/>
      <c r="AC481" s="56"/>
      <c r="AD481" s="56"/>
    </row>
    <row x14ac:dyDescent="0.25" r="482" customHeight="1" ht="18.75">
      <c r="A482" s="56"/>
      <c r="B482" s="56"/>
      <c r="C482" s="50" t="s">
        <v>16</v>
      </c>
      <c r="D482" s="50"/>
      <c r="E482" s="50"/>
      <c r="F482" s="50" t="s">
        <v>676</v>
      </c>
      <c r="G482" s="55">
        <v>10000000</v>
      </c>
      <c r="H482" s="55"/>
      <c r="I482" s="55"/>
      <c r="J482" s="51">
        <v>800000</v>
      </c>
      <c r="K482" s="51"/>
      <c r="L482" s="52">
        <v>46194</v>
      </c>
      <c r="M482" s="53">
        <v>46133</v>
      </c>
      <c r="N482" s="50" t="s">
        <v>168</v>
      </c>
      <c r="O482" s="50" t="s">
        <v>677</v>
      </c>
      <c r="P482" s="50" t="s">
        <v>676</v>
      </c>
      <c r="Q482" s="55" t="s">
        <v>678</v>
      </c>
      <c r="R482" s="55" t="s">
        <v>679</v>
      </c>
      <c r="S482" s="53">
        <v>47228</v>
      </c>
      <c r="T482" s="50" t="s">
        <v>680</v>
      </c>
      <c r="U482" s="50" t="s">
        <v>166</v>
      </c>
      <c r="V482" s="56"/>
      <c r="W482" s="50"/>
      <c r="X482" s="50"/>
      <c r="Y482" s="56"/>
      <c r="Z482" s="56"/>
      <c r="AA482" s="56"/>
      <c r="AB482" s="56"/>
      <c r="AC482" s="56"/>
      <c r="AD482" s="56"/>
    </row>
    <row x14ac:dyDescent="0.25" r="483" customHeight="1" ht="18.75">
      <c r="A483" s="63"/>
      <c r="B483" s="63"/>
      <c r="C483" s="49" t="s">
        <v>16</v>
      </c>
      <c r="D483" s="49"/>
      <c r="E483" s="49" t="s">
        <v>357</v>
      </c>
      <c r="F483" s="49" t="s">
        <v>2620</v>
      </c>
      <c r="G483" s="64">
        <v>10000000</v>
      </c>
      <c r="H483" s="64"/>
      <c r="I483" s="64"/>
      <c r="J483" s="65">
        <f>IF(G483&gt;0,_xludf.IFS(G483=10000000,800000,G483=20000000,1528000,G483=30000000,2028000,G483=60000000,4056000),"")</f>
      </c>
      <c r="K483" s="64"/>
      <c r="L483" s="66">
        <v>46194</v>
      </c>
      <c r="M483" s="67">
        <f>IF(L483&gt;0,EDATE(L483,-2),"")</f>
        <v>25569.375</v>
      </c>
      <c r="N483" s="49" t="s">
        <v>155</v>
      </c>
      <c r="O483" s="49" t="s">
        <v>2621</v>
      </c>
      <c r="P483" s="68">
        <f>IF(F483&gt;0,F483,"")</f>
      </c>
      <c r="Q483" s="69" t="s">
        <v>2622</v>
      </c>
      <c r="R483" s="69">
        <v>24103548</v>
      </c>
      <c r="S483" s="67">
        <f>IF(ISNUMBER(M483), EDATE(M483,36)-1, "")</f>
        <v>25569.375</v>
      </c>
      <c r="T483" s="49"/>
      <c r="U483" s="49"/>
      <c r="V483" s="63"/>
      <c r="W483" s="50"/>
      <c r="X483" s="50"/>
      <c r="Y483" s="56"/>
      <c r="Z483" s="56"/>
      <c r="AA483" s="56"/>
      <c r="AB483" s="56"/>
      <c r="AC483" s="56"/>
      <c r="AD483" s="56"/>
    </row>
    <row x14ac:dyDescent="0.25" r="484" customHeight="1" ht="18.75" hidden="1">
      <c r="A484" s="56"/>
      <c r="B484" s="56"/>
      <c r="C484" s="50" t="s">
        <v>16</v>
      </c>
      <c r="D484" s="50"/>
      <c r="E484" s="50"/>
      <c r="F484" s="50" t="s">
        <v>1726</v>
      </c>
      <c r="G484" s="55">
        <v>40000000</v>
      </c>
      <c r="H484" s="55"/>
      <c r="I484" s="55"/>
      <c r="J484" s="51">
        <v>3056000</v>
      </c>
      <c r="K484" s="51"/>
      <c r="L484" s="52">
        <v>46162</v>
      </c>
      <c r="M484" s="53">
        <v>46101</v>
      </c>
      <c r="N484" s="50" t="s">
        <v>1688</v>
      </c>
      <c r="O484" s="50" t="s">
        <v>1727</v>
      </c>
      <c r="P484" s="50" t="s">
        <v>1726</v>
      </c>
      <c r="Q484" s="55" t="s">
        <v>1728</v>
      </c>
      <c r="R484" s="55" t="s">
        <v>1729</v>
      </c>
      <c r="S484" s="53">
        <v>47196</v>
      </c>
      <c r="T484" s="50"/>
      <c r="U484" s="50" t="s">
        <v>166</v>
      </c>
      <c r="V484" s="48" t="s">
        <v>418</v>
      </c>
      <c r="W484" s="50"/>
      <c r="X484" s="50"/>
      <c r="Y484" s="56"/>
      <c r="Z484" s="56"/>
      <c r="AA484" s="56"/>
      <c r="AB484" s="56"/>
      <c r="AC484" s="56"/>
      <c r="AD484" s="56"/>
    </row>
    <row x14ac:dyDescent="0.25" r="485" customHeight="1" ht="18.75" hidden="1">
      <c r="A485" s="56"/>
      <c r="B485" s="56"/>
      <c r="C485" s="50" t="s">
        <v>16</v>
      </c>
      <c r="D485" s="50"/>
      <c r="E485" s="50"/>
      <c r="F485" s="50" t="s">
        <v>71</v>
      </c>
      <c r="G485" s="55">
        <v>20000000</v>
      </c>
      <c r="H485" s="55"/>
      <c r="I485" s="55"/>
      <c r="J485" s="51">
        <v>1600000</v>
      </c>
      <c r="K485" s="51"/>
      <c r="L485" s="52">
        <v>45904</v>
      </c>
      <c r="M485" s="53">
        <v>45842</v>
      </c>
      <c r="N485" s="50" t="s">
        <v>168</v>
      </c>
      <c r="O485" s="50" t="s">
        <v>1730</v>
      </c>
      <c r="P485" s="50" t="s">
        <v>71</v>
      </c>
      <c r="Q485" s="55" t="s">
        <v>1731</v>
      </c>
      <c r="R485" s="55" t="s">
        <v>1732</v>
      </c>
      <c r="S485" s="53">
        <v>46937</v>
      </c>
      <c r="T485" s="50"/>
      <c r="U485" s="50"/>
      <c r="V485" s="56"/>
      <c r="W485" s="50"/>
      <c r="X485" s="50"/>
      <c r="Y485" s="56"/>
      <c r="Z485" s="56"/>
      <c r="AA485" s="56"/>
      <c r="AB485" s="56"/>
      <c r="AC485" s="56"/>
      <c r="AD485" s="56"/>
    </row>
    <row x14ac:dyDescent="0.25" r="486" customHeight="1" ht="18.75" hidden="1">
      <c r="A486" s="56"/>
      <c r="B486" s="56"/>
      <c r="C486" s="50" t="s">
        <v>16</v>
      </c>
      <c r="D486" s="50"/>
      <c r="E486" s="50"/>
      <c r="F486" s="50" t="s">
        <v>72</v>
      </c>
      <c r="G486" s="55">
        <v>10000000</v>
      </c>
      <c r="H486" s="55"/>
      <c r="I486" s="55"/>
      <c r="J486" s="51">
        <v>800000</v>
      </c>
      <c r="K486" s="51"/>
      <c r="L486" s="52">
        <v>46020</v>
      </c>
      <c r="M486" s="53">
        <v>45959</v>
      </c>
      <c r="N486" s="50" t="s">
        <v>580</v>
      </c>
      <c r="O486" s="50" t="s">
        <v>1733</v>
      </c>
      <c r="P486" s="50" t="s">
        <v>72</v>
      </c>
      <c r="Q486" s="55" t="s">
        <v>1731</v>
      </c>
      <c r="R486" s="55" t="s">
        <v>1732</v>
      </c>
      <c r="S486" s="53">
        <v>47054</v>
      </c>
      <c r="T486" s="50"/>
      <c r="U486" s="50"/>
      <c r="V486" s="56"/>
      <c r="W486" s="50"/>
      <c r="X486" s="50"/>
      <c r="Y486" s="56"/>
      <c r="Z486" s="56"/>
      <c r="AA486" s="56"/>
      <c r="AB486" s="56"/>
      <c r="AC486" s="56"/>
      <c r="AD486" s="56"/>
    </row>
    <row x14ac:dyDescent="0.25" r="487" customHeight="1" ht="18.75" hidden="1">
      <c r="A487" s="56"/>
      <c r="B487" s="56"/>
      <c r="C487" s="50" t="s">
        <v>16</v>
      </c>
      <c r="D487" s="50"/>
      <c r="E487" s="50"/>
      <c r="F487" s="50" t="s">
        <v>72</v>
      </c>
      <c r="G487" s="55">
        <v>10000000</v>
      </c>
      <c r="H487" s="55"/>
      <c r="I487" s="55"/>
      <c r="J487" s="51"/>
      <c r="K487" s="51"/>
      <c r="L487" s="52">
        <v>45997</v>
      </c>
      <c r="M487" s="53">
        <v>45936</v>
      </c>
      <c r="N487" s="50" t="s">
        <v>580</v>
      </c>
      <c r="O487" s="50" t="s">
        <v>1733</v>
      </c>
      <c r="P487" s="50" t="s">
        <v>72</v>
      </c>
      <c r="Q487" s="55" t="s">
        <v>1731</v>
      </c>
      <c r="R487" s="55" t="s">
        <v>1732</v>
      </c>
      <c r="S487" s="53">
        <v>47031</v>
      </c>
      <c r="T487" s="50"/>
      <c r="U487" s="50"/>
      <c r="V487" s="48" t="s">
        <v>3302</v>
      </c>
      <c r="W487" s="50"/>
      <c r="X487" s="50"/>
      <c r="Y487" s="56"/>
      <c r="Z487" s="56"/>
      <c r="AA487" s="56"/>
      <c r="AB487" s="56"/>
      <c r="AC487" s="56"/>
      <c r="AD487" s="56"/>
    </row>
    <row x14ac:dyDescent="0.25" r="488" customHeight="1" ht="18.75" hidden="1">
      <c r="A488" s="56"/>
      <c r="B488" s="56"/>
      <c r="C488" s="50" t="s">
        <v>16</v>
      </c>
      <c r="D488" s="50"/>
      <c r="E488" s="50"/>
      <c r="F488" s="50" t="s">
        <v>72</v>
      </c>
      <c r="G488" s="55">
        <v>30000000</v>
      </c>
      <c r="H488" s="55"/>
      <c r="I488" s="55"/>
      <c r="J488" s="51">
        <v>2400000</v>
      </c>
      <c r="K488" s="51"/>
      <c r="L488" s="52">
        <v>45907</v>
      </c>
      <c r="M488" s="53">
        <v>45845</v>
      </c>
      <c r="N488" s="50" t="s">
        <v>212</v>
      </c>
      <c r="O488" s="50" t="s">
        <v>1734</v>
      </c>
      <c r="P488" s="50" t="s">
        <v>72</v>
      </c>
      <c r="Q488" s="55" t="s">
        <v>1731</v>
      </c>
      <c r="R488" s="55" t="s">
        <v>1732</v>
      </c>
      <c r="S488" s="53">
        <v>46940</v>
      </c>
      <c r="T488" s="50"/>
      <c r="U488" s="50"/>
      <c r="V488" s="56"/>
      <c r="W488" s="50"/>
      <c r="X488" s="50"/>
      <c r="Y488" s="56"/>
      <c r="Z488" s="56"/>
      <c r="AA488" s="56"/>
      <c r="AB488" s="56"/>
      <c r="AC488" s="56"/>
      <c r="AD488" s="56"/>
    </row>
    <row x14ac:dyDescent="0.25" r="489" customHeight="1" ht="18.75" hidden="1">
      <c r="A489" s="56"/>
      <c r="B489" s="56"/>
      <c r="C489" s="50" t="s">
        <v>16</v>
      </c>
      <c r="D489" s="50"/>
      <c r="E489" s="50" t="s">
        <v>18</v>
      </c>
      <c r="F489" s="50" t="s">
        <v>73</v>
      </c>
      <c r="G489" s="55">
        <v>60000000</v>
      </c>
      <c r="H489" s="55"/>
      <c r="I489" s="55"/>
      <c r="J489" s="51">
        <v>4056000</v>
      </c>
      <c r="K489" s="51"/>
      <c r="L489" s="52">
        <v>45408</v>
      </c>
      <c r="M489" s="53">
        <v>46079</v>
      </c>
      <c r="N489" s="50" t="s">
        <v>155</v>
      </c>
      <c r="O489" s="50" t="s">
        <v>433</v>
      </c>
      <c r="P489" s="50" t="s">
        <v>73</v>
      </c>
      <c r="Q489" s="55" t="s">
        <v>1735</v>
      </c>
      <c r="R489" s="55" t="s">
        <v>1736</v>
      </c>
      <c r="S489" s="53">
        <v>47174</v>
      </c>
      <c r="T489" s="50" t="s">
        <v>74</v>
      </c>
      <c r="U489" s="50"/>
      <c r="V489" s="56"/>
      <c r="W489" s="50"/>
      <c r="X489" s="50"/>
      <c r="Y489" s="56"/>
      <c r="Z489" s="56"/>
      <c r="AA489" s="56"/>
      <c r="AB489" s="56"/>
      <c r="AC489" s="56"/>
      <c r="AD489" s="56"/>
    </row>
    <row x14ac:dyDescent="0.25" r="490" customHeight="1" ht="18.75">
      <c r="A490" s="56"/>
      <c r="B490" s="56"/>
      <c r="C490" s="50" t="s">
        <v>16</v>
      </c>
      <c r="D490" s="50"/>
      <c r="E490" s="50"/>
      <c r="F490" s="50" t="s">
        <v>271</v>
      </c>
      <c r="G490" s="55">
        <v>20000000</v>
      </c>
      <c r="H490" s="55"/>
      <c r="I490" s="55"/>
      <c r="J490" s="51">
        <v>1528000</v>
      </c>
      <c r="K490" s="51"/>
      <c r="L490" s="52">
        <v>46195</v>
      </c>
      <c r="M490" s="53">
        <v>46134</v>
      </c>
      <c r="N490" s="50" t="s">
        <v>217</v>
      </c>
      <c r="O490" s="50" t="s">
        <v>272</v>
      </c>
      <c r="P490" s="50" t="s">
        <v>271</v>
      </c>
      <c r="Q490" s="55" t="s">
        <v>273</v>
      </c>
      <c r="R490" s="55" t="s">
        <v>274</v>
      </c>
      <c r="S490" s="53">
        <v>47229</v>
      </c>
      <c r="T490" s="50"/>
      <c r="U490" s="50" t="s">
        <v>166</v>
      </c>
      <c r="V490" s="56"/>
      <c r="W490" s="50"/>
      <c r="X490" s="50"/>
      <c r="Y490" s="56"/>
      <c r="Z490" s="56"/>
      <c r="AA490" s="56"/>
      <c r="AB490" s="56"/>
      <c r="AC490" s="56"/>
      <c r="AD490" s="56"/>
    </row>
    <row x14ac:dyDescent="0.25" r="491" customHeight="1" ht="18.75" hidden="1">
      <c r="A491" s="71"/>
      <c r="B491" s="71"/>
      <c r="C491" s="72" t="s">
        <v>16</v>
      </c>
      <c r="D491" s="72"/>
      <c r="E491" s="72" t="s">
        <v>75</v>
      </c>
      <c r="F491" s="72" t="s">
        <v>76</v>
      </c>
      <c r="G491" s="73">
        <v>10000000</v>
      </c>
      <c r="H491" s="73"/>
      <c r="I491" s="73"/>
      <c r="J491" s="88"/>
      <c r="K491" s="88"/>
      <c r="L491" s="75">
        <v>46112</v>
      </c>
      <c r="M491" s="76">
        <v>46053</v>
      </c>
      <c r="N491" s="72" t="s">
        <v>306</v>
      </c>
      <c r="O491" s="72" t="s">
        <v>1740</v>
      </c>
      <c r="P491" s="72" t="s">
        <v>76</v>
      </c>
      <c r="Q491" s="73" t="s">
        <v>3303</v>
      </c>
      <c r="R491" s="73" t="s">
        <v>1742</v>
      </c>
      <c r="S491" s="76">
        <v>47148</v>
      </c>
      <c r="T491" s="72"/>
      <c r="U491" s="72" t="s">
        <v>166</v>
      </c>
      <c r="V491" s="71"/>
      <c r="W491" s="50"/>
      <c r="X491" s="50"/>
      <c r="Y491" s="56"/>
      <c r="Z491" s="56"/>
      <c r="AA491" s="56"/>
      <c r="AB491" s="56"/>
      <c r="AC491" s="56"/>
      <c r="AD491" s="56"/>
    </row>
    <row x14ac:dyDescent="0.25" r="492" customHeight="1" ht="18.75" hidden="1">
      <c r="A492" s="56"/>
      <c r="B492" s="56"/>
      <c r="C492" s="50" t="s">
        <v>16</v>
      </c>
      <c r="D492" s="50"/>
      <c r="E492" s="50" t="s">
        <v>1743</v>
      </c>
      <c r="F492" s="50" t="s">
        <v>1744</v>
      </c>
      <c r="G492" s="55">
        <v>10000000</v>
      </c>
      <c r="H492" s="55"/>
      <c r="I492" s="55"/>
      <c r="J492" s="51">
        <v>500000</v>
      </c>
      <c r="K492" s="51"/>
      <c r="L492" s="52">
        <v>46082</v>
      </c>
      <c r="M492" s="53">
        <v>46023</v>
      </c>
      <c r="N492" s="50" t="s">
        <v>161</v>
      </c>
      <c r="O492" s="50" t="s">
        <v>1745</v>
      </c>
      <c r="P492" s="50" t="s">
        <v>1744</v>
      </c>
      <c r="Q492" s="55" t="s">
        <v>1746</v>
      </c>
      <c r="R492" s="55" t="s">
        <v>1747</v>
      </c>
      <c r="S492" s="53">
        <v>47118</v>
      </c>
      <c r="T492" s="50" t="s">
        <v>1748</v>
      </c>
      <c r="U492" s="50" t="s">
        <v>166</v>
      </c>
      <c r="V492" s="56"/>
      <c r="W492" s="50"/>
      <c r="X492" s="50"/>
      <c r="Y492" s="56"/>
      <c r="Z492" s="56"/>
      <c r="AA492" s="56"/>
      <c r="AB492" s="56"/>
      <c r="AC492" s="56"/>
      <c r="AD492" s="56"/>
    </row>
    <row x14ac:dyDescent="0.25" r="493" customHeight="1" ht="18.75">
      <c r="A493" s="63"/>
      <c r="B493" s="63"/>
      <c r="C493" s="49" t="s">
        <v>16</v>
      </c>
      <c r="D493" s="49"/>
      <c r="E493" s="49" t="s">
        <v>357</v>
      </c>
      <c r="F493" s="49" t="s">
        <v>3062</v>
      </c>
      <c r="G493" s="64">
        <v>20000000</v>
      </c>
      <c r="H493" s="64"/>
      <c r="I493" s="64"/>
      <c r="J493" s="65">
        <f>IF(G493&gt;0,_xludf.IFS(G493=10000000,800000,G493=20000000,1528000,G493=30000000,2028000,G493=60000000,4056000),"")</f>
      </c>
      <c r="K493" s="64"/>
      <c r="L493" s="66">
        <v>46195</v>
      </c>
      <c r="M493" s="67">
        <f>IF(L493&gt;0,EDATE(L493,-2),"")</f>
        <v>25569.375</v>
      </c>
      <c r="N493" s="49" t="s">
        <v>168</v>
      </c>
      <c r="O493" s="49" t="s">
        <v>3063</v>
      </c>
      <c r="P493" s="68">
        <f>IF(F493&gt;0,F493,"")</f>
      </c>
      <c r="Q493" s="69" t="s">
        <v>3064</v>
      </c>
      <c r="R493" s="69">
        <v>29360809</v>
      </c>
      <c r="S493" s="67">
        <f>IF(ISNUMBER(M493), EDATE(M493,36)-1, "")</f>
        <v>25569.375</v>
      </c>
      <c r="T493" s="49"/>
      <c r="U493" s="49"/>
      <c r="V493" s="63"/>
      <c r="W493" s="50"/>
      <c r="X493" s="50"/>
      <c r="Y493" s="56"/>
      <c r="Z493" s="56"/>
      <c r="AA493" s="56"/>
      <c r="AB493" s="56"/>
      <c r="AC493" s="56"/>
      <c r="AD493" s="56"/>
    </row>
    <row x14ac:dyDescent="0.25" r="494" customHeight="1" ht="18.75" hidden="1">
      <c r="A494" s="63"/>
      <c r="B494" s="63"/>
      <c r="C494" s="49" t="s">
        <v>16</v>
      </c>
      <c r="D494" s="49" t="s">
        <v>1750</v>
      </c>
      <c r="E494" s="49" t="s">
        <v>203</v>
      </c>
      <c r="F494" s="49" t="s">
        <v>1751</v>
      </c>
      <c r="G494" s="69">
        <v>20000000</v>
      </c>
      <c r="H494" s="69"/>
      <c r="I494" s="69"/>
      <c r="J494" s="65">
        <f>IF(G494&gt;0,_xludf.IFS(G494=10000000,800000,G494=20000000,1528000,G494=30000000,2028000,G494=30000000,4056000),"")</f>
      </c>
      <c r="K494" s="64"/>
      <c r="L494" s="66">
        <v>46063</v>
      </c>
      <c r="M494" s="67">
        <f>IF(L494&gt;0,EDATE(L494,-2),"")</f>
        <v>25569.375</v>
      </c>
      <c r="N494" s="49" t="s">
        <v>555</v>
      </c>
      <c r="O494" s="49" t="s">
        <v>1752</v>
      </c>
      <c r="P494" s="68">
        <f>F494</f>
      </c>
      <c r="Q494" s="69" t="s">
        <v>1753</v>
      </c>
      <c r="R494" s="69">
        <v>25377161</v>
      </c>
      <c r="S494" s="53">
        <f>IF(M494&gt;0,EDATE(M494,36)-1,"")</f>
        <v>25569.375</v>
      </c>
      <c r="T494" s="49"/>
      <c r="U494" s="49"/>
      <c r="V494" s="63"/>
      <c r="W494" s="50"/>
      <c r="X494" s="50"/>
      <c r="Y494" s="56"/>
      <c r="Z494" s="56"/>
      <c r="AA494" s="56"/>
      <c r="AB494" s="56"/>
      <c r="AC494" s="56"/>
      <c r="AD494" s="56"/>
    </row>
    <row x14ac:dyDescent="0.25" r="495" customHeight="1" ht="18.75" hidden="1">
      <c r="A495" s="48" t="s">
        <v>152</v>
      </c>
      <c r="B495" s="48"/>
      <c r="C495" s="50" t="s">
        <v>16</v>
      </c>
      <c r="D495" s="50" t="s">
        <v>202</v>
      </c>
      <c r="E495" s="50" t="s">
        <v>203</v>
      </c>
      <c r="F495" s="50" t="s">
        <v>1751</v>
      </c>
      <c r="G495" s="51">
        <v>10000000</v>
      </c>
      <c r="H495" s="51"/>
      <c r="I495" s="51"/>
      <c r="J495" s="51">
        <v>800000</v>
      </c>
      <c r="K495" s="51"/>
      <c r="L495" s="52">
        <v>46063</v>
      </c>
      <c r="M495" s="53">
        <f>IF(L495&gt;0,EDATE(L495,-2),"")</f>
        <v>25569.375</v>
      </c>
      <c r="N495" s="50" t="s">
        <v>555</v>
      </c>
      <c r="O495" s="50" t="s">
        <v>1752</v>
      </c>
      <c r="P495" s="54">
        <f>IF(F495&gt;0,F495,"")</f>
      </c>
      <c r="Q495" s="55">
        <v>3901142063316</v>
      </c>
      <c r="R495" s="55">
        <v>72776699</v>
      </c>
      <c r="S495" s="53">
        <f>IF(ISNUMBER(M495), EDATE(M495,36)-1, "")</f>
        <v>25569.375</v>
      </c>
      <c r="T495" s="50"/>
      <c r="U495" s="50"/>
      <c r="V495" s="48" t="s">
        <v>1755</v>
      </c>
      <c r="W495" s="50" t="s">
        <v>3238</v>
      </c>
      <c r="X495" s="50" t="s">
        <v>3238</v>
      </c>
      <c r="Y495" s="56"/>
      <c r="Z495" s="56"/>
      <c r="AA495" s="56"/>
      <c r="AB495" s="56"/>
      <c r="AC495" s="56"/>
      <c r="AD495" s="56"/>
    </row>
    <row x14ac:dyDescent="0.25" r="496" customHeight="1" ht="18.75" hidden="1">
      <c r="A496" s="71"/>
      <c r="B496" s="71"/>
      <c r="C496" s="72" t="s">
        <v>16</v>
      </c>
      <c r="D496" s="72" t="s">
        <v>1750</v>
      </c>
      <c r="E496" s="72" t="s">
        <v>203</v>
      </c>
      <c r="F496" s="72" t="s">
        <v>1751</v>
      </c>
      <c r="G496" s="73">
        <v>20000000</v>
      </c>
      <c r="H496" s="73"/>
      <c r="I496" s="73"/>
      <c r="J496" s="95">
        <f>IF(G496&gt;0,_xludf.IFS(G496=10000000,800000,G496=20000000,1528000,G496=30000000,2028000,G496=30000000,4056000),"")</f>
      </c>
      <c r="K496" s="74"/>
      <c r="L496" s="75">
        <v>46063</v>
      </c>
      <c r="M496" s="76">
        <f>IF(L496&gt;0,EDATE(L496,-2),"")</f>
        <v>25569.375</v>
      </c>
      <c r="N496" s="72" t="s">
        <v>555</v>
      </c>
      <c r="O496" s="72" t="s">
        <v>1752</v>
      </c>
      <c r="P496" s="96">
        <f>F496</f>
      </c>
      <c r="Q496" s="73" t="s">
        <v>1753</v>
      </c>
      <c r="R496" s="73">
        <v>25377161</v>
      </c>
      <c r="S496" s="76">
        <f>IF(M496&gt;0,EDATE(M496,36)-1,"")</f>
        <v>25569.375</v>
      </c>
      <c r="T496" s="72"/>
      <c r="U496" s="72"/>
      <c r="V496" s="71"/>
      <c r="W496" s="50"/>
      <c r="X496" s="50"/>
      <c r="Y496" s="56"/>
      <c r="Z496" s="56"/>
      <c r="AA496" s="56"/>
      <c r="AB496" s="56"/>
      <c r="AC496" s="56"/>
      <c r="AD496" s="56"/>
    </row>
    <row x14ac:dyDescent="0.25" r="497" customHeight="1" ht="18.75">
      <c r="A497" s="56"/>
      <c r="B497" s="56"/>
      <c r="C497" s="50" t="s">
        <v>16</v>
      </c>
      <c r="D497" s="50"/>
      <c r="E497" s="50"/>
      <c r="F497" s="50" t="s">
        <v>910</v>
      </c>
      <c r="G497" s="55">
        <v>20000000</v>
      </c>
      <c r="H497" s="55"/>
      <c r="I497" s="55"/>
      <c r="J497" s="51">
        <v>1528000</v>
      </c>
      <c r="K497" s="51"/>
      <c r="L497" s="52">
        <v>46196</v>
      </c>
      <c r="M497" s="53">
        <v>46135</v>
      </c>
      <c r="N497" s="50" t="s">
        <v>161</v>
      </c>
      <c r="O497" s="50" t="s">
        <v>911</v>
      </c>
      <c r="P497" s="50" t="s">
        <v>910</v>
      </c>
      <c r="Q497" s="55" t="s">
        <v>912</v>
      </c>
      <c r="R497" s="55" t="s">
        <v>913</v>
      </c>
      <c r="S497" s="53">
        <v>47230</v>
      </c>
      <c r="T497" s="50"/>
      <c r="U497" s="50" t="s">
        <v>293</v>
      </c>
      <c r="V497" s="56"/>
      <c r="W497" s="50"/>
      <c r="X497" s="50"/>
      <c r="Y497" s="56"/>
      <c r="Z497" s="56"/>
      <c r="AA497" s="56"/>
      <c r="AB497" s="56"/>
      <c r="AC497" s="56"/>
      <c r="AD497" s="56"/>
    </row>
    <row x14ac:dyDescent="0.25" r="498" customHeight="1" ht="18.75" hidden="1">
      <c r="A498" s="56"/>
      <c r="B498" s="56"/>
      <c r="C498" s="50" t="s">
        <v>16</v>
      </c>
      <c r="D498" s="50"/>
      <c r="E498" s="50"/>
      <c r="F498" s="50" t="s">
        <v>75</v>
      </c>
      <c r="G498" s="55">
        <v>20000000</v>
      </c>
      <c r="H498" s="55"/>
      <c r="I498" s="55"/>
      <c r="J498" s="51">
        <v>1528000</v>
      </c>
      <c r="K498" s="51"/>
      <c r="L498" s="52">
        <v>46016</v>
      </c>
      <c r="M498" s="53">
        <v>45955</v>
      </c>
      <c r="N498" s="50" t="s">
        <v>155</v>
      </c>
      <c r="O498" s="50" t="s">
        <v>1762</v>
      </c>
      <c r="P498" s="50" t="s">
        <v>1908</v>
      </c>
      <c r="Q498" s="55" t="s">
        <v>1763</v>
      </c>
      <c r="R498" s="55" t="s">
        <v>1764</v>
      </c>
      <c r="S498" s="53">
        <v>47050</v>
      </c>
      <c r="T498" s="50"/>
      <c r="U498" s="50"/>
      <c r="V498" s="56"/>
      <c r="W498" s="50"/>
      <c r="X498" s="50"/>
      <c r="Y498" s="56"/>
      <c r="Z498" s="56"/>
      <c r="AA498" s="56"/>
      <c r="AB498" s="56"/>
      <c r="AC498" s="56"/>
      <c r="AD498" s="56"/>
    </row>
    <row x14ac:dyDescent="0.25" r="499" customHeight="1" ht="18.75" hidden="1">
      <c r="A499" s="56"/>
      <c r="B499" s="56"/>
      <c r="C499" s="50" t="s">
        <v>16</v>
      </c>
      <c r="D499" s="50"/>
      <c r="E499" s="50" t="s">
        <v>75</v>
      </c>
      <c r="F499" s="50" t="s">
        <v>75</v>
      </c>
      <c r="G499" s="55">
        <v>10250000</v>
      </c>
      <c r="H499" s="55"/>
      <c r="I499" s="55"/>
      <c r="J499" s="51">
        <v>1528000</v>
      </c>
      <c r="K499" s="51"/>
      <c r="L499" s="52">
        <v>46137</v>
      </c>
      <c r="M499" s="53">
        <v>46078</v>
      </c>
      <c r="N499" s="50" t="s">
        <v>282</v>
      </c>
      <c r="O499" s="50" t="s">
        <v>1765</v>
      </c>
      <c r="P499" s="50" t="s">
        <v>1908</v>
      </c>
      <c r="Q499" s="55" t="s">
        <v>1763</v>
      </c>
      <c r="R499" s="55" t="s">
        <v>1764</v>
      </c>
      <c r="S499" s="53">
        <v>47173</v>
      </c>
      <c r="T499" s="50" t="s">
        <v>1766</v>
      </c>
      <c r="U499" s="50" t="s">
        <v>293</v>
      </c>
      <c r="V499" s="56"/>
      <c r="W499" s="50"/>
      <c r="X499" s="50"/>
      <c r="Y499" s="56"/>
      <c r="Z499" s="56"/>
      <c r="AA499" s="56"/>
      <c r="AB499" s="56"/>
      <c r="AC499" s="56"/>
      <c r="AD499" s="56"/>
    </row>
    <row x14ac:dyDescent="0.25" r="500" customHeight="1" ht="18.75" hidden="1">
      <c r="A500" s="56"/>
      <c r="B500" s="56"/>
      <c r="C500" s="50" t="s">
        <v>16</v>
      </c>
      <c r="D500" s="50"/>
      <c r="E500" s="50" t="s">
        <v>97</v>
      </c>
      <c r="F500" s="50" t="s">
        <v>1768</v>
      </c>
      <c r="G500" s="55">
        <v>10000000</v>
      </c>
      <c r="H500" s="55"/>
      <c r="I500" s="55"/>
      <c r="J500" s="51">
        <v>800000</v>
      </c>
      <c r="K500" s="51"/>
      <c r="L500" s="52">
        <v>46143</v>
      </c>
      <c r="M500" s="53">
        <v>46082</v>
      </c>
      <c r="N500" s="50" t="s">
        <v>1202</v>
      </c>
      <c r="O500" s="50" t="s">
        <v>1203</v>
      </c>
      <c r="P500" s="50" t="s">
        <v>1768</v>
      </c>
      <c r="Q500" s="55" t="s">
        <v>1769</v>
      </c>
      <c r="R500" s="55" t="s">
        <v>1770</v>
      </c>
      <c r="S500" s="53">
        <v>47177</v>
      </c>
      <c r="T500" s="50"/>
      <c r="U500" s="50" t="s">
        <v>166</v>
      </c>
      <c r="V500" s="48" t="s">
        <v>1761</v>
      </c>
      <c r="W500" s="50"/>
      <c r="X500" s="50"/>
      <c r="Y500" s="56"/>
      <c r="Z500" s="56"/>
      <c r="AA500" s="56"/>
      <c r="AB500" s="56"/>
      <c r="AC500" s="56"/>
      <c r="AD500" s="56"/>
    </row>
    <row x14ac:dyDescent="0.25" r="501" customHeight="1" ht="18.75" hidden="1">
      <c r="A501" s="56"/>
      <c r="B501" s="56"/>
      <c r="C501" s="50" t="s">
        <v>16</v>
      </c>
      <c r="D501" s="50"/>
      <c r="E501" s="50"/>
      <c r="F501" s="50" t="s">
        <v>78</v>
      </c>
      <c r="G501" s="55">
        <v>40000000</v>
      </c>
      <c r="H501" s="55"/>
      <c r="I501" s="55"/>
      <c r="J501" s="51">
        <v>25028000</v>
      </c>
      <c r="K501" s="51"/>
      <c r="L501" s="52">
        <v>46162</v>
      </c>
      <c r="M501" s="53">
        <v>46101</v>
      </c>
      <c r="N501" s="50" t="s">
        <v>1688</v>
      </c>
      <c r="O501" s="50" t="s">
        <v>1727</v>
      </c>
      <c r="P501" s="50" t="s">
        <v>78</v>
      </c>
      <c r="Q501" s="55" t="s">
        <v>1771</v>
      </c>
      <c r="R501" s="55" t="s">
        <v>1729</v>
      </c>
      <c r="S501" s="53">
        <v>47168</v>
      </c>
      <c r="T501" s="50" t="s">
        <v>79</v>
      </c>
      <c r="U501" s="50"/>
      <c r="V501" s="56"/>
      <c r="W501" s="50"/>
      <c r="X501" s="50"/>
      <c r="Y501" s="56"/>
      <c r="Z501" s="56"/>
      <c r="AA501" s="56"/>
      <c r="AB501" s="56"/>
      <c r="AC501" s="56"/>
      <c r="AD501" s="56"/>
    </row>
    <row x14ac:dyDescent="0.25" r="502" customHeight="1" ht="18.75" hidden="1">
      <c r="A502" s="56"/>
      <c r="B502" s="56"/>
      <c r="C502" s="50" t="s">
        <v>16</v>
      </c>
      <c r="D502" s="50"/>
      <c r="E502" s="50"/>
      <c r="F502" s="50" t="s">
        <v>1772</v>
      </c>
      <c r="G502" s="55">
        <v>10000000</v>
      </c>
      <c r="H502" s="55"/>
      <c r="I502" s="55"/>
      <c r="J502" s="51">
        <v>800000</v>
      </c>
      <c r="K502" s="51"/>
      <c r="L502" s="52">
        <v>46126</v>
      </c>
      <c r="M502" s="53">
        <v>46067</v>
      </c>
      <c r="N502" s="50" t="s">
        <v>570</v>
      </c>
      <c r="O502" s="50" t="s">
        <v>1773</v>
      </c>
      <c r="P502" s="50" t="s">
        <v>1772</v>
      </c>
      <c r="Q502" s="55" t="s">
        <v>1774</v>
      </c>
      <c r="R502" s="55" t="s">
        <v>1775</v>
      </c>
      <c r="S502" s="53">
        <v>47162</v>
      </c>
      <c r="T502" s="50"/>
      <c r="U502" s="50" t="s">
        <v>166</v>
      </c>
      <c r="V502" s="56"/>
      <c r="W502" s="50"/>
      <c r="X502" s="50"/>
      <c r="Y502" s="56"/>
      <c r="Z502" s="56"/>
      <c r="AA502" s="56"/>
      <c r="AB502" s="56"/>
      <c r="AC502" s="56"/>
      <c r="AD502" s="56"/>
    </row>
    <row x14ac:dyDescent="0.25" r="503" customHeight="1" ht="18.75" hidden="1">
      <c r="A503" s="63"/>
      <c r="B503" s="63"/>
      <c r="C503" s="49" t="s">
        <v>16</v>
      </c>
      <c r="D503" s="49" t="s">
        <v>116</v>
      </c>
      <c r="E503" s="49" t="s">
        <v>117</v>
      </c>
      <c r="F503" s="49" t="s">
        <v>1776</v>
      </c>
      <c r="G503" s="64">
        <v>10000000</v>
      </c>
      <c r="H503" s="64"/>
      <c r="I503" s="64"/>
      <c r="J503" s="65">
        <f>IF(G503&gt;0,_xludf.IFS(G503=10000000,800000,G503=20000000,1528000,G503=30000000,2028000,G503=60000000,4056000),"")</f>
      </c>
      <c r="K503" s="64"/>
      <c r="L503" s="66">
        <v>46151</v>
      </c>
      <c r="M503" s="67">
        <f>IF(L503&gt;0,EDATE(L503,-2),"")</f>
        <v>25569.375</v>
      </c>
      <c r="N503" s="49" t="s">
        <v>1688</v>
      </c>
      <c r="O503" s="49" t="s">
        <v>1777</v>
      </c>
      <c r="P503" s="68">
        <f>IF(F503&gt;0,F503,"")</f>
      </c>
      <c r="Q503" s="69" t="s">
        <v>1778</v>
      </c>
      <c r="R503" s="69">
        <v>66517977</v>
      </c>
      <c r="S503" s="67">
        <f>IF(ISNUMBER(M503), EDATE(M503,36)-1, "")</f>
        <v>25569.375</v>
      </c>
      <c r="T503" s="49"/>
      <c r="U503" s="49"/>
      <c r="V503" s="63"/>
      <c r="W503" s="50"/>
      <c r="X503" s="50"/>
      <c r="Y503" s="56"/>
      <c r="Z503" s="56"/>
      <c r="AA503" s="56"/>
      <c r="AB503" s="56"/>
      <c r="AC503" s="56"/>
      <c r="AD503" s="56"/>
    </row>
    <row x14ac:dyDescent="0.25" r="504" customHeight="1" ht="18.75" hidden="1">
      <c r="A504" s="56"/>
      <c r="B504" s="56"/>
      <c r="C504" s="50" t="s">
        <v>16</v>
      </c>
      <c r="D504" s="50" t="s">
        <v>80</v>
      </c>
      <c r="E504" s="50"/>
      <c r="F504" s="50" t="s">
        <v>81</v>
      </c>
      <c r="G504" s="55">
        <v>10000000</v>
      </c>
      <c r="H504" s="55"/>
      <c r="I504" s="55"/>
      <c r="J504" s="51">
        <v>800000</v>
      </c>
      <c r="K504" s="51"/>
      <c r="L504" s="52">
        <v>46151</v>
      </c>
      <c r="M504" s="53">
        <v>46090</v>
      </c>
      <c r="N504" s="50" t="s">
        <v>239</v>
      </c>
      <c r="O504" s="50" t="s">
        <v>1779</v>
      </c>
      <c r="P504" s="50" t="s">
        <v>81</v>
      </c>
      <c r="Q504" s="55" t="s">
        <v>1780</v>
      </c>
      <c r="R504" s="55" t="s">
        <v>1781</v>
      </c>
      <c r="S504" s="53">
        <v>47185</v>
      </c>
      <c r="T504" s="50" t="s">
        <v>82</v>
      </c>
      <c r="U504" s="50" t="s">
        <v>166</v>
      </c>
      <c r="V504" s="48" t="s">
        <v>83</v>
      </c>
      <c r="W504" s="50"/>
      <c r="X504" s="50"/>
      <c r="Y504" s="56"/>
      <c r="Z504" s="56"/>
      <c r="AA504" s="56"/>
      <c r="AB504" s="56"/>
      <c r="AC504" s="56"/>
      <c r="AD504" s="56"/>
    </row>
    <row x14ac:dyDescent="0.25" r="505" customHeight="1" ht="18.75" hidden="1">
      <c r="A505" s="71"/>
      <c r="B505" s="71"/>
      <c r="C505" s="72" t="s">
        <v>16</v>
      </c>
      <c r="D505" s="72"/>
      <c r="E505" s="72"/>
      <c r="F505" s="72" t="s">
        <v>455</v>
      </c>
      <c r="G505" s="73">
        <v>10000000</v>
      </c>
      <c r="H505" s="73"/>
      <c r="I505" s="73"/>
      <c r="J505" s="74"/>
      <c r="K505" s="74"/>
      <c r="L505" s="75">
        <v>46154</v>
      </c>
      <c r="M505" s="76">
        <v>46093</v>
      </c>
      <c r="N505" s="72" t="s">
        <v>161</v>
      </c>
      <c r="O505" s="72" t="s">
        <v>888</v>
      </c>
      <c r="P505" s="72" t="s">
        <v>455</v>
      </c>
      <c r="Q505" s="73" t="s">
        <v>1782</v>
      </c>
      <c r="R505" s="73" t="s">
        <v>1783</v>
      </c>
      <c r="S505" s="76">
        <v>47188</v>
      </c>
      <c r="T505" s="72" t="s">
        <v>1784</v>
      </c>
      <c r="U505" s="72" t="s">
        <v>166</v>
      </c>
      <c r="V505" s="71"/>
      <c r="W505" s="50"/>
      <c r="X505" s="50"/>
      <c r="Y505" s="56"/>
      <c r="Z505" s="56"/>
      <c r="AA505" s="56"/>
      <c r="AB505" s="56"/>
      <c r="AC505" s="56"/>
      <c r="AD505" s="56"/>
    </row>
    <row x14ac:dyDescent="0.25" r="506" customHeight="1" ht="18.75" hidden="1">
      <c r="A506" s="56"/>
      <c r="B506" s="56"/>
      <c r="C506" s="50" t="s">
        <v>16</v>
      </c>
      <c r="D506" s="50" t="s">
        <v>3304</v>
      </c>
      <c r="E506" s="50"/>
      <c r="F506" s="50" t="s">
        <v>1785</v>
      </c>
      <c r="G506" s="55">
        <v>20000000</v>
      </c>
      <c r="H506" s="55"/>
      <c r="I506" s="55"/>
      <c r="J506" s="51">
        <v>1600000</v>
      </c>
      <c r="K506" s="51"/>
      <c r="L506" s="52">
        <v>45876</v>
      </c>
      <c r="M506" s="53">
        <v>45796</v>
      </c>
      <c r="N506" s="50" t="s">
        <v>155</v>
      </c>
      <c r="O506" s="50" t="s">
        <v>1786</v>
      </c>
      <c r="P506" s="50" t="s">
        <v>1785</v>
      </c>
      <c r="Q506" s="55" t="s">
        <v>1787</v>
      </c>
      <c r="R506" s="55" t="s">
        <v>1788</v>
      </c>
      <c r="S506" s="53">
        <v>46971</v>
      </c>
      <c r="T506" s="50"/>
      <c r="U506" s="50"/>
      <c r="V506" s="56"/>
      <c r="W506" s="50"/>
      <c r="X506" s="50"/>
      <c r="Y506" s="56"/>
      <c r="Z506" s="56"/>
      <c r="AA506" s="56"/>
      <c r="AB506" s="56"/>
      <c r="AC506" s="56"/>
      <c r="AD506" s="56"/>
    </row>
    <row x14ac:dyDescent="0.25" r="507" customHeight="1" ht="18.75" hidden="1">
      <c r="A507" s="56"/>
      <c r="B507" s="56"/>
      <c r="C507" s="50" t="s">
        <v>16</v>
      </c>
      <c r="D507" s="50"/>
      <c r="E507" s="50"/>
      <c r="F507" s="50" t="s">
        <v>1785</v>
      </c>
      <c r="G507" s="55">
        <v>60000000</v>
      </c>
      <c r="H507" s="55"/>
      <c r="I507" s="55"/>
      <c r="J507" s="51">
        <v>4800000</v>
      </c>
      <c r="K507" s="51"/>
      <c r="L507" s="52">
        <v>45930</v>
      </c>
      <c r="M507" s="53">
        <v>45848</v>
      </c>
      <c r="N507" s="50" t="s">
        <v>155</v>
      </c>
      <c r="O507" s="50" t="s">
        <v>1786</v>
      </c>
      <c r="P507" s="50" t="s">
        <v>1785</v>
      </c>
      <c r="Q507" s="55" t="s">
        <v>1787</v>
      </c>
      <c r="R507" s="55" t="s">
        <v>1788</v>
      </c>
      <c r="S507" s="53">
        <v>46943</v>
      </c>
      <c r="T507" s="50"/>
      <c r="U507" s="50"/>
      <c r="V507" s="56"/>
      <c r="W507" s="50"/>
      <c r="X507" s="50"/>
      <c r="Y507" s="56"/>
      <c r="Z507" s="56"/>
      <c r="AA507" s="56"/>
      <c r="AB507" s="56"/>
      <c r="AC507" s="56"/>
      <c r="AD507" s="56"/>
    </row>
    <row x14ac:dyDescent="0.25" r="508" customHeight="1" ht="18.75" hidden="1">
      <c r="A508" s="56"/>
      <c r="B508" s="56"/>
      <c r="C508" s="50" t="s">
        <v>16</v>
      </c>
      <c r="D508" s="50"/>
      <c r="E508" s="50"/>
      <c r="F508" s="50" t="s">
        <v>1790</v>
      </c>
      <c r="G508" s="55">
        <v>20000000</v>
      </c>
      <c r="H508" s="55"/>
      <c r="I508" s="55"/>
      <c r="J508" s="51">
        <v>1528000</v>
      </c>
      <c r="K508" s="51"/>
      <c r="L508" s="52">
        <v>46011</v>
      </c>
      <c r="M508" s="53">
        <v>45950</v>
      </c>
      <c r="N508" s="50" t="s">
        <v>155</v>
      </c>
      <c r="O508" s="50" t="s">
        <v>1791</v>
      </c>
      <c r="P508" s="50" t="s">
        <v>1790</v>
      </c>
      <c r="Q508" s="55" t="s">
        <v>1792</v>
      </c>
      <c r="R508" s="55" t="s">
        <v>1793</v>
      </c>
      <c r="S508" s="53">
        <v>47045</v>
      </c>
      <c r="T508" s="50"/>
      <c r="U508" s="50"/>
      <c r="V508" s="56"/>
      <c r="W508" s="50"/>
      <c r="X508" s="50"/>
      <c r="Y508" s="56"/>
      <c r="Z508" s="56"/>
      <c r="AA508" s="56"/>
      <c r="AB508" s="56"/>
      <c r="AC508" s="56"/>
      <c r="AD508" s="56"/>
    </row>
    <row x14ac:dyDescent="0.25" r="509" customHeight="1" ht="18.75" hidden="1">
      <c r="A509" s="56"/>
      <c r="B509" s="56"/>
      <c r="C509" s="50" t="s">
        <v>16</v>
      </c>
      <c r="D509" s="50"/>
      <c r="E509" s="50"/>
      <c r="F509" s="50" t="s">
        <v>1790</v>
      </c>
      <c r="G509" s="55">
        <v>10000000</v>
      </c>
      <c r="H509" s="55"/>
      <c r="I509" s="55"/>
      <c r="J509" s="51">
        <v>800000</v>
      </c>
      <c r="K509" s="51"/>
      <c r="L509" s="52">
        <v>46064</v>
      </c>
      <c r="M509" s="53">
        <v>46002</v>
      </c>
      <c r="N509" s="50" t="s">
        <v>155</v>
      </c>
      <c r="O509" s="50" t="s">
        <v>1791</v>
      </c>
      <c r="P509" s="50" t="s">
        <v>1790</v>
      </c>
      <c r="Q509" s="55" t="s">
        <v>1792</v>
      </c>
      <c r="R509" s="55" t="s">
        <v>1793</v>
      </c>
      <c r="S509" s="53">
        <v>47097</v>
      </c>
      <c r="T509" s="50"/>
      <c r="U509" s="50"/>
      <c r="V509" s="56"/>
      <c r="W509" s="50"/>
      <c r="X509" s="50"/>
      <c r="Y509" s="56"/>
      <c r="Z509" s="56"/>
      <c r="AA509" s="56"/>
      <c r="AB509" s="56"/>
      <c r="AC509" s="56"/>
      <c r="AD509" s="56"/>
    </row>
    <row x14ac:dyDescent="0.25" r="510" customHeight="1" ht="18.75" hidden="1">
      <c r="A510" s="56"/>
      <c r="B510" s="56"/>
      <c r="C510" s="50" t="s">
        <v>16</v>
      </c>
      <c r="D510" s="50"/>
      <c r="E510" s="50"/>
      <c r="F510" s="50" t="s">
        <v>1795</v>
      </c>
      <c r="G510" s="55">
        <v>10000000</v>
      </c>
      <c r="H510" s="55"/>
      <c r="I510" s="55"/>
      <c r="J510" s="51">
        <v>800000</v>
      </c>
      <c r="K510" s="51"/>
      <c r="L510" s="52">
        <v>45921</v>
      </c>
      <c r="M510" s="53">
        <v>45848</v>
      </c>
      <c r="N510" s="50" t="s">
        <v>168</v>
      </c>
      <c r="O510" s="50" t="s">
        <v>1796</v>
      </c>
      <c r="P510" s="50" t="s">
        <v>1795</v>
      </c>
      <c r="Q510" s="55" t="s">
        <v>1797</v>
      </c>
      <c r="R510" s="55" t="s">
        <v>1798</v>
      </c>
      <c r="S510" s="53">
        <v>46943</v>
      </c>
      <c r="T510" s="50"/>
      <c r="U510" s="50"/>
      <c r="V510" s="56"/>
      <c r="W510" s="50"/>
      <c r="X510" s="50"/>
      <c r="Y510" s="56"/>
      <c r="Z510" s="56"/>
      <c r="AA510" s="56"/>
      <c r="AB510" s="56"/>
      <c r="AC510" s="56"/>
      <c r="AD510" s="56"/>
    </row>
    <row x14ac:dyDescent="0.25" r="511" customHeight="1" ht="18.75">
      <c r="A511" s="48" t="s">
        <v>275</v>
      </c>
      <c r="B511" s="62"/>
      <c r="C511" s="50" t="s">
        <v>16</v>
      </c>
      <c r="D511" s="50"/>
      <c r="E511" s="50"/>
      <c r="F511" s="50" t="s">
        <v>914</v>
      </c>
      <c r="G511" s="55">
        <v>10000000</v>
      </c>
      <c r="H511" s="55"/>
      <c r="I511" s="55"/>
      <c r="J511" s="51">
        <v>800000</v>
      </c>
      <c r="K511" s="51"/>
      <c r="L511" s="52">
        <v>46196</v>
      </c>
      <c r="M511" s="53">
        <v>46135</v>
      </c>
      <c r="N511" s="50" t="s">
        <v>239</v>
      </c>
      <c r="O511" s="50" t="s">
        <v>915</v>
      </c>
      <c r="P511" s="50" t="s">
        <v>914</v>
      </c>
      <c r="Q511" s="55" t="s">
        <v>916</v>
      </c>
      <c r="R511" s="55" t="s">
        <v>917</v>
      </c>
      <c r="S511" s="53">
        <v>47230</v>
      </c>
      <c r="T511" s="50" t="s">
        <v>918</v>
      </c>
      <c r="U511" s="50" t="s">
        <v>166</v>
      </c>
      <c r="V511" s="48" t="s">
        <v>919</v>
      </c>
      <c r="W511" s="50"/>
      <c r="X511" s="50"/>
      <c r="Y511" s="56"/>
      <c r="Z511" s="56"/>
      <c r="AA511" s="56"/>
      <c r="AB511" s="56"/>
      <c r="AC511" s="56"/>
      <c r="AD511" s="56"/>
    </row>
    <row x14ac:dyDescent="0.25" r="512" customHeight="1" ht="18.75" hidden="1">
      <c r="A512" s="56"/>
      <c r="B512" s="56"/>
      <c r="C512" s="50" t="s">
        <v>16</v>
      </c>
      <c r="D512" s="50" t="s">
        <v>454</v>
      </c>
      <c r="E512" s="50"/>
      <c r="F512" s="50" t="s">
        <v>1799</v>
      </c>
      <c r="G512" s="55">
        <v>10000000</v>
      </c>
      <c r="H512" s="55"/>
      <c r="I512" s="55"/>
      <c r="J512" s="51">
        <v>800000</v>
      </c>
      <c r="K512" s="51"/>
      <c r="L512" s="52">
        <v>46154</v>
      </c>
      <c r="M512" s="53">
        <v>46093</v>
      </c>
      <c r="N512" s="50" t="s">
        <v>239</v>
      </c>
      <c r="O512" s="50" t="s">
        <v>1800</v>
      </c>
      <c r="P512" s="50" t="s">
        <v>1799</v>
      </c>
      <c r="Q512" s="55" t="s">
        <v>1782</v>
      </c>
      <c r="R512" s="55" t="s">
        <v>1783</v>
      </c>
      <c r="S512" s="53">
        <v>47188</v>
      </c>
      <c r="T512" s="50"/>
      <c r="U512" s="50"/>
      <c r="V512" s="56"/>
      <c r="W512" s="50"/>
      <c r="X512" s="50"/>
      <c r="Y512" s="56"/>
      <c r="Z512" s="56"/>
      <c r="AA512" s="56"/>
      <c r="AB512" s="56"/>
      <c r="AC512" s="56"/>
      <c r="AD512" s="56"/>
    </row>
    <row x14ac:dyDescent="0.25" r="513" customHeight="1" ht="18.75">
      <c r="A513" s="56"/>
      <c r="B513" s="56"/>
      <c r="C513" s="50" t="s">
        <v>16</v>
      </c>
      <c r="D513" s="50"/>
      <c r="E513" s="50"/>
      <c r="F513" s="50" t="s">
        <v>40</v>
      </c>
      <c r="G513" s="55">
        <v>40000000</v>
      </c>
      <c r="H513" s="55"/>
      <c r="I513" s="55"/>
      <c r="J513" s="51">
        <v>4056000</v>
      </c>
      <c r="K513" s="51"/>
      <c r="L513" s="52">
        <v>46196</v>
      </c>
      <c r="M513" s="53">
        <v>46135</v>
      </c>
      <c r="N513" s="50" t="s">
        <v>239</v>
      </c>
      <c r="O513" s="50" t="s">
        <v>1227</v>
      </c>
      <c r="P513" s="50" t="s">
        <v>40</v>
      </c>
      <c r="Q513" s="55" t="s">
        <v>1228</v>
      </c>
      <c r="R513" s="55" t="s">
        <v>1229</v>
      </c>
      <c r="S513" s="53">
        <v>47230</v>
      </c>
      <c r="T513" s="50"/>
      <c r="U513" s="50" t="s">
        <v>166</v>
      </c>
      <c r="V513" s="48" t="s">
        <v>3305</v>
      </c>
      <c r="W513" s="50"/>
      <c r="X513" s="50"/>
      <c r="Y513" s="56"/>
      <c r="Z513" s="56"/>
      <c r="AA513" s="56"/>
      <c r="AB513" s="56"/>
      <c r="AC513" s="56"/>
      <c r="AD513" s="56"/>
    </row>
    <row x14ac:dyDescent="0.25" r="514" customHeight="1" ht="18.75">
      <c r="A514" s="48" t="s">
        <v>152</v>
      </c>
      <c r="B514" s="62"/>
      <c r="C514" s="50" t="s">
        <v>16</v>
      </c>
      <c r="D514" s="50" t="s">
        <v>1627</v>
      </c>
      <c r="E514" s="50"/>
      <c r="F514" s="50" t="s">
        <v>1628</v>
      </c>
      <c r="G514" s="55">
        <v>10000000</v>
      </c>
      <c r="H514" s="55"/>
      <c r="I514" s="55"/>
      <c r="J514" s="51">
        <v>500000</v>
      </c>
      <c r="K514" s="51"/>
      <c r="L514" s="52">
        <v>46196</v>
      </c>
      <c r="M514" s="53">
        <v>46135</v>
      </c>
      <c r="N514" s="50" t="s">
        <v>161</v>
      </c>
      <c r="O514" s="50" t="s">
        <v>1629</v>
      </c>
      <c r="P514" s="50" t="s">
        <v>1628</v>
      </c>
      <c r="Q514" s="55" t="s">
        <v>1630</v>
      </c>
      <c r="R514" s="55" t="s">
        <v>1631</v>
      </c>
      <c r="S514" s="53">
        <v>47230</v>
      </c>
      <c r="T514" s="50" t="s">
        <v>1632</v>
      </c>
      <c r="U514" s="50" t="s">
        <v>293</v>
      </c>
      <c r="V514" s="48" t="s">
        <v>1633</v>
      </c>
      <c r="W514" s="50"/>
      <c r="X514" s="50"/>
      <c r="Y514" s="56"/>
      <c r="Z514" s="56"/>
      <c r="AA514" s="56"/>
      <c r="AB514" s="56"/>
      <c r="AC514" s="56"/>
      <c r="AD514" s="56"/>
    </row>
    <row x14ac:dyDescent="0.25" r="515" customHeight="1" ht="18.75">
      <c r="A515" s="56"/>
      <c r="B515" s="56"/>
      <c r="C515" s="50" t="s">
        <v>16</v>
      </c>
      <c r="D515" s="50"/>
      <c r="E515" s="50"/>
      <c r="F515" s="50" t="s">
        <v>1687</v>
      </c>
      <c r="G515" s="55">
        <v>10000000</v>
      </c>
      <c r="H515" s="55"/>
      <c r="I515" s="55"/>
      <c r="J515" s="51">
        <v>1200000</v>
      </c>
      <c r="K515" s="51"/>
      <c r="L515" s="52">
        <v>46196</v>
      </c>
      <c r="M515" s="53">
        <v>46135</v>
      </c>
      <c r="N515" s="50" t="s">
        <v>1688</v>
      </c>
      <c r="O515" s="50" t="s">
        <v>1689</v>
      </c>
      <c r="P515" s="50" t="s">
        <v>1687</v>
      </c>
      <c r="Q515" s="55" t="s">
        <v>1690</v>
      </c>
      <c r="R515" s="55" t="s">
        <v>1691</v>
      </c>
      <c r="S515" s="53">
        <v>47230</v>
      </c>
      <c r="T515" s="50" t="s">
        <v>1692</v>
      </c>
      <c r="U515" s="50" t="s">
        <v>166</v>
      </c>
      <c r="V515" s="56"/>
      <c r="W515" s="50"/>
      <c r="X515" s="50"/>
      <c r="Y515" s="56"/>
      <c r="Z515" s="56"/>
      <c r="AA515" s="56"/>
      <c r="AB515" s="56"/>
      <c r="AC515" s="56"/>
      <c r="AD515" s="56"/>
    </row>
    <row x14ac:dyDescent="0.25" r="516" customHeight="1" ht="18.75">
      <c r="A516" s="56"/>
      <c r="B516" s="56"/>
      <c r="C516" s="50" t="s">
        <v>16</v>
      </c>
      <c r="D516" s="50"/>
      <c r="E516" s="50"/>
      <c r="F516" s="50" t="s">
        <v>2702</v>
      </c>
      <c r="G516" s="55">
        <v>10000000</v>
      </c>
      <c r="H516" s="55"/>
      <c r="I516" s="55"/>
      <c r="J516" s="51">
        <v>800000</v>
      </c>
      <c r="K516" s="51"/>
      <c r="L516" s="52">
        <v>46196</v>
      </c>
      <c r="M516" s="53">
        <v>46135</v>
      </c>
      <c r="N516" s="50" t="s">
        <v>168</v>
      </c>
      <c r="O516" s="50" t="s">
        <v>2703</v>
      </c>
      <c r="P516" s="50" t="s">
        <v>2702</v>
      </c>
      <c r="Q516" s="55" t="s">
        <v>2704</v>
      </c>
      <c r="R516" s="55" t="s">
        <v>2705</v>
      </c>
      <c r="S516" s="53">
        <v>47230</v>
      </c>
      <c r="T516" s="50" t="s">
        <v>2706</v>
      </c>
      <c r="U516" s="50" t="s">
        <v>166</v>
      </c>
      <c r="V516" s="56"/>
      <c r="W516" s="50"/>
      <c r="X516" s="50"/>
      <c r="Y516" s="56"/>
      <c r="Z516" s="56"/>
      <c r="AA516" s="56"/>
      <c r="AB516" s="56"/>
      <c r="AC516" s="56"/>
      <c r="AD516" s="56"/>
    </row>
    <row x14ac:dyDescent="0.25" r="517" customHeight="1" ht="18.75" hidden="1">
      <c r="A517" s="48" t="s">
        <v>152</v>
      </c>
      <c r="B517" s="48"/>
      <c r="C517" s="50" t="s">
        <v>16</v>
      </c>
      <c r="D517" s="50" t="s">
        <v>816</v>
      </c>
      <c r="E517" s="50" t="s">
        <v>114</v>
      </c>
      <c r="F517" s="50" t="s">
        <v>1814</v>
      </c>
      <c r="G517" s="51">
        <v>20000000</v>
      </c>
      <c r="H517" s="51"/>
      <c r="I517" s="51"/>
      <c r="J517" s="51">
        <v>1000000</v>
      </c>
      <c r="K517" s="51"/>
      <c r="L517" s="52">
        <v>46118</v>
      </c>
      <c r="M517" s="53">
        <f>IF(L517&gt;0,EDATE(L517,-2),"")</f>
        <v>25569.375</v>
      </c>
      <c r="N517" s="50" t="s">
        <v>155</v>
      </c>
      <c r="O517" s="50" t="s">
        <v>1815</v>
      </c>
      <c r="P517" s="54">
        <f>IF(F517&gt;0,F517,"")</f>
      </c>
      <c r="Q517" s="55">
        <v>5611192523215</v>
      </c>
      <c r="R517" s="55">
        <v>96784025</v>
      </c>
      <c r="S517" s="53">
        <f>IF(ISNUMBER(M517), EDATE(M517,36)-1, "")</f>
        <v>25569.375</v>
      </c>
      <c r="T517" s="50"/>
      <c r="U517" s="50"/>
      <c r="V517" s="56" t="s">
        <v>1816</v>
      </c>
      <c r="W517" s="50"/>
      <c r="X517" s="50"/>
      <c r="Y517" s="56"/>
      <c r="Z517" s="56"/>
      <c r="AA517" s="56"/>
      <c r="AB517" s="56"/>
      <c r="AC517" s="56"/>
      <c r="AD517" s="56"/>
    </row>
    <row x14ac:dyDescent="0.25" r="518" customHeight="1" ht="18.75" hidden="1">
      <c r="A518" s="56"/>
      <c r="B518" s="56"/>
      <c r="C518" s="50" t="s">
        <v>16</v>
      </c>
      <c r="D518" s="50"/>
      <c r="E518" s="50" t="s">
        <v>117</v>
      </c>
      <c r="F518" s="50" t="s">
        <v>1044</v>
      </c>
      <c r="G518" s="55">
        <v>10000000</v>
      </c>
      <c r="H518" s="55"/>
      <c r="I518" s="55"/>
      <c r="J518" s="51">
        <v>800000</v>
      </c>
      <c r="K518" s="51"/>
      <c r="L518" s="52">
        <v>46108</v>
      </c>
      <c r="M518" s="53">
        <v>46049</v>
      </c>
      <c r="N518" s="50" t="s">
        <v>282</v>
      </c>
      <c r="O518" s="50" t="s">
        <v>1817</v>
      </c>
      <c r="P518" s="50" t="s">
        <v>1044</v>
      </c>
      <c r="Q518" s="55" t="s">
        <v>1818</v>
      </c>
      <c r="R518" s="55" t="s">
        <v>1819</v>
      </c>
      <c r="S518" s="53">
        <v>47144</v>
      </c>
      <c r="T518" s="50"/>
      <c r="U518" s="50" t="s">
        <v>166</v>
      </c>
      <c r="V518" s="56"/>
      <c r="W518" s="50"/>
      <c r="X518" s="50"/>
      <c r="Y518" s="56"/>
      <c r="Z518" s="56"/>
      <c r="AA518" s="56"/>
      <c r="AB518" s="56"/>
      <c r="AC518" s="56"/>
      <c r="AD518" s="56"/>
    </row>
    <row x14ac:dyDescent="0.25" r="519" customHeight="1" ht="18.75" hidden="1">
      <c r="A519" s="56"/>
      <c r="B519" s="56"/>
      <c r="C519" s="50" t="s">
        <v>16</v>
      </c>
      <c r="D519" s="50"/>
      <c r="E519" s="50" t="s">
        <v>476</v>
      </c>
      <c r="F519" s="50" t="s">
        <v>1044</v>
      </c>
      <c r="G519" s="55">
        <v>30000000</v>
      </c>
      <c r="H519" s="55"/>
      <c r="I519" s="55"/>
      <c r="J519" s="51">
        <v>800000</v>
      </c>
      <c r="K519" s="51"/>
      <c r="L519" s="52">
        <v>46159</v>
      </c>
      <c r="M519" s="53">
        <v>46098</v>
      </c>
      <c r="N519" s="50" t="s">
        <v>168</v>
      </c>
      <c r="O519" s="50" t="s">
        <v>1817</v>
      </c>
      <c r="P519" s="50" t="s">
        <v>1044</v>
      </c>
      <c r="Q519" s="55" t="s">
        <v>1818</v>
      </c>
      <c r="R519" s="55" t="s">
        <v>1819</v>
      </c>
      <c r="S519" s="53">
        <v>47193</v>
      </c>
      <c r="T519" s="50"/>
      <c r="U519" s="50" t="s">
        <v>166</v>
      </c>
      <c r="V519" s="56"/>
      <c r="W519" s="50"/>
      <c r="X519" s="50"/>
      <c r="Y519" s="56"/>
      <c r="Z519" s="56"/>
      <c r="AA519" s="56"/>
      <c r="AB519" s="56"/>
      <c r="AC519" s="56"/>
      <c r="AD519" s="56"/>
    </row>
    <row x14ac:dyDescent="0.25" r="520" customHeight="1" ht="18.75" hidden="1">
      <c r="A520" s="48" t="s">
        <v>152</v>
      </c>
      <c r="B520" s="48"/>
      <c r="C520" s="50" t="s">
        <v>16</v>
      </c>
      <c r="D520" s="50"/>
      <c r="E520" s="50"/>
      <c r="F520" s="50" t="s">
        <v>87</v>
      </c>
      <c r="G520" s="55">
        <v>60000000</v>
      </c>
      <c r="H520" s="55"/>
      <c r="I520" s="55"/>
      <c r="J520" s="51">
        <v>4800000</v>
      </c>
      <c r="K520" s="51"/>
      <c r="L520" s="52">
        <v>46094</v>
      </c>
      <c r="M520" s="53">
        <v>46022</v>
      </c>
      <c r="N520" s="50" t="s">
        <v>205</v>
      </c>
      <c r="O520" s="50" t="s">
        <v>1821</v>
      </c>
      <c r="P520" s="50" t="s">
        <v>87</v>
      </c>
      <c r="Q520" s="55" t="s">
        <v>1822</v>
      </c>
      <c r="R520" s="55" t="s">
        <v>1823</v>
      </c>
      <c r="S520" s="53">
        <v>47117</v>
      </c>
      <c r="T520" s="50"/>
      <c r="U520" s="50"/>
      <c r="V520" s="56"/>
      <c r="W520" s="50"/>
      <c r="X520" s="50"/>
      <c r="Y520" s="56"/>
      <c r="Z520" s="56"/>
      <c r="AA520" s="56"/>
      <c r="AB520" s="56"/>
      <c r="AC520" s="56"/>
      <c r="AD520" s="56"/>
    </row>
    <row x14ac:dyDescent="0.25" r="521" customHeight="1" ht="18.75" hidden="1">
      <c r="A521" s="48" t="s">
        <v>152</v>
      </c>
      <c r="B521" s="48"/>
      <c r="C521" s="49" t="s">
        <v>16</v>
      </c>
      <c r="D521" s="50" t="s">
        <v>55</v>
      </c>
      <c r="E521" s="50" t="s">
        <v>56</v>
      </c>
      <c r="F521" s="50" t="s">
        <v>1824</v>
      </c>
      <c r="G521" s="51">
        <v>20000000</v>
      </c>
      <c r="H521" s="51"/>
      <c r="I521" s="51"/>
      <c r="J521" s="87">
        <f>IF(G521&gt;0,_xludf.IFS(G521=10000000,800000,G521=20000000,1528000,G521=30000000,2028000,G521=60000000,4056000),"")</f>
      </c>
      <c r="K521" s="51"/>
      <c r="L521" s="52">
        <v>46176</v>
      </c>
      <c r="M521" s="53">
        <v>46111</v>
      </c>
      <c r="N521" s="50" t="s">
        <v>155</v>
      </c>
      <c r="O521" s="50" t="s">
        <v>198</v>
      </c>
      <c r="P521" s="54">
        <f>IF(F521&gt;0,F521,"")</f>
      </c>
      <c r="Q521" s="55" t="s">
        <v>1825</v>
      </c>
      <c r="R521" s="55">
        <v>68515709</v>
      </c>
      <c r="S521" s="53">
        <v>47208</v>
      </c>
      <c r="T521" s="50"/>
      <c r="U521" s="50"/>
      <c r="V521" s="48" t="s">
        <v>1826</v>
      </c>
      <c r="W521" s="50"/>
      <c r="X521" s="50"/>
      <c r="Y521" s="56"/>
      <c r="Z521" s="56"/>
      <c r="AA521" s="56"/>
      <c r="AB521" s="56"/>
      <c r="AC521" s="56"/>
      <c r="AD521" s="56"/>
    </row>
    <row x14ac:dyDescent="0.25" r="522" customHeight="1" ht="18.75">
      <c r="A522" s="56"/>
      <c r="B522" s="56"/>
      <c r="C522" s="50" t="s">
        <v>16</v>
      </c>
      <c r="D522" s="50" t="s">
        <v>48</v>
      </c>
      <c r="E522" s="50" t="s">
        <v>1044</v>
      </c>
      <c r="F522" s="50" t="s">
        <v>2919</v>
      </c>
      <c r="G522" s="55">
        <v>10000000</v>
      </c>
      <c r="H522" s="55"/>
      <c r="I522" s="55"/>
      <c r="J522" s="51">
        <v>800000</v>
      </c>
      <c r="K522" s="51"/>
      <c r="L522" s="52">
        <v>46196</v>
      </c>
      <c r="M522" s="53">
        <v>46135</v>
      </c>
      <c r="N522" s="50" t="s">
        <v>161</v>
      </c>
      <c r="O522" s="50" t="s">
        <v>2920</v>
      </c>
      <c r="P522" s="50" t="s">
        <v>2919</v>
      </c>
      <c r="Q522" s="55" t="s">
        <v>2921</v>
      </c>
      <c r="R522" s="55" t="s">
        <v>2922</v>
      </c>
      <c r="S522" s="53">
        <v>47230</v>
      </c>
      <c r="T522" s="50" t="s">
        <v>2923</v>
      </c>
      <c r="U522" s="50" t="s">
        <v>166</v>
      </c>
      <c r="V522" s="56"/>
      <c r="W522" s="50"/>
      <c r="X522" s="50"/>
      <c r="Y522" s="56"/>
      <c r="Z522" s="56"/>
      <c r="AA522" s="56"/>
      <c r="AB522" s="56"/>
      <c r="AC522" s="56"/>
      <c r="AD522" s="56"/>
    </row>
    <row x14ac:dyDescent="0.25" r="523" customHeight="1" ht="18.75" hidden="1">
      <c r="A523" s="63"/>
      <c r="B523" s="63"/>
      <c r="C523" s="49" t="s">
        <v>16</v>
      </c>
      <c r="D523" s="49" t="s">
        <v>116</v>
      </c>
      <c r="E523" s="49" t="s">
        <v>117</v>
      </c>
      <c r="F523" s="49" t="s">
        <v>1833</v>
      </c>
      <c r="G523" s="64">
        <v>10000000</v>
      </c>
      <c r="H523" s="64"/>
      <c r="I523" s="64"/>
      <c r="J523" s="65">
        <f>IF(G523&gt;0,_xludf.IFS(G523=10000000,800000,G523=20000000,1528000,G523=30000000,2028000,G523=60000000,4056000),"")</f>
      </c>
      <c r="K523" s="64"/>
      <c r="L523" s="66">
        <v>46151</v>
      </c>
      <c r="M523" s="67">
        <f>IF(L523&gt;0,EDATE(L523,-2),"")</f>
        <v>25569.375</v>
      </c>
      <c r="N523" s="49" t="s">
        <v>239</v>
      </c>
      <c r="O523" s="49" t="s">
        <v>1834</v>
      </c>
      <c r="P523" s="68">
        <f>IF(F523&gt;0,F523,"")</f>
      </c>
      <c r="Q523" s="69" t="s">
        <v>1835</v>
      </c>
      <c r="R523" s="69">
        <v>33513785</v>
      </c>
      <c r="S523" s="67">
        <f>IF(ISNUMBER(M523), EDATE(M523,36)-1, "")</f>
        <v>25569.375</v>
      </c>
      <c r="T523" s="49"/>
      <c r="U523" s="49"/>
      <c r="V523" s="63"/>
      <c r="W523" s="50"/>
      <c r="X523" s="50"/>
      <c r="Y523" s="56"/>
      <c r="Z523" s="56"/>
      <c r="AA523" s="56"/>
      <c r="AB523" s="56"/>
      <c r="AC523" s="56"/>
      <c r="AD523" s="56"/>
    </row>
    <row x14ac:dyDescent="0.25" r="524" customHeight="1" ht="18.75">
      <c r="A524" s="63"/>
      <c r="B524" s="63"/>
      <c r="C524" s="49" t="s">
        <v>16</v>
      </c>
      <c r="D524" s="49" t="s">
        <v>116</v>
      </c>
      <c r="E524" s="49" t="s">
        <v>117</v>
      </c>
      <c r="F524" s="49" t="s">
        <v>324</v>
      </c>
      <c r="G524" s="64">
        <v>10000000</v>
      </c>
      <c r="H524" s="64"/>
      <c r="I524" s="64"/>
      <c r="J524" s="65">
        <f>IF(G524&gt;0,_xludf.IFS(G524=10000000,800000,G524=20000000,1528000,G524=30000000,2028000,G524=60000000,4056000),"")</f>
      </c>
      <c r="K524" s="64"/>
      <c r="L524" s="66">
        <v>46197</v>
      </c>
      <c r="M524" s="67">
        <f>IF(L524&gt;0,EDATE(L524,-2),"")</f>
        <v>25569.375</v>
      </c>
      <c r="N524" s="49" t="s">
        <v>217</v>
      </c>
      <c r="O524" s="49" t="s">
        <v>325</v>
      </c>
      <c r="P524" s="68">
        <f>IF(F524&gt;0,F524,"")</f>
      </c>
      <c r="Q524" s="69" t="s">
        <v>326</v>
      </c>
      <c r="R524" s="69">
        <v>22648295</v>
      </c>
      <c r="S524" s="67">
        <f>IF(ISNUMBER(M524), EDATE(M524,36)-1, "")</f>
        <v>25569.375</v>
      </c>
      <c r="T524" s="49"/>
      <c r="U524" s="49"/>
      <c r="V524" s="63"/>
      <c r="W524" s="50"/>
      <c r="X524" s="50"/>
      <c r="Y524" s="56"/>
      <c r="Z524" s="56"/>
      <c r="AA524" s="56"/>
      <c r="AB524" s="56"/>
      <c r="AC524" s="56"/>
      <c r="AD524" s="56"/>
    </row>
    <row x14ac:dyDescent="0.25" r="525" customHeight="1" ht="18.75" hidden="1">
      <c r="A525" s="56"/>
      <c r="B525" s="56"/>
      <c r="C525" s="50" t="s">
        <v>1527</v>
      </c>
      <c r="D525" s="50"/>
      <c r="E525" s="50"/>
      <c r="F525" s="50" t="s">
        <v>97</v>
      </c>
      <c r="G525" s="55">
        <v>30000000</v>
      </c>
      <c r="H525" s="55"/>
      <c r="I525" s="55"/>
      <c r="J525" s="51">
        <v>1500000</v>
      </c>
      <c r="K525" s="51"/>
      <c r="L525" s="52">
        <v>45756</v>
      </c>
      <c r="M525" s="53">
        <v>45697</v>
      </c>
      <c r="N525" s="50" t="s">
        <v>239</v>
      </c>
      <c r="O525" s="50" t="s">
        <v>1840</v>
      </c>
      <c r="P525" s="50" t="s">
        <v>97</v>
      </c>
      <c r="Q525" s="55" t="s">
        <v>1841</v>
      </c>
      <c r="R525" s="55" t="s">
        <v>1842</v>
      </c>
      <c r="S525" s="53">
        <v>46791</v>
      </c>
      <c r="T525" s="50"/>
      <c r="U525" s="50"/>
      <c r="V525" s="56"/>
      <c r="W525" s="50"/>
      <c r="X525" s="50"/>
      <c r="Y525" s="56"/>
      <c r="Z525" s="56"/>
      <c r="AA525" s="56"/>
      <c r="AB525" s="56"/>
      <c r="AC525" s="56"/>
      <c r="AD525" s="56"/>
    </row>
    <row x14ac:dyDescent="0.25" r="526" customHeight="1" ht="18.75" hidden="1">
      <c r="A526" s="56"/>
      <c r="B526" s="56"/>
      <c r="C526" s="50" t="s">
        <v>16</v>
      </c>
      <c r="D526" s="50"/>
      <c r="E526" s="50"/>
      <c r="F526" s="50" t="s">
        <v>97</v>
      </c>
      <c r="G526" s="55">
        <v>10000000</v>
      </c>
      <c r="H526" s="55"/>
      <c r="I526" s="55"/>
      <c r="J526" s="51">
        <v>800000</v>
      </c>
      <c r="K526" s="51"/>
      <c r="L526" s="52">
        <v>46083</v>
      </c>
      <c r="M526" s="53">
        <v>46022</v>
      </c>
      <c r="N526" s="50" t="s">
        <v>205</v>
      </c>
      <c r="O526" s="50" t="s">
        <v>1843</v>
      </c>
      <c r="P526" s="50" t="s">
        <v>97</v>
      </c>
      <c r="Q526" s="55" t="s">
        <v>1841</v>
      </c>
      <c r="R526" s="55" t="s">
        <v>1842</v>
      </c>
      <c r="S526" s="53">
        <v>47127</v>
      </c>
      <c r="T526" s="50"/>
      <c r="U526" s="50"/>
      <c r="V526" s="56"/>
      <c r="W526" s="50"/>
      <c r="X526" s="50"/>
      <c r="Y526" s="56"/>
      <c r="Z526" s="56"/>
      <c r="AA526" s="56"/>
      <c r="AB526" s="56"/>
      <c r="AC526" s="56"/>
      <c r="AD526" s="56"/>
    </row>
    <row x14ac:dyDescent="0.25" r="527" customHeight="1" ht="18.75">
      <c r="A527" s="56"/>
      <c r="B527" s="56"/>
      <c r="C527" s="50" t="s">
        <v>16</v>
      </c>
      <c r="D527" s="50"/>
      <c r="E527" s="50"/>
      <c r="F527" s="50" t="s">
        <v>23</v>
      </c>
      <c r="G527" s="55">
        <v>10000000</v>
      </c>
      <c r="H527" s="55"/>
      <c r="I527" s="55"/>
      <c r="J527" s="51">
        <v>1200000</v>
      </c>
      <c r="K527" s="51"/>
      <c r="L527" s="52">
        <v>46197</v>
      </c>
      <c r="M527" s="53">
        <v>46136</v>
      </c>
      <c r="N527" s="50" t="s">
        <v>212</v>
      </c>
      <c r="O527" s="50" t="s">
        <v>439</v>
      </c>
      <c r="P527" s="50" t="s">
        <v>23</v>
      </c>
      <c r="Q527" s="55" t="s">
        <v>440</v>
      </c>
      <c r="R527" s="55" t="s">
        <v>441</v>
      </c>
      <c r="S527" s="53">
        <v>47231</v>
      </c>
      <c r="T527" s="50" t="s">
        <v>442</v>
      </c>
      <c r="U527" s="50" t="s">
        <v>166</v>
      </c>
      <c r="V527" s="56"/>
      <c r="W527" s="50"/>
      <c r="X527" s="50"/>
      <c r="Y527" s="56"/>
      <c r="Z527" s="56"/>
      <c r="AA527" s="56"/>
      <c r="AB527" s="56"/>
      <c r="AC527" s="56"/>
      <c r="AD527" s="56"/>
    </row>
    <row x14ac:dyDescent="0.25" r="528" customHeight="1" ht="18.75">
      <c r="A528" s="56"/>
      <c r="B528" s="56"/>
      <c r="C528" s="50" t="s">
        <v>16</v>
      </c>
      <c r="D528" s="50"/>
      <c r="E528" s="50"/>
      <c r="F528" s="50" t="s">
        <v>651</v>
      </c>
      <c r="G528" s="55">
        <v>10000000</v>
      </c>
      <c r="H528" s="55"/>
      <c r="I528" s="55"/>
      <c r="J528" s="51">
        <v>500000</v>
      </c>
      <c r="K528" s="51"/>
      <c r="L528" s="52">
        <v>46197</v>
      </c>
      <c r="M528" s="53">
        <v>46136</v>
      </c>
      <c r="N528" s="50"/>
      <c r="O528" s="50" t="s">
        <v>3306</v>
      </c>
      <c r="P528" s="50" t="s">
        <v>651</v>
      </c>
      <c r="Q528" s="55" t="s">
        <v>653</v>
      </c>
      <c r="R528" s="55" t="s">
        <v>654</v>
      </c>
      <c r="S528" s="53">
        <v>47231</v>
      </c>
      <c r="T528" s="50" t="s">
        <v>655</v>
      </c>
      <c r="U528" s="50" t="s">
        <v>166</v>
      </c>
      <c r="V528" s="48" t="s">
        <v>656</v>
      </c>
      <c r="W528" s="50"/>
      <c r="X528" s="50"/>
      <c r="Y528" s="56"/>
      <c r="Z528" s="56"/>
      <c r="AA528" s="56"/>
      <c r="AB528" s="56"/>
      <c r="AC528" s="56"/>
      <c r="AD528" s="56"/>
    </row>
    <row x14ac:dyDescent="0.25" r="529" customHeight="1" ht="18.75" hidden="1">
      <c r="A529" s="71"/>
      <c r="B529" s="71"/>
      <c r="C529" s="72" t="s">
        <v>16</v>
      </c>
      <c r="D529" s="72"/>
      <c r="E529" s="72"/>
      <c r="F529" s="72" t="s">
        <v>1854</v>
      </c>
      <c r="G529" s="55">
        <v>10000000</v>
      </c>
      <c r="H529" s="55"/>
      <c r="I529" s="55"/>
      <c r="J529" s="51">
        <v>800000</v>
      </c>
      <c r="K529" s="51"/>
      <c r="L529" s="75">
        <v>46166</v>
      </c>
      <c r="M529" s="76">
        <v>46105</v>
      </c>
      <c r="N529" s="72" t="s">
        <v>205</v>
      </c>
      <c r="O529" s="72" t="s">
        <v>711</v>
      </c>
      <c r="P529" s="72" t="s">
        <v>1854</v>
      </c>
      <c r="Q529" s="73" t="s">
        <v>1855</v>
      </c>
      <c r="R529" s="73" t="s">
        <v>3307</v>
      </c>
      <c r="S529" s="76">
        <v>47200</v>
      </c>
      <c r="T529" s="72"/>
      <c r="U529" s="72"/>
      <c r="V529" s="71" t="s">
        <v>1856</v>
      </c>
      <c r="W529" s="50"/>
      <c r="X529" s="50"/>
      <c r="Y529" s="56"/>
      <c r="Z529" s="56"/>
      <c r="AA529" s="56"/>
      <c r="AB529" s="56"/>
      <c r="AC529" s="56"/>
      <c r="AD529" s="56"/>
    </row>
    <row x14ac:dyDescent="0.25" r="530" customHeight="1" ht="18.75" hidden="1">
      <c r="A530" s="48" t="s">
        <v>275</v>
      </c>
      <c r="B530" s="48"/>
      <c r="C530" s="49" t="s">
        <v>16</v>
      </c>
      <c r="D530" s="50"/>
      <c r="E530" s="50"/>
      <c r="F530" s="50" t="s">
        <v>1854</v>
      </c>
      <c r="G530" s="51">
        <v>10000000</v>
      </c>
      <c r="H530" s="51"/>
      <c r="I530" s="51"/>
      <c r="J530" s="87">
        <f>IF(G530&gt;0,_xludf.IFS(G530=10000000,800000,G530=20000000,1528000,G530=30000000,2028000,G530=60000000,4056000),"")</f>
      </c>
      <c r="K530" s="51"/>
      <c r="L530" s="52">
        <v>46166</v>
      </c>
      <c r="M530" s="53">
        <f>IF(L530&gt;0,EDATE(L530,-2),"")</f>
        <v>25569.375</v>
      </c>
      <c r="N530" s="50" t="s">
        <v>205</v>
      </c>
      <c r="O530" s="50" t="s">
        <v>711</v>
      </c>
      <c r="P530" s="50" t="s">
        <v>2156</v>
      </c>
      <c r="Q530" s="55" t="s">
        <v>1855</v>
      </c>
      <c r="R530" s="55">
        <v>47290322</v>
      </c>
      <c r="S530" s="53">
        <f>IF(ISNUMBER(M530), EDATE(M530,36)-1, "")</f>
        <v>25569.375</v>
      </c>
      <c r="T530" s="50"/>
      <c r="U530" s="50"/>
      <c r="V530" s="48" t="s">
        <v>715</v>
      </c>
      <c r="W530" s="50"/>
      <c r="X530" s="50"/>
      <c r="Y530" s="56"/>
      <c r="Z530" s="56"/>
      <c r="AA530" s="56"/>
      <c r="AB530" s="56"/>
      <c r="AC530" s="56"/>
      <c r="AD530" s="56"/>
    </row>
    <row x14ac:dyDescent="0.25" r="531" customHeight="1" ht="18.75" hidden="1">
      <c r="A531" s="56"/>
      <c r="B531" s="56"/>
      <c r="C531" s="50" t="s">
        <v>16</v>
      </c>
      <c r="D531" s="50" t="s">
        <v>48</v>
      </c>
      <c r="E531" s="50"/>
      <c r="F531" s="50" t="s">
        <v>1857</v>
      </c>
      <c r="G531" s="55">
        <v>10000000</v>
      </c>
      <c r="H531" s="55"/>
      <c r="I531" s="55"/>
      <c r="J531" s="51">
        <v>800000</v>
      </c>
      <c r="K531" s="51"/>
      <c r="L531" s="52">
        <v>46159</v>
      </c>
      <c r="M531" s="53">
        <v>46098</v>
      </c>
      <c r="N531" s="50" t="s">
        <v>239</v>
      </c>
      <c r="O531" s="50" t="s">
        <v>855</v>
      </c>
      <c r="P531" s="50" t="s">
        <v>1857</v>
      </c>
      <c r="Q531" s="55" t="s">
        <v>1858</v>
      </c>
      <c r="R531" s="55" t="s">
        <v>1859</v>
      </c>
      <c r="S531" s="53">
        <v>47194</v>
      </c>
      <c r="T531" s="50" t="s">
        <v>1860</v>
      </c>
      <c r="U531" s="50"/>
      <c r="V531" s="56"/>
      <c r="W531" s="50"/>
      <c r="X531" s="50"/>
      <c r="Y531" s="56"/>
      <c r="Z531" s="56"/>
      <c r="AA531" s="56"/>
      <c r="AB531" s="56"/>
      <c r="AC531" s="56"/>
      <c r="AD531" s="56"/>
    </row>
    <row x14ac:dyDescent="0.25" r="532" customHeight="1" ht="18.75" hidden="1">
      <c r="A532" s="56"/>
      <c r="B532" s="56"/>
      <c r="C532" s="50" t="s">
        <v>16</v>
      </c>
      <c r="D532" s="50"/>
      <c r="E532" s="50"/>
      <c r="F532" s="50" t="s">
        <v>1861</v>
      </c>
      <c r="G532" s="55">
        <v>10000000</v>
      </c>
      <c r="H532" s="55"/>
      <c r="I532" s="55"/>
      <c r="J532" s="51">
        <v>800000</v>
      </c>
      <c r="K532" s="51"/>
      <c r="L532" s="52">
        <v>46160</v>
      </c>
      <c r="M532" s="53">
        <v>46099</v>
      </c>
      <c r="N532" s="50" t="s">
        <v>168</v>
      </c>
      <c r="O532" s="50" t="s">
        <v>1862</v>
      </c>
      <c r="P532" s="50" t="s">
        <v>1861</v>
      </c>
      <c r="Q532" s="55" t="s">
        <v>1863</v>
      </c>
      <c r="R532" s="55" t="s">
        <v>1864</v>
      </c>
      <c r="S532" s="53">
        <v>47194</v>
      </c>
      <c r="T532" s="50"/>
      <c r="U532" s="50" t="s">
        <v>166</v>
      </c>
      <c r="V532" s="56"/>
      <c r="W532" s="50"/>
      <c r="X532" s="50"/>
      <c r="Y532" s="56"/>
      <c r="Z532" s="56"/>
      <c r="AA532" s="56"/>
      <c r="AB532" s="56"/>
      <c r="AC532" s="56"/>
      <c r="AD532" s="56"/>
    </row>
    <row x14ac:dyDescent="0.25" r="533" customHeight="1" ht="18.75" hidden="1">
      <c r="A533" s="63" t="s">
        <v>63</v>
      </c>
      <c r="B533" s="63"/>
      <c r="C533" s="49" t="s">
        <v>16</v>
      </c>
      <c r="D533" s="49"/>
      <c r="E533" s="49" t="s">
        <v>203</v>
      </c>
      <c r="F533" s="49" t="s">
        <v>1861</v>
      </c>
      <c r="G533" s="64">
        <v>20000000</v>
      </c>
      <c r="H533" s="64"/>
      <c r="I533" s="64"/>
      <c r="J533" s="65">
        <f>IF(G533&gt;0,_xludf.IFS(G533=10000000,800000,G533=20000000,1528000,G533=30000000,2028000,G533=60000000,4056000),"")</f>
      </c>
      <c r="K533" s="64"/>
      <c r="L533" s="66">
        <v>46193</v>
      </c>
      <c r="M533" s="67">
        <v>46099</v>
      </c>
      <c r="N533" s="49" t="s">
        <v>168</v>
      </c>
      <c r="O533" s="49" t="s">
        <v>1862</v>
      </c>
      <c r="P533" s="68">
        <f>IF(F533&gt;0,F533,"")</f>
      </c>
      <c r="Q533" s="69" t="s">
        <v>1863</v>
      </c>
      <c r="R533" s="69">
        <v>38842974</v>
      </c>
      <c r="S533" s="67">
        <f>IF(ISNUMBER(M533), EDATE(M533,36)-1, "")</f>
        <v>25569.375</v>
      </c>
      <c r="T533" s="49"/>
      <c r="U533" s="49"/>
      <c r="V533" s="63" t="s">
        <v>3308</v>
      </c>
      <c r="W533" s="50"/>
      <c r="X533" s="50"/>
      <c r="Y533" s="56"/>
      <c r="Z533" s="56"/>
      <c r="AA533" s="56"/>
      <c r="AB533" s="56"/>
      <c r="AC533" s="56"/>
      <c r="AD533" s="56"/>
    </row>
    <row x14ac:dyDescent="0.25" r="534" customHeight="1" ht="18.75">
      <c r="A534" s="63"/>
      <c r="B534" s="63"/>
      <c r="C534" s="49" t="s">
        <v>16</v>
      </c>
      <c r="D534" s="49"/>
      <c r="E534" s="49"/>
      <c r="F534" s="49" t="s">
        <v>651</v>
      </c>
      <c r="G534" s="64">
        <v>10000000</v>
      </c>
      <c r="H534" s="64"/>
      <c r="I534" s="64"/>
      <c r="J534" s="64">
        <v>500000</v>
      </c>
      <c r="K534" s="64"/>
      <c r="L534" s="66">
        <v>46197</v>
      </c>
      <c r="M534" s="67">
        <f>IF(L534&gt;0,EDATE(L534,-2),"")</f>
        <v>25569.375</v>
      </c>
      <c r="N534" s="49" t="s">
        <v>168</v>
      </c>
      <c r="O534" s="49" t="s">
        <v>3309</v>
      </c>
      <c r="P534" s="68">
        <f>IF(F534&gt;0,F534,"")</f>
      </c>
      <c r="Q534" s="69" t="s">
        <v>653</v>
      </c>
      <c r="R534" s="69">
        <v>90350752</v>
      </c>
      <c r="S534" s="67">
        <f>IF(ISNUMBER(M534), EDATE(M534,36)-1, "")</f>
        <v>25569.375</v>
      </c>
      <c r="T534" s="49"/>
      <c r="U534" s="49"/>
      <c r="V534" s="63"/>
      <c r="W534" s="50"/>
      <c r="X534" s="50"/>
      <c r="Y534" s="56"/>
      <c r="Z534" s="56"/>
      <c r="AA534" s="56"/>
      <c r="AB534" s="56"/>
      <c r="AC534" s="56"/>
      <c r="AD534" s="56"/>
    </row>
    <row x14ac:dyDescent="0.25" r="535" customHeight="1" ht="18.75" hidden="1">
      <c r="A535" s="56"/>
      <c r="B535" s="56"/>
      <c r="C535" s="50" t="s">
        <v>16</v>
      </c>
      <c r="D535" s="50"/>
      <c r="E535" s="50"/>
      <c r="F535" s="50" t="s">
        <v>1870</v>
      </c>
      <c r="G535" s="55">
        <v>10000000</v>
      </c>
      <c r="H535" s="55"/>
      <c r="I535" s="55"/>
      <c r="J535" s="51">
        <v>800000</v>
      </c>
      <c r="K535" s="51"/>
      <c r="L535" s="52">
        <v>46041</v>
      </c>
      <c r="M535" s="53">
        <v>45980</v>
      </c>
      <c r="N535" s="50" t="s">
        <v>155</v>
      </c>
      <c r="O535" s="50" t="s">
        <v>1871</v>
      </c>
      <c r="P535" s="50" t="s">
        <v>1870</v>
      </c>
      <c r="Q535" s="55" t="s">
        <v>1872</v>
      </c>
      <c r="R535" s="55" t="s">
        <v>1873</v>
      </c>
      <c r="S535" s="53">
        <v>47075</v>
      </c>
      <c r="T535" s="50"/>
      <c r="U535" s="50"/>
      <c r="V535" s="56"/>
      <c r="W535" s="50"/>
      <c r="X535" s="50"/>
      <c r="Y535" s="56"/>
      <c r="Z535" s="56"/>
      <c r="AA535" s="56"/>
      <c r="AB535" s="56"/>
      <c r="AC535" s="56"/>
      <c r="AD535" s="56"/>
    </row>
    <row x14ac:dyDescent="0.25" r="536" customHeight="1" ht="18.75" hidden="1">
      <c r="A536" s="56"/>
      <c r="B536" s="56"/>
      <c r="C536" s="50" t="s">
        <v>13</v>
      </c>
      <c r="D536" s="50"/>
      <c r="E536" s="50"/>
      <c r="F536" s="50" t="s">
        <v>1874</v>
      </c>
      <c r="G536" s="55">
        <v>30000000</v>
      </c>
      <c r="H536" s="55"/>
      <c r="I536" s="55"/>
      <c r="J536" s="51">
        <v>2400000</v>
      </c>
      <c r="K536" s="51"/>
      <c r="L536" s="52">
        <v>45794</v>
      </c>
      <c r="M536" s="53">
        <v>45731</v>
      </c>
      <c r="N536" s="50" t="s">
        <v>155</v>
      </c>
      <c r="O536" s="50" t="s">
        <v>1875</v>
      </c>
      <c r="P536" s="50" t="s">
        <v>1874</v>
      </c>
      <c r="Q536" s="55" t="s">
        <v>1876</v>
      </c>
      <c r="R536" s="55" t="s">
        <v>1877</v>
      </c>
      <c r="S536" s="53">
        <v>46826</v>
      </c>
      <c r="T536" s="50"/>
      <c r="U536" s="50"/>
      <c r="V536" s="56"/>
      <c r="W536" s="50"/>
      <c r="X536" s="50"/>
      <c r="Y536" s="56"/>
      <c r="Z536" s="56"/>
      <c r="AA536" s="56"/>
      <c r="AB536" s="56"/>
      <c r="AC536" s="56"/>
      <c r="AD536" s="56"/>
    </row>
    <row x14ac:dyDescent="0.25" r="537" customHeight="1" ht="18.75" hidden="1">
      <c r="A537" s="56"/>
      <c r="B537" s="56"/>
      <c r="C537" s="50" t="s">
        <v>1878</v>
      </c>
      <c r="D537" s="50"/>
      <c r="E537" s="50"/>
      <c r="F537" s="50" t="s">
        <v>1874</v>
      </c>
      <c r="G537" s="55">
        <v>30000000</v>
      </c>
      <c r="H537" s="55"/>
      <c r="I537" s="55"/>
      <c r="J537" s="51">
        <v>2400000</v>
      </c>
      <c r="K537" s="51"/>
      <c r="L537" s="52">
        <v>45845</v>
      </c>
      <c r="M537" s="53">
        <v>45784</v>
      </c>
      <c r="N537" s="50" t="s">
        <v>155</v>
      </c>
      <c r="O537" s="50" t="s">
        <v>1875</v>
      </c>
      <c r="P537" s="50" t="s">
        <v>1874</v>
      </c>
      <c r="Q537" s="55" t="s">
        <v>1876</v>
      </c>
      <c r="R537" s="55" t="s">
        <v>1877</v>
      </c>
      <c r="S537" s="53">
        <v>46879</v>
      </c>
      <c r="T537" s="50"/>
      <c r="U537" s="50"/>
      <c r="V537" s="56"/>
      <c r="W537" s="50"/>
      <c r="X537" s="50"/>
      <c r="Y537" s="56"/>
      <c r="Z537" s="56"/>
      <c r="AA537" s="56"/>
      <c r="AB537" s="56"/>
      <c r="AC537" s="56"/>
      <c r="AD537" s="56"/>
    </row>
    <row x14ac:dyDescent="0.25" r="538" customHeight="1" ht="18.75" hidden="1">
      <c r="A538" s="56"/>
      <c r="B538" s="56"/>
      <c r="C538" s="50" t="s">
        <v>16</v>
      </c>
      <c r="D538" s="50"/>
      <c r="E538" s="50"/>
      <c r="F538" s="50" t="s">
        <v>1874</v>
      </c>
      <c r="G538" s="55">
        <v>60000000</v>
      </c>
      <c r="H538" s="55"/>
      <c r="I538" s="55"/>
      <c r="J538" s="51">
        <v>4800000</v>
      </c>
      <c r="K538" s="51"/>
      <c r="L538" s="52">
        <v>45910</v>
      </c>
      <c r="M538" s="53">
        <v>45848</v>
      </c>
      <c r="N538" s="50" t="s">
        <v>155</v>
      </c>
      <c r="O538" s="50" t="s">
        <v>1879</v>
      </c>
      <c r="P538" s="50" t="s">
        <v>1874</v>
      </c>
      <c r="Q538" s="55" t="s">
        <v>1876</v>
      </c>
      <c r="R538" s="55" t="s">
        <v>1877</v>
      </c>
      <c r="S538" s="53">
        <v>46943</v>
      </c>
      <c r="T538" s="50"/>
      <c r="U538" s="50"/>
      <c r="V538" s="56"/>
      <c r="W538" s="50"/>
      <c r="X538" s="50"/>
      <c r="Y538" s="56"/>
      <c r="Z538" s="56"/>
      <c r="AA538" s="56"/>
      <c r="AB538" s="56"/>
      <c r="AC538" s="56"/>
      <c r="AD538" s="56"/>
    </row>
    <row x14ac:dyDescent="0.25" r="539" customHeight="1" ht="18.75" hidden="1">
      <c r="A539" s="56"/>
      <c r="B539" s="56"/>
      <c r="C539" s="50" t="s">
        <v>972</v>
      </c>
      <c r="D539" s="50" t="s">
        <v>1880</v>
      </c>
      <c r="E539" s="50"/>
      <c r="F539" s="50" t="s">
        <v>1881</v>
      </c>
      <c r="G539" s="55">
        <v>60000000</v>
      </c>
      <c r="H539" s="55"/>
      <c r="I539" s="55"/>
      <c r="J539" s="51">
        <v>4800000</v>
      </c>
      <c r="K539" s="51"/>
      <c r="L539" s="52">
        <v>45802</v>
      </c>
      <c r="M539" s="53">
        <v>45741</v>
      </c>
      <c r="N539" s="50" t="s">
        <v>282</v>
      </c>
      <c r="O539" s="50" t="s">
        <v>1882</v>
      </c>
      <c r="P539" s="50" t="s">
        <v>1881</v>
      </c>
      <c r="Q539" s="55" t="s">
        <v>1883</v>
      </c>
      <c r="R539" s="55" t="s">
        <v>1884</v>
      </c>
      <c r="S539" s="53">
        <v>46836</v>
      </c>
      <c r="T539" s="50"/>
      <c r="U539" s="50"/>
      <c r="V539" s="56"/>
      <c r="W539" s="50"/>
      <c r="X539" s="50"/>
      <c r="Y539" s="56"/>
      <c r="Z539" s="56"/>
      <c r="AA539" s="56"/>
      <c r="AB539" s="56"/>
      <c r="AC539" s="56"/>
      <c r="AD539" s="56"/>
    </row>
    <row x14ac:dyDescent="0.25" r="540" customHeight="1" ht="18.75">
      <c r="A540" s="63"/>
      <c r="B540" s="63"/>
      <c r="C540" s="49" t="s">
        <v>16</v>
      </c>
      <c r="D540" s="49" t="s">
        <v>116</v>
      </c>
      <c r="E540" s="49" t="s">
        <v>117</v>
      </c>
      <c r="F540" s="49" t="s">
        <v>1011</v>
      </c>
      <c r="G540" s="64">
        <v>10000000</v>
      </c>
      <c r="H540" s="64"/>
      <c r="I540" s="64"/>
      <c r="J540" s="65">
        <f>IF(G540&gt;0,_xludf.IFS(G540=10000000,800000,G540=20000000,1528000,G540=30000000,2028000,G540=60000000,4056000),"")</f>
      </c>
      <c r="K540" s="64"/>
      <c r="L540" s="66">
        <v>46197</v>
      </c>
      <c r="M540" s="67">
        <f>IF(L540&gt;0,EDATE(L540,-2),"")</f>
        <v>25569.375</v>
      </c>
      <c r="N540" s="49" t="s">
        <v>239</v>
      </c>
      <c r="O540" s="49" t="s">
        <v>1016</v>
      </c>
      <c r="P540" s="68">
        <f>IF(F540&gt;0,F540,"")</f>
      </c>
      <c r="Q540" s="69" t="s">
        <v>1017</v>
      </c>
      <c r="R540" s="69">
        <v>37354203</v>
      </c>
      <c r="S540" s="67">
        <f>IF(ISNUMBER(M540), EDATE(M540,36)-1, "")</f>
        <v>25569.375</v>
      </c>
      <c r="T540" s="49"/>
      <c r="U540" s="49"/>
      <c r="V540" s="63"/>
      <c r="W540" s="50"/>
      <c r="X540" s="50"/>
      <c r="Y540" s="56"/>
      <c r="Z540" s="56"/>
      <c r="AA540" s="56"/>
      <c r="AB540" s="56"/>
      <c r="AC540" s="56"/>
      <c r="AD540" s="56"/>
    </row>
    <row x14ac:dyDescent="0.25" r="541" customHeight="1" ht="18.75">
      <c r="A541" s="56"/>
      <c r="B541" s="56"/>
      <c r="C541" s="50" t="s">
        <v>16</v>
      </c>
      <c r="D541" s="50" t="s">
        <v>816</v>
      </c>
      <c r="E541" s="50" t="s">
        <v>1160</v>
      </c>
      <c r="F541" s="50" t="s">
        <v>1161</v>
      </c>
      <c r="G541" s="55">
        <v>30000000</v>
      </c>
      <c r="H541" s="55"/>
      <c r="I541" s="55"/>
      <c r="J541" s="51">
        <v>2028000</v>
      </c>
      <c r="K541" s="51"/>
      <c r="L541" s="52">
        <v>46197</v>
      </c>
      <c r="M541" s="53">
        <v>46136</v>
      </c>
      <c r="N541" s="50" t="s">
        <v>168</v>
      </c>
      <c r="O541" s="50" t="s">
        <v>1162</v>
      </c>
      <c r="P541" s="50" t="s">
        <v>1161</v>
      </c>
      <c r="Q541" s="55" t="s">
        <v>1163</v>
      </c>
      <c r="R541" s="55" t="s">
        <v>1164</v>
      </c>
      <c r="S541" s="53">
        <v>47154</v>
      </c>
      <c r="T541" s="50" t="s">
        <v>1165</v>
      </c>
      <c r="U541" s="50" t="s">
        <v>166</v>
      </c>
      <c r="V541" s="56"/>
      <c r="W541" s="50"/>
      <c r="X541" s="50"/>
      <c r="Y541" s="56"/>
      <c r="Z541" s="56"/>
      <c r="AA541" s="56"/>
      <c r="AB541" s="56"/>
      <c r="AC541" s="56"/>
      <c r="AD541" s="56"/>
    </row>
    <row x14ac:dyDescent="0.25" r="542" customHeight="1" ht="18.75" hidden="1">
      <c r="A542" s="71" t="s">
        <v>252</v>
      </c>
      <c r="B542" s="71"/>
      <c r="C542" s="72" t="s">
        <v>16</v>
      </c>
      <c r="D542" s="72"/>
      <c r="E542" s="72"/>
      <c r="F542" s="72" t="s">
        <v>1892</v>
      </c>
      <c r="G542" s="73"/>
      <c r="H542" s="73"/>
      <c r="I542" s="73"/>
      <c r="J542" s="74"/>
      <c r="K542" s="74"/>
      <c r="L542" s="75" t="s">
        <v>449</v>
      </c>
      <c r="M542" s="76" t="s">
        <v>449</v>
      </c>
      <c r="N542" s="72"/>
      <c r="O542" s="72"/>
      <c r="P542" s="72" t="s">
        <v>1892</v>
      </c>
      <c r="Q542" s="73"/>
      <c r="R542" s="73" t="s">
        <v>1894</v>
      </c>
      <c r="S542" s="76" t="s">
        <v>449</v>
      </c>
      <c r="T542" s="72"/>
      <c r="U542" s="72"/>
      <c r="V542" s="71"/>
      <c r="W542" s="50"/>
      <c r="X542" s="50"/>
      <c r="Y542" s="56"/>
      <c r="Z542" s="56"/>
      <c r="AA542" s="56"/>
      <c r="AB542" s="56"/>
      <c r="AC542" s="56"/>
      <c r="AD542" s="56"/>
    </row>
    <row x14ac:dyDescent="0.25" r="543" customHeight="1" ht="18.75">
      <c r="A543" s="56"/>
      <c r="B543" s="56"/>
      <c r="C543" s="49" t="s">
        <v>16</v>
      </c>
      <c r="D543" s="50" t="s">
        <v>816</v>
      </c>
      <c r="E543" s="50" t="s">
        <v>114</v>
      </c>
      <c r="F543" s="50" t="s">
        <v>1531</v>
      </c>
      <c r="G543" s="51">
        <v>20000000</v>
      </c>
      <c r="H543" s="51"/>
      <c r="I543" s="51"/>
      <c r="J543" s="87">
        <f>IF(G543&gt;0,_xludf.IFS(G543=10000000,800000,G543=20000000,1528000,G543=30000000,2028000,G543=60000000,4056000),"")</f>
      </c>
      <c r="K543" s="51"/>
      <c r="L543" s="52">
        <v>46208</v>
      </c>
      <c r="M543" s="53">
        <v>46136</v>
      </c>
      <c r="N543" s="50" t="s">
        <v>168</v>
      </c>
      <c r="O543" s="50" t="s">
        <v>1532</v>
      </c>
      <c r="P543" s="54">
        <f>IF(F543&gt;0,F543,"")</f>
      </c>
      <c r="Q543" s="55" t="s">
        <v>1533</v>
      </c>
      <c r="R543" s="55">
        <v>75885488</v>
      </c>
      <c r="S543" s="53">
        <f>IF(ISNUMBER(M543), EDATE(M543,36)-1, "")</f>
        <v>25569.375</v>
      </c>
      <c r="T543" s="50"/>
      <c r="U543" s="50"/>
      <c r="V543" s="56"/>
      <c r="W543" s="50"/>
      <c r="X543" s="50"/>
      <c r="Y543" s="56"/>
      <c r="Z543" s="56"/>
      <c r="AA543" s="56"/>
      <c r="AB543" s="56"/>
      <c r="AC543" s="56"/>
      <c r="AD543" s="56"/>
    </row>
    <row x14ac:dyDescent="0.25" r="544" customHeight="1" ht="18.75">
      <c r="A544" s="56"/>
      <c r="B544" s="56"/>
      <c r="C544" s="50" t="s">
        <v>16</v>
      </c>
      <c r="D544" s="50"/>
      <c r="E544" s="50"/>
      <c r="F544" s="50" t="s">
        <v>1571</v>
      </c>
      <c r="G544" s="55">
        <v>10000000</v>
      </c>
      <c r="H544" s="55"/>
      <c r="I544" s="55"/>
      <c r="J544" s="51">
        <v>800000</v>
      </c>
      <c r="K544" s="51"/>
      <c r="L544" s="52">
        <v>46197</v>
      </c>
      <c r="M544" s="53">
        <v>46136</v>
      </c>
      <c r="N544" s="50" t="s">
        <v>161</v>
      </c>
      <c r="O544" s="50" t="s">
        <v>1572</v>
      </c>
      <c r="P544" s="50" t="s">
        <v>1571</v>
      </c>
      <c r="Q544" s="55" t="s">
        <v>1573</v>
      </c>
      <c r="R544" s="55" t="s">
        <v>1574</v>
      </c>
      <c r="S544" s="53">
        <v>47231</v>
      </c>
      <c r="T544" s="50"/>
      <c r="U544" s="50" t="s">
        <v>166</v>
      </c>
      <c r="V544" s="56"/>
      <c r="W544" s="50"/>
      <c r="X544" s="50"/>
      <c r="Y544" s="56"/>
      <c r="Z544" s="56"/>
      <c r="AA544" s="56"/>
      <c r="AB544" s="56"/>
      <c r="AC544" s="56"/>
      <c r="AD544" s="56"/>
    </row>
    <row x14ac:dyDescent="0.25" r="545" customHeight="1" ht="18.75" hidden="1">
      <c r="A545" s="56"/>
      <c r="B545" s="56"/>
      <c r="C545" s="50" t="s">
        <v>16</v>
      </c>
      <c r="D545" s="50" t="s">
        <v>55</v>
      </c>
      <c r="E545" s="50" t="s">
        <v>1425</v>
      </c>
      <c r="F545" s="50" t="s">
        <v>1897</v>
      </c>
      <c r="G545" s="55">
        <v>10000000</v>
      </c>
      <c r="H545" s="55"/>
      <c r="I545" s="55"/>
      <c r="J545" s="51">
        <v>800000</v>
      </c>
      <c r="K545" s="51"/>
      <c r="L545" s="52">
        <v>46148</v>
      </c>
      <c r="M545" s="53">
        <v>46087</v>
      </c>
      <c r="N545" s="50" t="s">
        <v>161</v>
      </c>
      <c r="O545" s="50" t="s">
        <v>1898</v>
      </c>
      <c r="P545" s="50" t="s">
        <v>1897</v>
      </c>
      <c r="Q545" s="55" t="s">
        <v>1899</v>
      </c>
      <c r="R545" s="55" t="s">
        <v>1428</v>
      </c>
      <c r="S545" s="53">
        <v>47182</v>
      </c>
      <c r="T545" s="50" t="s">
        <v>1900</v>
      </c>
      <c r="U545" s="50" t="s">
        <v>166</v>
      </c>
      <c r="V545" s="56"/>
      <c r="W545" s="50"/>
      <c r="X545" s="50"/>
      <c r="Y545" s="56"/>
      <c r="Z545" s="56"/>
      <c r="AA545" s="56"/>
      <c r="AB545" s="56"/>
      <c r="AC545" s="56"/>
      <c r="AD545" s="56"/>
    </row>
    <row x14ac:dyDescent="0.25" r="546" customHeight="1" ht="18.75">
      <c r="A546" s="48" t="s">
        <v>152</v>
      </c>
      <c r="B546" s="48"/>
      <c r="C546" s="50" t="s">
        <v>16</v>
      </c>
      <c r="D546" s="50" t="s">
        <v>48</v>
      </c>
      <c r="E546" s="50" t="s">
        <v>23</v>
      </c>
      <c r="F546" s="50" t="s">
        <v>1811</v>
      </c>
      <c r="G546" s="51">
        <v>10000000</v>
      </c>
      <c r="H546" s="51"/>
      <c r="I546" s="51"/>
      <c r="J546" s="87">
        <f>IF(G546&gt;0,_xludf.IFS(G546=10000000,1200000,G546=20000000,1800000,G546=30000000,2400000,G546=60000000,4000000),"")</f>
      </c>
      <c r="K546" s="51"/>
      <c r="L546" s="52">
        <v>46197</v>
      </c>
      <c r="M546" s="53">
        <f>IF(L546&gt;0,EDATE(L546,-2),"")</f>
        <v>25569.375</v>
      </c>
      <c r="N546" s="50" t="s">
        <v>168</v>
      </c>
      <c r="O546" s="50" t="s">
        <v>1812</v>
      </c>
      <c r="P546" s="54">
        <f>IF(F546&gt;0,F546,"")</f>
      </c>
      <c r="Q546" s="55">
        <v>9301142155117</v>
      </c>
      <c r="R546" s="55">
        <v>77425117</v>
      </c>
      <c r="S546" s="53">
        <f>IF(ISNUMBER(M546), EDATE(M546,36)-1, "")</f>
        <v>25569.375</v>
      </c>
      <c r="T546" s="50"/>
      <c r="U546" s="50"/>
      <c r="V546" s="48" t="s">
        <v>1813</v>
      </c>
      <c r="W546" s="50"/>
      <c r="X546" s="50"/>
      <c r="Y546" s="56"/>
      <c r="Z546" s="56"/>
      <c r="AA546" s="56"/>
      <c r="AB546" s="56"/>
      <c r="AC546" s="56"/>
      <c r="AD546" s="56"/>
    </row>
    <row x14ac:dyDescent="0.25" r="547" customHeight="1" ht="18.75">
      <c r="A547" s="56"/>
      <c r="B547" s="56"/>
      <c r="C547" s="50" t="s">
        <v>16</v>
      </c>
      <c r="D547" s="50"/>
      <c r="E547" s="50" t="s">
        <v>1044</v>
      </c>
      <c r="F547" s="50" t="s">
        <v>2372</v>
      </c>
      <c r="G547" s="55">
        <v>10000000</v>
      </c>
      <c r="H547" s="55"/>
      <c r="I547" s="55"/>
      <c r="J547" s="51">
        <v>800000</v>
      </c>
      <c r="K547" s="51"/>
      <c r="L547" s="52">
        <v>46197</v>
      </c>
      <c r="M547" s="53">
        <v>46136</v>
      </c>
      <c r="N547" s="50" t="s">
        <v>205</v>
      </c>
      <c r="O547" s="50" t="s">
        <v>2373</v>
      </c>
      <c r="P547" s="50" t="s">
        <v>2372</v>
      </c>
      <c r="Q547" s="55" t="s">
        <v>2374</v>
      </c>
      <c r="R547" s="55" t="s">
        <v>2375</v>
      </c>
      <c r="S547" s="53">
        <v>47231</v>
      </c>
      <c r="T547" s="50" t="s">
        <v>2376</v>
      </c>
      <c r="U547" s="50" t="s">
        <v>166</v>
      </c>
      <c r="V547" s="56"/>
      <c r="W547" s="50"/>
      <c r="X547" s="50"/>
      <c r="Y547" s="56"/>
      <c r="Z547" s="56"/>
      <c r="AA547" s="56"/>
      <c r="AB547" s="56"/>
      <c r="AC547" s="56"/>
      <c r="AD547" s="56"/>
    </row>
    <row x14ac:dyDescent="0.25" r="548" customHeight="1" ht="18.75" hidden="1">
      <c r="A548" s="71"/>
      <c r="B548" s="71"/>
      <c r="C548" s="72" t="s">
        <v>16</v>
      </c>
      <c r="D548" s="72" t="s">
        <v>410</v>
      </c>
      <c r="E548" s="72" t="s">
        <v>1075</v>
      </c>
      <c r="F548" s="72" t="s">
        <v>1905</v>
      </c>
      <c r="G548" s="74">
        <v>60000000</v>
      </c>
      <c r="H548" s="74"/>
      <c r="I548" s="74"/>
      <c r="J548" s="74">
        <v>4056000</v>
      </c>
      <c r="K548" s="74"/>
      <c r="L548" s="75">
        <v>46198</v>
      </c>
      <c r="M548" s="76">
        <v>46081</v>
      </c>
      <c r="N548" s="72" t="s">
        <v>217</v>
      </c>
      <c r="O548" s="72" t="s">
        <v>1906</v>
      </c>
      <c r="P548" s="96">
        <f>IF(F548&gt;0,F548,"")</f>
      </c>
      <c r="Q548" s="73">
        <v>7506081063710</v>
      </c>
      <c r="R548" s="73">
        <v>63180012</v>
      </c>
      <c r="S548" s="76">
        <f>IF(ISNUMBER(M548), EDATE(M548,36)-1, "")</f>
        <v>25569.375</v>
      </c>
      <c r="T548" s="72"/>
      <c r="U548" s="72"/>
      <c r="V548" s="71" t="s">
        <v>1907</v>
      </c>
      <c r="W548" s="50"/>
      <c r="X548" s="50"/>
      <c r="Y548" s="56"/>
      <c r="Z548" s="56"/>
      <c r="AA548" s="56"/>
      <c r="AB548" s="56"/>
      <c r="AC548" s="56"/>
      <c r="AD548" s="56"/>
    </row>
    <row x14ac:dyDescent="0.25" r="549" customHeight="1" ht="18.75" hidden="1">
      <c r="A549" s="56"/>
      <c r="B549" s="56"/>
      <c r="C549" s="50" t="s">
        <v>16</v>
      </c>
      <c r="D549" s="50"/>
      <c r="E549" s="50"/>
      <c r="F549" s="50" t="s">
        <v>1908</v>
      </c>
      <c r="G549" s="55">
        <v>20000000</v>
      </c>
      <c r="H549" s="55"/>
      <c r="I549" s="55"/>
      <c r="J549" s="51">
        <v>1528000</v>
      </c>
      <c r="K549" s="51"/>
      <c r="L549" s="52">
        <v>46070</v>
      </c>
      <c r="M549" s="53">
        <v>46008</v>
      </c>
      <c r="N549" s="50" t="s">
        <v>168</v>
      </c>
      <c r="O549" s="50" t="s">
        <v>1909</v>
      </c>
      <c r="P549" s="50" t="s">
        <v>1908</v>
      </c>
      <c r="Q549" s="55" t="s">
        <v>1910</v>
      </c>
      <c r="R549" s="55" t="s">
        <v>1911</v>
      </c>
      <c r="S549" s="53">
        <v>47103</v>
      </c>
      <c r="T549" s="50"/>
      <c r="U549" s="50"/>
      <c r="V549" s="56"/>
      <c r="W549" s="50"/>
      <c r="X549" s="50"/>
      <c r="Y549" s="56"/>
      <c r="Z549" s="56"/>
      <c r="AA549" s="56"/>
      <c r="AB549" s="56"/>
      <c r="AC549" s="56"/>
      <c r="AD549" s="56"/>
    </row>
    <row x14ac:dyDescent="0.25" r="550" customHeight="1" ht="18.75" hidden="1">
      <c r="A550" s="56"/>
      <c r="B550" s="56"/>
      <c r="C550" s="50" t="s">
        <v>16</v>
      </c>
      <c r="D550" s="50"/>
      <c r="E550" s="50" t="s">
        <v>636</v>
      </c>
      <c r="F550" s="50" t="s">
        <v>720</v>
      </c>
      <c r="G550" s="55">
        <v>10000000</v>
      </c>
      <c r="H550" s="55"/>
      <c r="I550" s="55"/>
      <c r="J550" s="51">
        <v>800000</v>
      </c>
      <c r="K550" s="51"/>
      <c r="L550" s="52">
        <v>46138</v>
      </c>
      <c r="M550" s="53">
        <v>46079</v>
      </c>
      <c r="N550" s="50" t="s">
        <v>940</v>
      </c>
      <c r="O550" s="50" t="s">
        <v>1912</v>
      </c>
      <c r="P550" s="50" t="s">
        <v>720</v>
      </c>
      <c r="Q550" s="55" t="s">
        <v>1913</v>
      </c>
      <c r="R550" s="55" t="s">
        <v>1914</v>
      </c>
      <c r="S550" s="53">
        <v>47174</v>
      </c>
      <c r="T550" s="50" t="s">
        <v>1915</v>
      </c>
      <c r="U550" s="50" t="s">
        <v>166</v>
      </c>
      <c r="V550" s="56"/>
      <c r="W550" s="50"/>
      <c r="X550" s="50"/>
      <c r="Y550" s="56"/>
      <c r="Z550" s="56"/>
      <c r="AA550" s="56"/>
      <c r="AB550" s="56"/>
      <c r="AC550" s="56"/>
      <c r="AD550" s="56"/>
    </row>
    <row x14ac:dyDescent="0.25" r="551" customHeight="1" ht="18.75" hidden="1">
      <c r="A551" s="56"/>
      <c r="B551" s="56"/>
      <c r="C551" s="50" t="s">
        <v>16</v>
      </c>
      <c r="D551" s="50"/>
      <c r="E551" s="50"/>
      <c r="F551" s="50" t="s">
        <v>1916</v>
      </c>
      <c r="G551" s="55">
        <v>30000000</v>
      </c>
      <c r="H551" s="55"/>
      <c r="I551" s="55"/>
      <c r="J551" s="51">
        <v>2400000</v>
      </c>
      <c r="K551" s="51"/>
      <c r="L551" s="52">
        <v>45904</v>
      </c>
      <c r="M551" s="53">
        <v>45842</v>
      </c>
      <c r="N551" s="50" t="s">
        <v>155</v>
      </c>
      <c r="O551" s="50" t="s">
        <v>1917</v>
      </c>
      <c r="P551" s="50" t="s">
        <v>1916</v>
      </c>
      <c r="Q551" s="55" t="s">
        <v>1918</v>
      </c>
      <c r="R551" s="55" t="s">
        <v>1919</v>
      </c>
      <c r="S551" s="53">
        <v>46937</v>
      </c>
      <c r="T551" s="50"/>
      <c r="U551" s="50"/>
      <c r="V551" s="56"/>
      <c r="W551" s="50"/>
      <c r="X551" s="50"/>
      <c r="Y551" s="56"/>
      <c r="Z551" s="56"/>
      <c r="AA551" s="56"/>
      <c r="AB551" s="56"/>
      <c r="AC551" s="56"/>
      <c r="AD551" s="56"/>
    </row>
    <row x14ac:dyDescent="0.25" r="552" customHeight="1" ht="18.75" hidden="1">
      <c r="A552" s="56"/>
      <c r="B552" s="56"/>
      <c r="C552" s="50" t="s">
        <v>16</v>
      </c>
      <c r="D552" s="50"/>
      <c r="E552" s="50"/>
      <c r="F552" s="50" t="s">
        <v>1916</v>
      </c>
      <c r="G552" s="55">
        <v>30000000</v>
      </c>
      <c r="H552" s="55"/>
      <c r="I552" s="55"/>
      <c r="J552" s="51">
        <v>2400000</v>
      </c>
      <c r="K552" s="51"/>
      <c r="L552" s="52">
        <v>45907</v>
      </c>
      <c r="M552" s="53">
        <v>45845</v>
      </c>
      <c r="N552" s="50" t="s">
        <v>155</v>
      </c>
      <c r="O552" s="50" t="s">
        <v>1917</v>
      </c>
      <c r="P552" s="50" t="s">
        <v>1916</v>
      </c>
      <c r="Q552" s="55" t="s">
        <v>1918</v>
      </c>
      <c r="R552" s="55" t="s">
        <v>1919</v>
      </c>
      <c r="S552" s="53">
        <v>46940</v>
      </c>
      <c r="T552" s="50"/>
      <c r="U552" s="50"/>
      <c r="V552" s="56"/>
      <c r="W552" s="50"/>
      <c r="X552" s="50"/>
      <c r="Y552" s="56"/>
      <c r="Z552" s="56"/>
      <c r="AA552" s="56"/>
      <c r="AB552" s="56"/>
      <c r="AC552" s="56"/>
      <c r="AD552" s="56"/>
    </row>
    <row x14ac:dyDescent="0.25" r="553" customHeight="1" ht="18.75" hidden="1">
      <c r="A553" s="56"/>
      <c r="B553" s="56"/>
      <c r="C553" s="50" t="s">
        <v>16</v>
      </c>
      <c r="D553" s="50"/>
      <c r="E553" s="50"/>
      <c r="F553" s="50" t="s">
        <v>1916</v>
      </c>
      <c r="G553" s="55">
        <v>30000000</v>
      </c>
      <c r="H553" s="55"/>
      <c r="I553" s="55"/>
      <c r="J553" s="51">
        <v>2400000</v>
      </c>
      <c r="K553" s="51"/>
      <c r="L553" s="52">
        <v>45910</v>
      </c>
      <c r="M553" s="53">
        <v>45848</v>
      </c>
      <c r="N553" s="50" t="s">
        <v>168</v>
      </c>
      <c r="O553" s="50" t="s">
        <v>1920</v>
      </c>
      <c r="P553" s="50" t="s">
        <v>1916</v>
      </c>
      <c r="Q553" s="55" t="s">
        <v>1918</v>
      </c>
      <c r="R553" s="55" t="s">
        <v>1919</v>
      </c>
      <c r="S553" s="53">
        <v>46943</v>
      </c>
      <c r="T553" s="50"/>
      <c r="U553" s="50"/>
      <c r="V553" s="56"/>
      <c r="W553" s="50"/>
      <c r="X553" s="50"/>
      <c r="Y553" s="56"/>
      <c r="Z553" s="56"/>
      <c r="AA553" s="56"/>
      <c r="AB553" s="56"/>
      <c r="AC553" s="56"/>
      <c r="AD553" s="56"/>
    </row>
    <row x14ac:dyDescent="0.25" r="554" customHeight="1" ht="18.75" hidden="1">
      <c r="A554" s="56"/>
      <c r="B554" s="56"/>
      <c r="C554" s="50" t="s">
        <v>16</v>
      </c>
      <c r="D554" s="50"/>
      <c r="E554" s="50"/>
      <c r="F554" s="50" t="s">
        <v>203</v>
      </c>
      <c r="G554" s="55">
        <v>10000000</v>
      </c>
      <c r="H554" s="55"/>
      <c r="I554" s="55"/>
      <c r="J554" s="51">
        <v>800000</v>
      </c>
      <c r="K554" s="51"/>
      <c r="L554" s="52">
        <v>46033</v>
      </c>
      <c r="M554" s="53">
        <v>45972</v>
      </c>
      <c r="N554" s="50" t="s">
        <v>212</v>
      </c>
      <c r="O554" s="50" t="s">
        <v>1921</v>
      </c>
      <c r="P554" s="50" t="s">
        <v>203</v>
      </c>
      <c r="Q554" s="55" t="s">
        <v>1922</v>
      </c>
      <c r="R554" s="55" t="s">
        <v>1923</v>
      </c>
      <c r="S554" s="53">
        <v>47067</v>
      </c>
      <c r="T554" s="50"/>
      <c r="U554" s="50"/>
      <c r="V554" s="56"/>
      <c r="W554" s="50"/>
      <c r="X554" s="50"/>
      <c r="Y554" s="56"/>
      <c r="Z554" s="56"/>
      <c r="AA554" s="56"/>
      <c r="AB554" s="56"/>
      <c r="AC554" s="56"/>
      <c r="AD554" s="56"/>
    </row>
    <row x14ac:dyDescent="0.25" r="555" customHeight="1" ht="18.75" hidden="1">
      <c r="A555" s="56"/>
      <c r="B555" s="56"/>
      <c r="C555" s="50" t="s">
        <v>16</v>
      </c>
      <c r="D555" s="50"/>
      <c r="E555" s="50"/>
      <c r="F555" s="50" t="s">
        <v>1924</v>
      </c>
      <c r="G555" s="55">
        <v>30000000</v>
      </c>
      <c r="H555" s="55"/>
      <c r="I555" s="55"/>
      <c r="J555" s="51">
        <v>2028000</v>
      </c>
      <c r="K555" s="51"/>
      <c r="L555" s="52">
        <v>46167</v>
      </c>
      <c r="M555" s="53">
        <v>46106</v>
      </c>
      <c r="N555" s="50" t="s">
        <v>212</v>
      </c>
      <c r="O555" s="50" t="s">
        <v>1925</v>
      </c>
      <c r="P555" s="50" t="s">
        <v>1924</v>
      </c>
      <c r="Q555" s="55" t="s">
        <v>1926</v>
      </c>
      <c r="R555" s="55" t="s">
        <v>1927</v>
      </c>
      <c r="S555" s="53">
        <v>47201</v>
      </c>
      <c r="T555" s="50" t="s">
        <v>1928</v>
      </c>
      <c r="U555" s="50" t="s">
        <v>166</v>
      </c>
      <c r="V555" s="56"/>
      <c r="W555" s="50"/>
      <c r="X555" s="50"/>
      <c r="Y555" s="56"/>
      <c r="Z555" s="56"/>
      <c r="AA555" s="56"/>
      <c r="AB555" s="56"/>
      <c r="AC555" s="56"/>
      <c r="AD555" s="56"/>
    </row>
    <row x14ac:dyDescent="0.25" r="556" customHeight="1" ht="18.75" hidden="1">
      <c r="A556" s="56"/>
      <c r="B556" s="56"/>
      <c r="C556" s="50" t="s">
        <v>16</v>
      </c>
      <c r="D556" s="50"/>
      <c r="E556" s="50"/>
      <c r="F556" s="50" t="s">
        <v>91</v>
      </c>
      <c r="G556" s="55">
        <v>30000000</v>
      </c>
      <c r="H556" s="55"/>
      <c r="I556" s="55"/>
      <c r="J556" s="51">
        <v>2400000</v>
      </c>
      <c r="K556" s="51"/>
      <c r="L556" s="52">
        <v>45929</v>
      </c>
      <c r="M556" s="53">
        <v>45848</v>
      </c>
      <c r="N556" s="50" t="s">
        <v>168</v>
      </c>
      <c r="O556" s="50" t="s">
        <v>1929</v>
      </c>
      <c r="P556" s="50" t="s">
        <v>91</v>
      </c>
      <c r="Q556" s="55" t="s">
        <v>1930</v>
      </c>
      <c r="R556" s="55" t="s">
        <v>1931</v>
      </c>
      <c r="S556" s="53">
        <v>46943</v>
      </c>
      <c r="T556" s="50"/>
      <c r="U556" s="50"/>
      <c r="V556" s="56"/>
      <c r="W556" s="50"/>
      <c r="X556" s="50"/>
      <c r="Y556" s="56"/>
      <c r="Z556" s="56"/>
      <c r="AA556" s="56"/>
      <c r="AB556" s="56"/>
      <c r="AC556" s="56"/>
      <c r="AD556" s="56"/>
    </row>
    <row x14ac:dyDescent="0.25" r="557" customHeight="1" ht="18.75" hidden="1">
      <c r="A557" s="56"/>
      <c r="B557" s="56"/>
      <c r="C557" s="50" t="s">
        <v>16</v>
      </c>
      <c r="D557" s="50"/>
      <c r="E557" s="50"/>
      <c r="F557" s="50" t="s">
        <v>91</v>
      </c>
      <c r="G557" s="55">
        <v>30000000</v>
      </c>
      <c r="H557" s="55"/>
      <c r="I557" s="55"/>
      <c r="J557" s="51">
        <v>2400000</v>
      </c>
      <c r="K557" s="51"/>
      <c r="L557" s="52">
        <v>45917</v>
      </c>
      <c r="M557" s="53">
        <v>45850</v>
      </c>
      <c r="N557" s="50" t="s">
        <v>168</v>
      </c>
      <c r="O557" s="50" t="s">
        <v>1929</v>
      </c>
      <c r="P557" s="50" t="s">
        <v>91</v>
      </c>
      <c r="Q557" s="55" t="s">
        <v>1930</v>
      </c>
      <c r="R557" s="55" t="s">
        <v>1931</v>
      </c>
      <c r="S557" s="53">
        <v>46945</v>
      </c>
      <c r="T557" s="50"/>
      <c r="U557" s="50"/>
      <c r="V557" s="56"/>
      <c r="W557" s="50"/>
      <c r="X557" s="50"/>
      <c r="Y557" s="56"/>
      <c r="Z557" s="56"/>
      <c r="AA557" s="56"/>
      <c r="AB557" s="56"/>
      <c r="AC557" s="56"/>
      <c r="AD557" s="56"/>
    </row>
    <row x14ac:dyDescent="0.25" r="558" customHeight="1" ht="18.75">
      <c r="A558" s="56"/>
      <c r="B558" s="56"/>
      <c r="C558" s="50" t="s">
        <v>16</v>
      </c>
      <c r="D558" s="50"/>
      <c r="E558" s="50"/>
      <c r="F558" s="50" t="s">
        <v>2461</v>
      </c>
      <c r="G558" s="55">
        <v>20000000</v>
      </c>
      <c r="H558" s="55"/>
      <c r="I558" s="55"/>
      <c r="J558" s="51">
        <v>1000000</v>
      </c>
      <c r="K558" s="51"/>
      <c r="L558" s="52">
        <v>46197</v>
      </c>
      <c r="M558" s="53">
        <v>46136</v>
      </c>
      <c r="N558" s="50" t="s">
        <v>302</v>
      </c>
      <c r="O558" s="50" t="s">
        <v>2462</v>
      </c>
      <c r="P558" s="50" t="s">
        <v>2461</v>
      </c>
      <c r="Q558" s="55" t="s">
        <v>2463</v>
      </c>
      <c r="R558" s="55" t="s">
        <v>2464</v>
      </c>
      <c r="S558" s="53">
        <v>47231</v>
      </c>
      <c r="T558" s="50"/>
      <c r="U558" s="50" t="s">
        <v>166</v>
      </c>
      <c r="V558" s="56"/>
      <c r="W558" s="50"/>
      <c r="X558" s="50"/>
      <c r="Y558" s="56"/>
      <c r="Z558" s="56"/>
      <c r="AA558" s="56"/>
      <c r="AB558" s="56"/>
      <c r="AC558" s="56"/>
      <c r="AD558" s="56"/>
    </row>
    <row x14ac:dyDescent="0.25" r="559" customHeight="1" ht="18.75">
      <c r="A559" s="63" t="s">
        <v>1239</v>
      </c>
      <c r="B559" s="63"/>
      <c r="C559" s="49" t="s">
        <v>16</v>
      </c>
      <c r="D559" s="49" t="s">
        <v>627</v>
      </c>
      <c r="E559" s="49" t="s">
        <v>1978</v>
      </c>
      <c r="F559" s="49" t="s">
        <v>2461</v>
      </c>
      <c r="G559" s="64">
        <v>20000000</v>
      </c>
      <c r="H559" s="64"/>
      <c r="I559" s="64"/>
      <c r="J559" s="64">
        <v>1000000</v>
      </c>
      <c r="K559" s="64"/>
      <c r="L559" s="66">
        <v>46197</v>
      </c>
      <c r="M559" s="67">
        <f>IF(L559&gt;0,EDATE(L559,-2),"")</f>
        <v>25569.375</v>
      </c>
      <c r="N559" s="49" t="s">
        <v>302</v>
      </c>
      <c r="O559" s="49" t="s">
        <v>2462</v>
      </c>
      <c r="P559" s="68">
        <f>IF(F559&gt;0,F559,"")</f>
      </c>
      <c r="Q559" s="69" t="s">
        <v>2466</v>
      </c>
      <c r="R559" s="69">
        <v>73135240</v>
      </c>
      <c r="S559" s="67">
        <f>IF(ISNUMBER(M559), EDATE(M559,36)-1, "")</f>
        <v>25569.375</v>
      </c>
      <c r="T559" s="49"/>
      <c r="U559" s="49"/>
      <c r="V559" s="63"/>
      <c r="W559" s="50"/>
      <c r="X559" s="50"/>
      <c r="Y559" s="56"/>
      <c r="Z559" s="56"/>
      <c r="AA559" s="56"/>
      <c r="AB559" s="56"/>
      <c r="AC559" s="56"/>
      <c r="AD559" s="56"/>
    </row>
    <row x14ac:dyDescent="0.25" r="560" customHeight="1" ht="18.75">
      <c r="A560" s="56"/>
      <c r="B560" s="56"/>
      <c r="C560" s="50" t="s">
        <v>16</v>
      </c>
      <c r="D560" s="50" t="s">
        <v>454</v>
      </c>
      <c r="E560" s="50" t="s">
        <v>585</v>
      </c>
      <c r="F560" s="50" t="s">
        <v>1744</v>
      </c>
      <c r="G560" s="51">
        <v>20000000</v>
      </c>
      <c r="H560" s="51"/>
      <c r="I560" s="51"/>
      <c r="J560" s="51">
        <v>1528000</v>
      </c>
      <c r="K560" s="51"/>
      <c r="L560" s="52">
        <v>46198</v>
      </c>
      <c r="M560" s="53">
        <f>IF(L560&gt;0,EDATE(L560,-2),"")</f>
        <v>25569.375</v>
      </c>
      <c r="N560" s="50" t="s">
        <v>155</v>
      </c>
      <c r="O560" s="50" t="s">
        <v>1749</v>
      </c>
      <c r="P560" s="54">
        <f>IF(F560&gt;0,F560,"")</f>
      </c>
      <c r="Q560" s="55">
        <v>7111232394811</v>
      </c>
      <c r="R560" s="55">
        <v>30369756</v>
      </c>
      <c r="S560" s="53">
        <f>IF(ISNUMBER(M560), EDATE(M560,36)-1, "")</f>
        <v>25569.375</v>
      </c>
      <c r="T560" s="50"/>
      <c r="U560" s="50"/>
      <c r="V560" s="56"/>
      <c r="W560" s="50"/>
      <c r="X560" s="50"/>
      <c r="Y560" s="56"/>
      <c r="Z560" s="56"/>
      <c r="AA560" s="56"/>
      <c r="AB560" s="56"/>
      <c r="AC560" s="56"/>
      <c r="AD560" s="56"/>
    </row>
    <row x14ac:dyDescent="0.25" r="561" customHeight="1" ht="18.75" hidden="1">
      <c r="A561" s="48" t="s">
        <v>216</v>
      </c>
      <c r="B561" s="48"/>
      <c r="C561" s="50" t="s">
        <v>13</v>
      </c>
      <c r="D561" s="50"/>
      <c r="E561" s="50"/>
      <c r="F561" s="50" t="s">
        <v>1944</v>
      </c>
      <c r="G561" s="55">
        <v>60000000</v>
      </c>
      <c r="H561" s="55"/>
      <c r="I561" s="55"/>
      <c r="J561" s="51">
        <v>4800000</v>
      </c>
      <c r="K561" s="51"/>
      <c r="L561" s="52">
        <v>45778</v>
      </c>
      <c r="M561" s="53">
        <v>45717</v>
      </c>
      <c r="N561" s="50" t="s">
        <v>239</v>
      </c>
      <c r="O561" s="50" t="s">
        <v>1945</v>
      </c>
      <c r="P561" s="50" t="s">
        <v>1944</v>
      </c>
      <c r="Q561" s="55" t="s">
        <v>1946</v>
      </c>
      <c r="R561" s="55" t="s">
        <v>1947</v>
      </c>
      <c r="S561" s="53">
        <v>46812</v>
      </c>
      <c r="T561" s="50"/>
      <c r="U561" s="50"/>
      <c r="V561" s="56"/>
      <c r="W561" s="50"/>
      <c r="X561" s="50"/>
      <c r="Y561" s="56"/>
      <c r="Z561" s="56"/>
      <c r="AA561" s="56"/>
      <c r="AB561" s="56"/>
      <c r="AC561" s="56"/>
      <c r="AD561" s="56"/>
    </row>
    <row x14ac:dyDescent="0.25" r="562" customHeight="1" ht="18.75" hidden="1">
      <c r="A562" s="56"/>
      <c r="B562" s="56"/>
      <c r="C562" s="50" t="s">
        <v>13</v>
      </c>
      <c r="D562" s="50"/>
      <c r="E562" s="50"/>
      <c r="F562" s="50" t="s">
        <v>1944</v>
      </c>
      <c r="G562" s="55">
        <v>60000000</v>
      </c>
      <c r="H562" s="55"/>
      <c r="I562" s="55"/>
      <c r="J562" s="51">
        <v>4800000</v>
      </c>
      <c r="K562" s="51"/>
      <c r="L562" s="52">
        <v>45778</v>
      </c>
      <c r="M562" s="53">
        <v>45717</v>
      </c>
      <c r="N562" s="50" t="s">
        <v>239</v>
      </c>
      <c r="O562" s="50" t="s">
        <v>1945</v>
      </c>
      <c r="P562" s="50" t="s">
        <v>1944</v>
      </c>
      <c r="Q562" s="55" t="s">
        <v>1946</v>
      </c>
      <c r="R562" s="55" t="s">
        <v>1947</v>
      </c>
      <c r="S562" s="53">
        <v>46812</v>
      </c>
      <c r="T562" s="50"/>
      <c r="U562" s="50"/>
      <c r="V562" s="56"/>
      <c r="W562" s="50"/>
      <c r="X562" s="50"/>
      <c r="Y562" s="56"/>
      <c r="Z562" s="56"/>
      <c r="AA562" s="56"/>
      <c r="AB562" s="56"/>
      <c r="AC562" s="56"/>
      <c r="AD562" s="56"/>
    </row>
    <row x14ac:dyDescent="0.25" r="563" customHeight="1" ht="18.75" hidden="1">
      <c r="A563" s="56"/>
      <c r="B563" s="56"/>
      <c r="C563" s="50" t="s">
        <v>16</v>
      </c>
      <c r="D563" s="50"/>
      <c r="E563" s="50"/>
      <c r="F563" s="50" t="s">
        <v>1944</v>
      </c>
      <c r="G563" s="55">
        <v>60000000</v>
      </c>
      <c r="H563" s="55"/>
      <c r="I563" s="55"/>
      <c r="J563" s="51">
        <v>4800000</v>
      </c>
      <c r="K563" s="51"/>
      <c r="L563" s="52">
        <v>45904</v>
      </c>
      <c r="M563" s="53">
        <v>45842</v>
      </c>
      <c r="N563" s="50" t="s">
        <v>239</v>
      </c>
      <c r="O563" s="50" t="s">
        <v>1945</v>
      </c>
      <c r="P563" s="50" t="s">
        <v>1944</v>
      </c>
      <c r="Q563" s="55" t="s">
        <v>1946</v>
      </c>
      <c r="R563" s="55" t="s">
        <v>1948</v>
      </c>
      <c r="S563" s="53">
        <v>46937</v>
      </c>
      <c r="T563" s="50"/>
      <c r="U563" s="50"/>
      <c r="V563" s="56"/>
      <c r="W563" s="50"/>
      <c r="X563" s="50"/>
      <c r="Y563" s="56"/>
      <c r="Z563" s="56"/>
      <c r="AA563" s="56"/>
      <c r="AB563" s="56"/>
      <c r="AC563" s="56"/>
      <c r="AD563" s="56"/>
    </row>
    <row x14ac:dyDescent="0.25" r="564" customHeight="1" ht="18.75" hidden="1">
      <c r="A564" s="56"/>
      <c r="B564" s="56"/>
      <c r="C564" s="50" t="s">
        <v>16</v>
      </c>
      <c r="D564" s="50"/>
      <c r="E564" s="50" t="s">
        <v>637</v>
      </c>
      <c r="F564" s="50" t="s">
        <v>1949</v>
      </c>
      <c r="G564" s="55">
        <v>10000000</v>
      </c>
      <c r="H564" s="55"/>
      <c r="I564" s="55"/>
      <c r="J564" s="51">
        <v>800000</v>
      </c>
      <c r="K564" s="51"/>
      <c r="L564" s="52">
        <v>46159</v>
      </c>
      <c r="M564" s="53">
        <v>46098</v>
      </c>
      <c r="N564" s="50" t="s">
        <v>168</v>
      </c>
      <c r="O564" s="50" t="s">
        <v>1950</v>
      </c>
      <c r="P564" s="50" t="s">
        <v>1949</v>
      </c>
      <c r="Q564" s="55" t="s">
        <v>1951</v>
      </c>
      <c r="R564" s="55" t="s">
        <v>1952</v>
      </c>
      <c r="S564" s="53">
        <v>47193</v>
      </c>
      <c r="T564" s="50" t="s">
        <v>1953</v>
      </c>
      <c r="U564" s="50" t="s">
        <v>166</v>
      </c>
      <c r="V564" s="56"/>
      <c r="W564" s="50"/>
      <c r="X564" s="50"/>
      <c r="Y564" s="56"/>
      <c r="Z564" s="56"/>
      <c r="AA564" s="56"/>
      <c r="AB564" s="56"/>
      <c r="AC564" s="56"/>
      <c r="AD564" s="56"/>
    </row>
    <row x14ac:dyDescent="0.25" r="565" customHeight="1" ht="18.75" hidden="1">
      <c r="A565" s="56"/>
      <c r="B565" s="56"/>
      <c r="C565" s="50" t="s">
        <v>16</v>
      </c>
      <c r="D565" s="50"/>
      <c r="E565" s="50"/>
      <c r="F565" s="50" t="s">
        <v>1954</v>
      </c>
      <c r="G565" s="55">
        <v>60000000</v>
      </c>
      <c r="H565" s="55"/>
      <c r="I565" s="55"/>
      <c r="J565" s="51">
        <v>4056000</v>
      </c>
      <c r="K565" s="51"/>
      <c r="L565" s="52">
        <v>45938</v>
      </c>
      <c r="M565" s="53">
        <v>45877</v>
      </c>
      <c r="N565" s="50" t="s">
        <v>155</v>
      </c>
      <c r="O565" s="50" t="s">
        <v>1955</v>
      </c>
      <c r="P565" s="50" t="s">
        <v>1954</v>
      </c>
      <c r="Q565" s="55" t="s">
        <v>1956</v>
      </c>
      <c r="R565" s="55" t="s">
        <v>1957</v>
      </c>
      <c r="S565" s="53">
        <v>46972</v>
      </c>
      <c r="T565" s="50"/>
      <c r="U565" s="50"/>
      <c r="V565" s="56"/>
      <c r="W565" s="50"/>
      <c r="X565" s="50"/>
      <c r="Y565" s="56"/>
      <c r="Z565" s="56"/>
      <c r="AA565" s="56"/>
      <c r="AB565" s="56"/>
      <c r="AC565" s="56"/>
      <c r="AD565" s="56"/>
    </row>
    <row x14ac:dyDescent="0.25" r="566" customHeight="1" ht="18.75" hidden="1">
      <c r="A566" s="56"/>
      <c r="B566" s="56"/>
      <c r="C566" s="50" t="s">
        <v>16</v>
      </c>
      <c r="D566" s="50"/>
      <c r="E566" s="50" t="s">
        <v>1958</v>
      </c>
      <c r="F566" s="50" t="s">
        <v>1959</v>
      </c>
      <c r="G566" s="55">
        <v>10000000</v>
      </c>
      <c r="H566" s="55"/>
      <c r="I566" s="55"/>
      <c r="J566" s="51">
        <v>800000</v>
      </c>
      <c r="K566" s="51"/>
      <c r="L566" s="52">
        <v>46089</v>
      </c>
      <c r="M566" s="53">
        <v>46030</v>
      </c>
      <c r="N566" s="50" t="s">
        <v>155</v>
      </c>
      <c r="O566" s="50" t="s">
        <v>1960</v>
      </c>
      <c r="P566" s="50" t="s">
        <v>1959</v>
      </c>
      <c r="Q566" s="55" t="s">
        <v>1961</v>
      </c>
      <c r="R566" s="55" t="s">
        <v>1962</v>
      </c>
      <c r="S566" s="53">
        <v>47125</v>
      </c>
      <c r="T566" s="50" t="s">
        <v>1963</v>
      </c>
      <c r="U566" s="50" t="s">
        <v>166</v>
      </c>
      <c r="V566" s="56"/>
      <c r="W566" s="50"/>
      <c r="X566" s="50"/>
      <c r="Y566" s="56"/>
      <c r="Z566" s="56"/>
      <c r="AA566" s="56"/>
      <c r="AB566" s="56"/>
      <c r="AC566" s="56"/>
      <c r="AD566" s="56"/>
    </row>
    <row x14ac:dyDescent="0.25" r="567" customHeight="1" ht="18.75">
      <c r="A567" s="56"/>
      <c r="B567" s="56"/>
      <c r="C567" s="49" t="s">
        <v>16</v>
      </c>
      <c r="D567" s="50"/>
      <c r="E567" s="50"/>
      <c r="F567" s="50" t="s">
        <v>2079</v>
      </c>
      <c r="G567" s="51">
        <v>10000000</v>
      </c>
      <c r="H567" s="51"/>
      <c r="I567" s="51"/>
      <c r="J567" s="51">
        <v>500000</v>
      </c>
      <c r="K567" s="51"/>
      <c r="L567" s="52">
        <v>46198</v>
      </c>
      <c r="M567" s="53">
        <f>IF(L567&gt;0,EDATE(L567,-2),"")</f>
        <v>25569.375</v>
      </c>
      <c r="N567" s="50" t="s">
        <v>239</v>
      </c>
      <c r="O567" s="50" t="s">
        <v>2080</v>
      </c>
      <c r="P567" s="54">
        <f>IF(F567&gt;0,F567,"")</f>
      </c>
      <c r="Q567" s="55" t="s">
        <v>2081</v>
      </c>
      <c r="R567" s="55">
        <v>90223882</v>
      </c>
      <c r="S567" s="53">
        <f>IF(ISNUMBER(M567), EDATE(M567,36)-1, "")</f>
        <v>25569.375</v>
      </c>
      <c r="T567" s="50"/>
      <c r="U567" s="50"/>
      <c r="V567" s="56"/>
      <c r="W567" s="50"/>
      <c r="X567" s="50"/>
      <c r="Y567" s="56"/>
      <c r="Z567" s="56"/>
      <c r="AA567" s="56"/>
      <c r="AB567" s="56"/>
      <c r="AC567" s="56"/>
      <c r="AD567" s="56"/>
    </row>
    <row x14ac:dyDescent="0.25" r="568" customHeight="1" ht="18.75">
      <c r="A568" s="63" t="s">
        <v>152</v>
      </c>
      <c r="B568" s="63"/>
      <c r="C568" s="49" t="s">
        <v>16</v>
      </c>
      <c r="D568" s="49" t="s">
        <v>454</v>
      </c>
      <c r="E568" s="49" t="s">
        <v>647</v>
      </c>
      <c r="F568" s="49" t="s">
        <v>2967</v>
      </c>
      <c r="G568" s="64">
        <v>20000000</v>
      </c>
      <c r="H568" s="64"/>
      <c r="I568" s="64"/>
      <c r="J568" s="64">
        <v>1800000</v>
      </c>
      <c r="K568" s="64"/>
      <c r="L568" s="66">
        <v>46199</v>
      </c>
      <c r="M568" s="67">
        <f>IF(L568&gt;0,EDATE(L568,-2),"")</f>
        <v>25569.375</v>
      </c>
      <c r="N568" s="49" t="s">
        <v>217</v>
      </c>
      <c r="O568" s="49" t="s">
        <v>2968</v>
      </c>
      <c r="P568" s="68">
        <f>IF(F568&gt;0,F568,"")</f>
      </c>
      <c r="Q568" s="69" t="s">
        <v>2969</v>
      </c>
      <c r="R568" s="69">
        <v>95358226</v>
      </c>
      <c r="S568" s="67">
        <f>IF(ISNUMBER(M568), EDATE(M568,36)-1, "")</f>
        <v>25569.375</v>
      </c>
      <c r="T568" s="49"/>
      <c r="U568" s="49"/>
      <c r="V568" s="63" t="s">
        <v>2970</v>
      </c>
      <c r="W568" s="50"/>
      <c r="X568" s="50"/>
      <c r="Y568" s="56"/>
      <c r="Z568" s="56"/>
      <c r="AA568" s="56"/>
      <c r="AB568" s="56"/>
      <c r="AC568" s="56"/>
      <c r="AD568" s="56"/>
    </row>
    <row x14ac:dyDescent="0.25" r="569" customHeight="1" ht="18.75">
      <c r="A569" s="56"/>
      <c r="B569" s="56"/>
      <c r="C569" s="50" t="s">
        <v>16</v>
      </c>
      <c r="D569" s="50" t="s">
        <v>454</v>
      </c>
      <c r="E569" s="50"/>
      <c r="F569" s="50" t="s">
        <v>1092</v>
      </c>
      <c r="G569" s="55">
        <v>10000000</v>
      </c>
      <c r="H569" s="55"/>
      <c r="I569" s="55"/>
      <c r="J569" s="51">
        <v>800000</v>
      </c>
      <c r="K569" s="51"/>
      <c r="L569" s="52">
        <v>46200</v>
      </c>
      <c r="M569" s="53">
        <v>46139</v>
      </c>
      <c r="N569" s="50" t="s">
        <v>212</v>
      </c>
      <c r="O569" s="50" t="s">
        <v>1097</v>
      </c>
      <c r="P569" s="50" t="s">
        <v>1092</v>
      </c>
      <c r="Q569" s="55" t="s">
        <v>1098</v>
      </c>
      <c r="R569" s="55" t="s">
        <v>1099</v>
      </c>
      <c r="S569" s="53">
        <v>47234</v>
      </c>
      <c r="T569" s="50"/>
      <c r="U569" s="50"/>
      <c r="V569" s="56"/>
      <c r="W569" s="50"/>
      <c r="X569" s="50"/>
      <c r="Y569" s="56"/>
      <c r="Z569" s="56"/>
      <c r="AA569" s="56"/>
      <c r="AB569" s="56"/>
      <c r="AC569" s="56"/>
      <c r="AD569" s="56"/>
    </row>
    <row x14ac:dyDescent="0.25" r="570" customHeight="1" ht="18.75" hidden="1">
      <c r="A570" s="56"/>
      <c r="B570" s="56"/>
      <c r="C570" s="50" t="s">
        <v>16</v>
      </c>
      <c r="D570" s="50" t="s">
        <v>816</v>
      </c>
      <c r="E570" s="50"/>
      <c r="F570" s="50" t="s">
        <v>1971</v>
      </c>
      <c r="G570" s="55">
        <v>40000000</v>
      </c>
      <c r="H570" s="55"/>
      <c r="I570" s="55"/>
      <c r="J570" s="51">
        <v>3056000</v>
      </c>
      <c r="K570" s="51"/>
      <c r="L570" s="52">
        <v>46173</v>
      </c>
      <c r="M570" s="53">
        <v>46112</v>
      </c>
      <c r="N570" s="50" t="s">
        <v>239</v>
      </c>
      <c r="O570" s="50" t="s">
        <v>818</v>
      </c>
      <c r="P570" s="50" t="s">
        <v>1971</v>
      </c>
      <c r="Q570" s="55" t="s">
        <v>1972</v>
      </c>
      <c r="R570" s="55" t="s">
        <v>820</v>
      </c>
      <c r="S570" s="53">
        <v>47207</v>
      </c>
      <c r="T570" s="50" t="s">
        <v>1973</v>
      </c>
      <c r="U570" s="50" t="s">
        <v>166</v>
      </c>
      <c r="V570" s="56"/>
      <c r="W570" s="50"/>
      <c r="X570" s="50"/>
      <c r="Y570" s="56"/>
      <c r="Z570" s="56"/>
      <c r="AA570" s="56"/>
      <c r="AB570" s="56"/>
      <c r="AC570" s="56"/>
      <c r="AD570" s="56"/>
    </row>
    <row x14ac:dyDescent="0.25" r="571" customHeight="1" ht="18.75">
      <c r="A571" s="56"/>
      <c r="B571" s="56"/>
      <c r="C571" s="50" t="s">
        <v>16</v>
      </c>
      <c r="D571" s="50"/>
      <c r="E571" s="50"/>
      <c r="F571" s="50" t="s">
        <v>1372</v>
      </c>
      <c r="G571" s="55">
        <v>10000000</v>
      </c>
      <c r="H571" s="55"/>
      <c r="I571" s="55"/>
      <c r="J571" s="51">
        <v>500000</v>
      </c>
      <c r="K571" s="51"/>
      <c r="L571" s="52">
        <v>46200</v>
      </c>
      <c r="M571" s="53">
        <v>46139</v>
      </c>
      <c r="N571" s="50" t="s">
        <v>161</v>
      </c>
      <c r="O571" s="50" t="s">
        <v>1373</v>
      </c>
      <c r="P571" s="50" t="s">
        <v>1372</v>
      </c>
      <c r="Q571" s="55" t="s">
        <v>1374</v>
      </c>
      <c r="R571" s="55" t="s">
        <v>1375</v>
      </c>
      <c r="S571" s="53">
        <v>47234</v>
      </c>
      <c r="T571" s="50" t="s">
        <v>1376</v>
      </c>
      <c r="U571" s="50" t="s">
        <v>166</v>
      </c>
      <c r="V571" s="56"/>
      <c r="W571" s="50" t="s">
        <v>3238</v>
      </c>
      <c r="X571" s="50" t="s">
        <v>3238</v>
      </c>
      <c r="Y571" s="56"/>
      <c r="Z571" s="56"/>
      <c r="AA571" s="56"/>
      <c r="AB571" s="56"/>
      <c r="AC571" s="56"/>
      <c r="AD571" s="56"/>
    </row>
    <row x14ac:dyDescent="0.25" r="572" customHeight="1" ht="18.75">
      <c r="A572" s="56"/>
      <c r="B572" s="56"/>
      <c r="C572" s="50" t="s">
        <v>16</v>
      </c>
      <c r="D572" s="50" t="s">
        <v>143</v>
      </c>
      <c r="E572" s="50" t="s">
        <v>14</v>
      </c>
      <c r="F572" s="50" t="s">
        <v>1693</v>
      </c>
      <c r="G572" s="55">
        <v>60000000</v>
      </c>
      <c r="H572" s="55"/>
      <c r="I572" s="55"/>
      <c r="J572" s="51">
        <v>4000000</v>
      </c>
      <c r="K572" s="51"/>
      <c r="L572" s="52">
        <v>46200</v>
      </c>
      <c r="M572" s="53">
        <v>46139</v>
      </c>
      <c r="N572" s="50" t="s">
        <v>155</v>
      </c>
      <c r="O572" s="50" t="s">
        <v>1694</v>
      </c>
      <c r="P572" s="50" t="s">
        <v>1693</v>
      </c>
      <c r="Q572" s="55" t="s">
        <v>1695</v>
      </c>
      <c r="R572" s="85" t="s">
        <v>1696</v>
      </c>
      <c r="S572" s="53">
        <v>47234</v>
      </c>
      <c r="T572" s="50"/>
      <c r="U572" s="50"/>
      <c r="V572" s="56"/>
      <c r="W572" s="50"/>
      <c r="X572" s="50"/>
      <c r="Y572" s="56"/>
      <c r="Z572" s="56"/>
      <c r="AA572" s="56"/>
      <c r="AB572" s="56"/>
      <c r="AC572" s="56"/>
      <c r="AD572" s="56"/>
    </row>
    <row x14ac:dyDescent="0.25" r="573" customHeight="1" ht="18.75" hidden="1">
      <c r="A573" s="56"/>
      <c r="B573" s="56"/>
      <c r="C573" s="50" t="s">
        <v>16</v>
      </c>
      <c r="D573" s="50" t="s">
        <v>454</v>
      </c>
      <c r="E573" s="50"/>
      <c r="F573" s="50" t="s">
        <v>1982</v>
      </c>
      <c r="G573" s="55">
        <v>10000000</v>
      </c>
      <c r="H573" s="55"/>
      <c r="I573" s="55"/>
      <c r="J573" s="51">
        <v>800000</v>
      </c>
      <c r="K573" s="51"/>
      <c r="L573" s="52">
        <v>46154</v>
      </c>
      <c r="M573" s="53">
        <v>46093</v>
      </c>
      <c r="N573" s="50" t="s">
        <v>168</v>
      </c>
      <c r="O573" s="50" t="s">
        <v>1302</v>
      </c>
      <c r="P573" s="50" t="s">
        <v>1982</v>
      </c>
      <c r="Q573" s="55" t="s">
        <v>1983</v>
      </c>
      <c r="R573" s="55" t="s">
        <v>1984</v>
      </c>
      <c r="S573" s="53">
        <v>47189</v>
      </c>
      <c r="T573" s="50"/>
      <c r="U573" s="50"/>
      <c r="V573" s="56"/>
      <c r="W573" s="50"/>
      <c r="X573" s="50"/>
      <c r="Y573" s="56"/>
      <c r="Z573" s="56"/>
      <c r="AA573" s="56"/>
      <c r="AB573" s="56"/>
      <c r="AC573" s="56"/>
      <c r="AD573" s="56"/>
    </row>
    <row x14ac:dyDescent="0.25" r="574" customHeight="1" ht="18.75">
      <c r="A574" s="56"/>
      <c r="B574" s="56"/>
      <c r="C574" s="50" t="s">
        <v>16</v>
      </c>
      <c r="D574" s="50"/>
      <c r="E574" s="50"/>
      <c r="F574" s="50" t="s">
        <v>1885</v>
      </c>
      <c r="G574" s="55">
        <v>10000000</v>
      </c>
      <c r="H574" s="55"/>
      <c r="I574" s="55"/>
      <c r="J574" s="51">
        <v>400000</v>
      </c>
      <c r="K574" s="51"/>
      <c r="L574" s="52">
        <v>46200</v>
      </c>
      <c r="M574" s="53">
        <v>46139</v>
      </c>
      <c r="N574" s="50" t="s">
        <v>1139</v>
      </c>
      <c r="O574" s="50" t="s">
        <v>1886</v>
      </c>
      <c r="P574" s="50" t="s">
        <v>1885</v>
      </c>
      <c r="Q574" s="55" t="s">
        <v>1890</v>
      </c>
      <c r="R574" s="55" t="s">
        <v>1888</v>
      </c>
      <c r="S574" s="53">
        <v>47234</v>
      </c>
      <c r="T574" s="50" t="s">
        <v>1891</v>
      </c>
      <c r="U574" s="50" t="s">
        <v>166</v>
      </c>
      <c r="V574" s="56"/>
      <c r="W574" s="50" t="s">
        <v>3238</v>
      </c>
      <c r="X574" s="50" t="s">
        <v>3238</v>
      </c>
      <c r="Y574" s="56"/>
      <c r="Z574" s="56"/>
      <c r="AA574" s="56"/>
      <c r="AB574" s="56"/>
      <c r="AC574" s="56"/>
      <c r="AD574" s="56"/>
    </row>
    <row x14ac:dyDescent="0.25" r="575" customHeight="1" ht="18.75">
      <c r="A575" s="56"/>
      <c r="B575" s="56"/>
      <c r="C575" s="50" t="s">
        <v>16</v>
      </c>
      <c r="D575" s="50" t="s">
        <v>143</v>
      </c>
      <c r="E575" s="50" t="s">
        <v>14</v>
      </c>
      <c r="F575" s="50" t="s">
        <v>1932</v>
      </c>
      <c r="G575" s="55">
        <v>10000000</v>
      </c>
      <c r="H575" s="55"/>
      <c r="I575" s="55"/>
      <c r="J575" s="51">
        <v>1200000</v>
      </c>
      <c r="K575" s="51"/>
      <c r="L575" s="52">
        <v>46200</v>
      </c>
      <c r="M575" s="53">
        <v>46139</v>
      </c>
      <c r="N575" s="50" t="s">
        <v>217</v>
      </c>
      <c r="O575" s="50" t="s">
        <v>1933</v>
      </c>
      <c r="P575" s="50" t="s">
        <v>1932</v>
      </c>
      <c r="Q575" s="55" t="s">
        <v>1934</v>
      </c>
      <c r="R575" s="85" t="s">
        <v>1935</v>
      </c>
      <c r="S575" s="53">
        <v>47234</v>
      </c>
      <c r="T575" s="50"/>
      <c r="U575" s="50"/>
      <c r="V575" s="56"/>
      <c r="W575" s="50"/>
      <c r="X575" s="50"/>
      <c r="Y575" s="56"/>
      <c r="Z575" s="56"/>
      <c r="AA575" s="56"/>
      <c r="AB575" s="56"/>
      <c r="AC575" s="56"/>
      <c r="AD575" s="56"/>
    </row>
    <row x14ac:dyDescent="0.25" r="576" customHeight="1" ht="18.75">
      <c r="A576" s="56"/>
      <c r="B576" s="56"/>
      <c r="C576" s="50" t="s">
        <v>16</v>
      </c>
      <c r="D576" s="50"/>
      <c r="E576" s="50"/>
      <c r="F576" s="50" t="s">
        <v>2053</v>
      </c>
      <c r="G576" s="55">
        <v>10000000</v>
      </c>
      <c r="H576" s="55"/>
      <c r="I576" s="55"/>
      <c r="J576" s="51">
        <v>500000</v>
      </c>
      <c r="K576" s="51"/>
      <c r="L576" s="52">
        <v>46200</v>
      </c>
      <c r="M576" s="53">
        <v>46139</v>
      </c>
      <c r="N576" s="50" t="s">
        <v>2054</v>
      </c>
      <c r="O576" s="50" t="s">
        <v>2055</v>
      </c>
      <c r="P576" s="50" t="s">
        <v>2053</v>
      </c>
      <c r="Q576" s="55" t="s">
        <v>2056</v>
      </c>
      <c r="R576" s="55" t="s">
        <v>2057</v>
      </c>
      <c r="S576" s="53">
        <v>47234</v>
      </c>
      <c r="T576" s="50" t="s">
        <v>2058</v>
      </c>
      <c r="U576" s="50" t="s">
        <v>166</v>
      </c>
      <c r="V576" s="56"/>
      <c r="W576" s="50" t="s">
        <v>3238</v>
      </c>
      <c r="X576" s="50" t="s">
        <v>3238</v>
      </c>
      <c r="Y576" s="56"/>
      <c r="Z576" s="56"/>
      <c r="AA576" s="56"/>
      <c r="AB576" s="56"/>
      <c r="AC576" s="56"/>
      <c r="AD576" s="56"/>
    </row>
    <row x14ac:dyDescent="0.25" r="577" customHeight="1" ht="18.75" hidden="1">
      <c r="A577" s="56"/>
      <c r="B577" s="56"/>
      <c r="C577" s="50" t="s">
        <v>113</v>
      </c>
      <c r="D577" s="50"/>
      <c r="E577" s="50"/>
      <c r="F577" s="50" t="s">
        <v>1990</v>
      </c>
      <c r="G577" s="55">
        <v>30000000</v>
      </c>
      <c r="H577" s="55"/>
      <c r="I577" s="55"/>
      <c r="J577" s="51">
        <v>1500000</v>
      </c>
      <c r="K577" s="51"/>
      <c r="L577" s="52">
        <v>45656</v>
      </c>
      <c r="M577" s="53">
        <v>45595</v>
      </c>
      <c r="N577" s="50" t="s">
        <v>306</v>
      </c>
      <c r="O577" s="50" t="s">
        <v>1991</v>
      </c>
      <c r="P577" s="50" t="s">
        <v>1990</v>
      </c>
      <c r="Q577" s="55" t="s">
        <v>1992</v>
      </c>
      <c r="R577" s="55" t="s">
        <v>1993</v>
      </c>
      <c r="S577" s="53">
        <v>47420</v>
      </c>
      <c r="T577" s="50"/>
      <c r="U577" s="50"/>
      <c r="V577" s="56"/>
      <c r="W577" s="50"/>
      <c r="X577" s="50"/>
      <c r="Y577" s="56"/>
      <c r="Z577" s="56"/>
      <c r="AA577" s="56"/>
      <c r="AB577" s="56"/>
      <c r="AC577" s="56"/>
      <c r="AD577" s="56"/>
    </row>
    <row x14ac:dyDescent="0.25" r="578" customHeight="1" ht="18.75" hidden="1">
      <c r="A578" s="48" t="s">
        <v>216</v>
      </c>
      <c r="B578" s="48"/>
      <c r="C578" s="50" t="s">
        <v>16</v>
      </c>
      <c r="D578" s="50"/>
      <c r="E578" s="50"/>
      <c r="F578" s="50" t="s">
        <v>1990</v>
      </c>
      <c r="G578" s="55">
        <v>60000000</v>
      </c>
      <c r="H578" s="55"/>
      <c r="I578" s="55"/>
      <c r="J578" s="51">
        <v>4800000</v>
      </c>
      <c r="K578" s="51"/>
      <c r="L578" s="52">
        <v>45992</v>
      </c>
      <c r="M578" s="53">
        <v>45931</v>
      </c>
      <c r="N578" s="50" t="s">
        <v>306</v>
      </c>
      <c r="O578" s="50" t="s">
        <v>1991</v>
      </c>
      <c r="P578" s="50" t="s">
        <v>1990</v>
      </c>
      <c r="Q578" s="55" t="s">
        <v>1992</v>
      </c>
      <c r="R578" s="55" t="s">
        <v>1993</v>
      </c>
      <c r="S578" s="53">
        <v>47119</v>
      </c>
      <c r="T578" s="50"/>
      <c r="U578" s="50"/>
      <c r="V578" s="56"/>
      <c r="W578" s="50"/>
      <c r="X578" s="50"/>
      <c r="Y578" s="56"/>
      <c r="Z578" s="56"/>
      <c r="AA578" s="56"/>
      <c r="AB578" s="56"/>
      <c r="AC578" s="56"/>
      <c r="AD578" s="56"/>
    </row>
    <row x14ac:dyDescent="0.25" r="579" customHeight="1" ht="18.75" hidden="1">
      <c r="A579" s="63"/>
      <c r="B579" s="63"/>
      <c r="C579" s="49" t="s">
        <v>113</v>
      </c>
      <c r="D579" s="49"/>
      <c r="E579" s="49"/>
      <c r="F579" s="49" t="s">
        <v>1990</v>
      </c>
      <c r="G579" s="64">
        <v>30000000</v>
      </c>
      <c r="H579" s="64"/>
      <c r="I579" s="64"/>
      <c r="J579" s="64">
        <v>1500000</v>
      </c>
      <c r="K579" s="64"/>
      <c r="L579" s="66">
        <v>45656</v>
      </c>
      <c r="M579" s="67">
        <f>IF(L579&gt;0,EDATE(L579,-2),"")</f>
        <v>25569.375</v>
      </c>
      <c r="N579" s="49" t="s">
        <v>217</v>
      </c>
      <c r="O579" s="49" t="s">
        <v>1991</v>
      </c>
      <c r="P579" s="68">
        <f>IF(F579&gt;0,F579,"")</f>
      </c>
      <c r="Q579" s="69" t="s">
        <v>1992</v>
      </c>
      <c r="R579" s="69">
        <v>99050765</v>
      </c>
      <c r="S579" s="53">
        <f>IF(M579&gt;0,EDATE(M579,36)-1,"")</f>
        <v>25569.375</v>
      </c>
      <c r="T579" s="49"/>
      <c r="U579" s="49"/>
      <c r="V579" s="63"/>
      <c r="W579" s="50"/>
      <c r="X579" s="50"/>
      <c r="Y579" s="56"/>
      <c r="Z579" s="56"/>
      <c r="AA579" s="56"/>
      <c r="AB579" s="56"/>
      <c r="AC579" s="56"/>
      <c r="AD579" s="56"/>
    </row>
    <row x14ac:dyDescent="0.25" r="580" customHeight="1" ht="18.75" hidden="1">
      <c r="A580" s="56"/>
      <c r="B580" s="56"/>
      <c r="C580" s="50" t="s">
        <v>16</v>
      </c>
      <c r="D580" s="50"/>
      <c r="E580" s="50"/>
      <c r="F580" s="50" t="s">
        <v>1995</v>
      </c>
      <c r="G580" s="55">
        <v>10000000</v>
      </c>
      <c r="H580" s="55"/>
      <c r="I580" s="55"/>
      <c r="J580" s="51">
        <v>800000</v>
      </c>
      <c r="K580" s="51"/>
      <c r="L580" s="52">
        <v>46027</v>
      </c>
      <c r="M580" s="53">
        <v>45966</v>
      </c>
      <c r="N580" s="50" t="s">
        <v>306</v>
      </c>
      <c r="O580" s="50" t="s">
        <v>1996</v>
      </c>
      <c r="P580" s="50" t="s">
        <v>1995</v>
      </c>
      <c r="Q580" s="55" t="s">
        <v>1997</v>
      </c>
      <c r="R580" s="55" t="s">
        <v>1998</v>
      </c>
      <c r="S580" s="53">
        <v>47061</v>
      </c>
      <c r="T580" s="50"/>
      <c r="U580" s="50"/>
      <c r="V580" s="56"/>
      <c r="W580" s="50"/>
      <c r="X580" s="50"/>
      <c r="Y580" s="56"/>
      <c r="Z580" s="56"/>
      <c r="AA580" s="56"/>
      <c r="AB580" s="56"/>
      <c r="AC580" s="56"/>
      <c r="AD580" s="56"/>
    </row>
    <row x14ac:dyDescent="0.25" r="581" customHeight="1" ht="18.75">
      <c r="A581" s="56"/>
      <c r="B581" s="56"/>
      <c r="C581" s="50" t="s">
        <v>16</v>
      </c>
      <c r="D581" s="50"/>
      <c r="E581" s="50"/>
      <c r="F581" s="50" t="s">
        <v>2070</v>
      </c>
      <c r="G581" s="55">
        <v>10000000</v>
      </c>
      <c r="H581" s="55"/>
      <c r="I581" s="55"/>
      <c r="J581" s="51">
        <v>1200000</v>
      </c>
      <c r="K581" s="51"/>
      <c r="L581" s="52">
        <v>46200</v>
      </c>
      <c r="M581" s="53">
        <v>46139</v>
      </c>
      <c r="N581" s="50" t="s">
        <v>161</v>
      </c>
      <c r="O581" s="50" t="s">
        <v>2071</v>
      </c>
      <c r="P581" s="50" t="s">
        <v>2070</v>
      </c>
      <c r="Q581" s="55" t="s">
        <v>2072</v>
      </c>
      <c r="R581" s="55" t="s">
        <v>1375</v>
      </c>
      <c r="S581" s="53">
        <v>47234</v>
      </c>
      <c r="T581" s="50" t="s">
        <v>2073</v>
      </c>
      <c r="U581" s="50" t="s">
        <v>166</v>
      </c>
      <c r="V581" s="56"/>
      <c r="W581" s="50"/>
      <c r="X581" s="50"/>
      <c r="Y581" s="56"/>
      <c r="Z581" s="56"/>
      <c r="AA581" s="56"/>
      <c r="AB581" s="56"/>
      <c r="AC581" s="56"/>
      <c r="AD581" s="56"/>
    </row>
    <row x14ac:dyDescent="0.25" r="582" customHeight="1" ht="18.75">
      <c r="A582" s="56"/>
      <c r="B582" s="56"/>
      <c r="C582" s="50" t="s">
        <v>16</v>
      </c>
      <c r="D582" s="50"/>
      <c r="E582" s="50"/>
      <c r="F582" s="50" t="s">
        <v>2098</v>
      </c>
      <c r="G582" s="55">
        <v>10000000</v>
      </c>
      <c r="H582" s="55"/>
      <c r="I582" s="55"/>
      <c r="J582" s="51">
        <v>500000</v>
      </c>
      <c r="K582" s="51"/>
      <c r="L582" s="52">
        <v>46200</v>
      </c>
      <c r="M582" s="53">
        <v>46139</v>
      </c>
      <c r="N582" s="50" t="s">
        <v>217</v>
      </c>
      <c r="O582" s="50" t="s">
        <v>2099</v>
      </c>
      <c r="P582" s="50" t="s">
        <v>2098</v>
      </c>
      <c r="Q582" s="55" t="s">
        <v>2100</v>
      </c>
      <c r="R582" s="55" t="s">
        <v>2101</v>
      </c>
      <c r="S582" s="53">
        <v>47234</v>
      </c>
      <c r="T582" s="50" t="s">
        <v>2102</v>
      </c>
      <c r="U582" s="50" t="s">
        <v>166</v>
      </c>
      <c r="V582" s="56"/>
      <c r="W582" s="50" t="s">
        <v>3238</v>
      </c>
      <c r="X582" s="50" t="s">
        <v>3238</v>
      </c>
      <c r="Y582" s="56"/>
      <c r="Z582" s="56"/>
      <c r="AA582" s="56"/>
      <c r="AB582" s="56"/>
      <c r="AC582" s="56"/>
      <c r="AD582" s="56"/>
    </row>
    <row x14ac:dyDescent="0.25" r="583" customHeight="1" ht="18.75">
      <c r="A583" s="56"/>
      <c r="B583" s="56"/>
      <c r="C583" s="50" t="s">
        <v>16</v>
      </c>
      <c r="D583" s="50"/>
      <c r="E583" s="50" t="s">
        <v>1260</v>
      </c>
      <c r="F583" s="50" t="s">
        <v>1342</v>
      </c>
      <c r="G583" s="55">
        <v>10000000</v>
      </c>
      <c r="H583" s="55"/>
      <c r="I583" s="55"/>
      <c r="J583" s="51">
        <v>1200000</v>
      </c>
      <c r="K583" s="51"/>
      <c r="L583" s="52">
        <v>46201</v>
      </c>
      <c r="M583" s="53">
        <v>46140</v>
      </c>
      <c r="N583" s="50" t="s">
        <v>302</v>
      </c>
      <c r="O583" s="50" t="s">
        <v>1343</v>
      </c>
      <c r="P583" s="50" t="s">
        <v>1342</v>
      </c>
      <c r="Q583" s="55" t="s">
        <v>1344</v>
      </c>
      <c r="R583" s="55" t="s">
        <v>1345</v>
      </c>
      <c r="S583" s="53">
        <v>47235</v>
      </c>
      <c r="T583" s="50" t="s">
        <v>1346</v>
      </c>
      <c r="U583" s="50" t="s">
        <v>166</v>
      </c>
      <c r="V583" s="56"/>
      <c r="W583" s="50"/>
      <c r="X583" s="50"/>
      <c r="Y583" s="56"/>
      <c r="Z583" s="56"/>
      <c r="AA583" s="56"/>
      <c r="AB583" s="56"/>
      <c r="AC583" s="56"/>
      <c r="AD583" s="56"/>
    </row>
    <row x14ac:dyDescent="0.25" r="584" customHeight="1" ht="18.75">
      <c r="A584" s="56"/>
      <c r="B584" s="56"/>
      <c r="C584" s="49" t="s">
        <v>16</v>
      </c>
      <c r="D584" s="50" t="s">
        <v>153</v>
      </c>
      <c r="E584" s="50" t="s">
        <v>318</v>
      </c>
      <c r="F584" s="50" t="s">
        <v>885</v>
      </c>
      <c r="G584" s="51">
        <v>10000000</v>
      </c>
      <c r="H584" s="51"/>
      <c r="I584" s="51"/>
      <c r="J584" s="87">
        <f>IF(G584&gt;0,_xludf.IFS(G584=10000000,1200000,G584=20000000,1800000,G584=30000000,2400000,G584=60000000,4000000),"")</f>
      </c>
      <c r="K584" s="51"/>
      <c r="L584" s="52">
        <v>46202</v>
      </c>
      <c r="M584" s="53">
        <f>IF(L584&gt;0,EDATE(L584,-2),"")</f>
        <v>25569.375</v>
      </c>
      <c r="N584" s="50" t="s">
        <v>205</v>
      </c>
      <c r="O584" s="50" t="s">
        <v>886</v>
      </c>
      <c r="P584" s="54">
        <f>IF(F584&gt;0,F584,"")</f>
      </c>
      <c r="Q584" s="55">
        <v>6501062133014</v>
      </c>
      <c r="R584" s="55">
        <v>87540005</v>
      </c>
      <c r="S584" s="53">
        <f>IF(ISNUMBER(M584), EDATE(M584,36)-1, "")</f>
        <v>25569.375</v>
      </c>
      <c r="T584" s="50"/>
      <c r="U584" s="50"/>
      <c r="V584" s="56"/>
      <c r="W584" s="50"/>
      <c r="X584" s="50"/>
      <c r="Y584" s="56"/>
      <c r="Z584" s="56"/>
      <c r="AA584" s="56"/>
      <c r="AB584" s="56"/>
      <c r="AC584" s="56"/>
      <c r="AD584" s="56"/>
    </row>
    <row x14ac:dyDescent="0.25" r="585" customHeight="1" ht="18.75" hidden="1">
      <c r="A585" s="63"/>
      <c r="B585" s="63"/>
      <c r="C585" s="49" t="s">
        <v>16</v>
      </c>
      <c r="D585" s="49" t="s">
        <v>48</v>
      </c>
      <c r="E585" s="49" t="s">
        <v>1958</v>
      </c>
      <c r="F585" s="49" t="s">
        <v>481</v>
      </c>
      <c r="G585" s="64">
        <v>10000000</v>
      </c>
      <c r="H585" s="64"/>
      <c r="I585" s="64"/>
      <c r="J585" s="65">
        <f>IF(G585&gt;0,_xludf.IFS(G585=10000000,800000,G585=20000000,1528000,G585=30000000,2028000,G585=60000000,4056000),"")</f>
      </c>
      <c r="K585" s="64"/>
      <c r="L585" s="66">
        <v>46145</v>
      </c>
      <c r="M585" s="67">
        <f>IF(L585&gt;0,EDATE(L585,-2),"")</f>
        <v>25569.375</v>
      </c>
      <c r="N585" s="49" t="s">
        <v>699</v>
      </c>
      <c r="O585" s="49" t="s">
        <v>2005</v>
      </c>
      <c r="P585" s="68">
        <f>IF(F585&gt;0,F585,"")</f>
      </c>
      <c r="Q585" s="69" t="s">
        <v>2006</v>
      </c>
      <c r="R585" s="69">
        <v>73420091</v>
      </c>
      <c r="S585" s="67">
        <f>IF(ISNUMBER(M585), EDATE(M585,36)-1, "")</f>
        <v>25569.375</v>
      </c>
      <c r="T585" s="49"/>
      <c r="U585" s="49"/>
      <c r="V585" s="63"/>
      <c r="W585" s="50"/>
      <c r="X585" s="50"/>
      <c r="Y585" s="56"/>
      <c r="Z585" s="56"/>
      <c r="AA585" s="56"/>
      <c r="AB585" s="56"/>
      <c r="AC585" s="56"/>
      <c r="AD585" s="56"/>
    </row>
    <row x14ac:dyDescent="0.25" r="586" customHeight="1" ht="18.75" hidden="1">
      <c r="A586" s="56"/>
      <c r="B586" s="56"/>
      <c r="C586" s="50" t="s">
        <v>16</v>
      </c>
      <c r="D586" s="50" t="s">
        <v>67</v>
      </c>
      <c r="E586" s="50" t="s">
        <v>68</v>
      </c>
      <c r="F586" s="50" t="s">
        <v>68</v>
      </c>
      <c r="G586" s="55">
        <v>30000000</v>
      </c>
      <c r="H586" s="55"/>
      <c r="I586" s="55"/>
      <c r="J586" s="51">
        <v>2400000</v>
      </c>
      <c r="K586" s="51"/>
      <c r="L586" s="52">
        <v>45889</v>
      </c>
      <c r="M586" s="53">
        <v>45828</v>
      </c>
      <c r="N586" s="50" t="s">
        <v>302</v>
      </c>
      <c r="O586" s="50" t="s">
        <v>2007</v>
      </c>
      <c r="P586" s="50" t="s">
        <v>68</v>
      </c>
      <c r="Q586" s="55" t="s">
        <v>2008</v>
      </c>
      <c r="R586" s="55" t="s">
        <v>2009</v>
      </c>
      <c r="S586" s="53">
        <v>46923</v>
      </c>
      <c r="T586" s="50" t="s">
        <v>2010</v>
      </c>
      <c r="U586" s="50"/>
      <c r="V586" s="56"/>
      <c r="W586" s="50"/>
      <c r="X586" s="50"/>
      <c r="Y586" s="56"/>
      <c r="Z586" s="56"/>
      <c r="AA586" s="56"/>
      <c r="AB586" s="56"/>
      <c r="AC586" s="56"/>
      <c r="AD586" s="56"/>
    </row>
    <row x14ac:dyDescent="0.25" r="587" customHeight="1" ht="18.75" hidden="1">
      <c r="A587" s="48" t="s">
        <v>216</v>
      </c>
      <c r="B587" s="48"/>
      <c r="C587" s="50" t="s">
        <v>16</v>
      </c>
      <c r="D587" s="50" t="s">
        <v>67</v>
      </c>
      <c r="E587" s="50" t="s">
        <v>68</v>
      </c>
      <c r="F587" s="50" t="s">
        <v>68</v>
      </c>
      <c r="G587" s="55">
        <v>30000000</v>
      </c>
      <c r="H587" s="55"/>
      <c r="I587" s="55"/>
      <c r="J587" s="51">
        <v>2400000</v>
      </c>
      <c r="K587" s="51"/>
      <c r="L587" s="52">
        <v>45910</v>
      </c>
      <c r="M587" s="53">
        <v>45848</v>
      </c>
      <c r="N587" s="50" t="s">
        <v>302</v>
      </c>
      <c r="O587" s="50" t="s">
        <v>2007</v>
      </c>
      <c r="P587" s="50" t="s">
        <v>68</v>
      </c>
      <c r="Q587" s="55" t="s">
        <v>2008</v>
      </c>
      <c r="R587" s="55" t="s">
        <v>2009</v>
      </c>
      <c r="S587" s="53">
        <v>46943</v>
      </c>
      <c r="T587" s="50"/>
      <c r="U587" s="50"/>
      <c r="V587" s="56"/>
      <c r="W587" s="50"/>
      <c r="X587" s="50"/>
      <c r="Y587" s="56"/>
      <c r="Z587" s="56"/>
      <c r="AA587" s="56"/>
      <c r="AB587" s="56"/>
      <c r="AC587" s="56"/>
      <c r="AD587" s="56"/>
    </row>
    <row x14ac:dyDescent="0.25" r="588" customHeight="1" ht="18.75" hidden="1">
      <c r="A588" s="71" t="s">
        <v>3310</v>
      </c>
      <c r="B588" s="71"/>
      <c r="C588" s="72" t="s">
        <v>3311</v>
      </c>
      <c r="D588" s="72" t="s">
        <v>67</v>
      </c>
      <c r="E588" s="72" t="s">
        <v>68</v>
      </c>
      <c r="F588" s="72" t="s">
        <v>68</v>
      </c>
      <c r="G588" s="73"/>
      <c r="H588" s="73"/>
      <c r="I588" s="73"/>
      <c r="J588" s="74"/>
      <c r="K588" s="74"/>
      <c r="L588" s="75" t="s">
        <v>449</v>
      </c>
      <c r="M588" s="76" t="s">
        <v>449</v>
      </c>
      <c r="N588" s="72"/>
      <c r="O588" s="72"/>
      <c r="P588" s="72"/>
      <c r="Q588" s="73"/>
      <c r="R588" s="73"/>
      <c r="S588" s="76" t="s">
        <v>449</v>
      </c>
      <c r="T588" s="72"/>
      <c r="U588" s="72"/>
      <c r="V588" s="71"/>
      <c r="W588" s="50"/>
      <c r="X588" s="50"/>
      <c r="Y588" s="56"/>
      <c r="Z588" s="56"/>
      <c r="AA588" s="56"/>
      <c r="AB588" s="56"/>
      <c r="AC588" s="56"/>
      <c r="AD588" s="56"/>
    </row>
    <row x14ac:dyDescent="0.25" r="589" customHeight="1" ht="18.75">
      <c r="A589" s="56"/>
      <c r="B589" s="56"/>
      <c r="C589" s="50" t="s">
        <v>16</v>
      </c>
      <c r="D589" s="50" t="s">
        <v>143</v>
      </c>
      <c r="E589" s="50" t="s">
        <v>14</v>
      </c>
      <c r="F589" s="50" t="s">
        <v>987</v>
      </c>
      <c r="G589" s="55">
        <v>10000000</v>
      </c>
      <c r="H589" s="55"/>
      <c r="I589" s="55"/>
      <c r="J589" s="51">
        <v>1200000</v>
      </c>
      <c r="K589" s="51"/>
      <c r="L589" s="52">
        <v>46202</v>
      </c>
      <c r="M589" s="53">
        <v>46141</v>
      </c>
      <c r="N589" s="50" t="s">
        <v>988</v>
      </c>
      <c r="O589" s="50" t="s">
        <v>989</v>
      </c>
      <c r="P589" s="50" t="s">
        <v>987</v>
      </c>
      <c r="Q589" s="55" t="s">
        <v>990</v>
      </c>
      <c r="R589" s="55" t="s">
        <v>991</v>
      </c>
      <c r="S589" s="53">
        <v>47236</v>
      </c>
      <c r="T589" s="50"/>
      <c r="U589" s="50"/>
      <c r="V589" s="56"/>
      <c r="W589" s="50"/>
      <c r="X589" s="50"/>
      <c r="Y589" s="56"/>
      <c r="Z589" s="56"/>
      <c r="AA589" s="56"/>
      <c r="AB589" s="56"/>
      <c r="AC589" s="56"/>
      <c r="AD589" s="56"/>
    </row>
    <row x14ac:dyDescent="0.25" r="590" customHeight="1" ht="18.75">
      <c r="A590" s="56"/>
      <c r="B590" s="56"/>
      <c r="C590" s="49" t="s">
        <v>16</v>
      </c>
      <c r="D590" s="50" t="s">
        <v>143</v>
      </c>
      <c r="E590" s="50" t="s">
        <v>14</v>
      </c>
      <c r="F590" s="50" t="s">
        <v>1646</v>
      </c>
      <c r="G590" s="51">
        <v>10000000</v>
      </c>
      <c r="H590" s="51"/>
      <c r="I590" s="51"/>
      <c r="J590" s="87">
        <f>IF(G590&gt;0,_xludf.IFS(G590=10000000,1200000,G590=20000000,1800000,G590=30000000,2400000,G590=60000000,4000000),"")</f>
      </c>
      <c r="K590" s="51"/>
      <c r="L590" s="52">
        <v>46202</v>
      </c>
      <c r="M590" s="53">
        <f>IF(L590&gt;0,EDATE(L590,-2),"")</f>
        <v>25569.375</v>
      </c>
      <c r="N590" s="50" t="s">
        <v>155</v>
      </c>
      <c r="O590" s="50" t="s">
        <v>1647</v>
      </c>
      <c r="P590" s="54">
        <f>IF(F590&gt;0,F590,"")</f>
      </c>
      <c r="Q590" s="55">
        <v>6803201812664</v>
      </c>
      <c r="R590" s="55">
        <v>36058685</v>
      </c>
      <c r="S590" s="53">
        <f>IF(ISNUMBER(M590), EDATE(M590,36)-1, "")</f>
        <v>25569.375</v>
      </c>
      <c r="T590" s="50"/>
      <c r="U590" s="50"/>
      <c r="V590" s="56"/>
      <c r="W590" s="50"/>
      <c r="X590" s="50"/>
      <c r="Y590" s="56"/>
      <c r="Z590" s="56"/>
      <c r="AA590" s="56"/>
      <c r="AB590" s="56"/>
      <c r="AC590" s="56"/>
      <c r="AD590" s="56"/>
    </row>
    <row x14ac:dyDescent="0.25" r="591" customHeight="1" ht="18.75" hidden="1">
      <c r="A591" s="56"/>
      <c r="B591" s="56"/>
      <c r="C591" s="50" t="s">
        <v>16</v>
      </c>
      <c r="D591" s="50"/>
      <c r="E591" s="50"/>
      <c r="F591" s="50" t="s">
        <v>2015</v>
      </c>
      <c r="G591" s="55">
        <v>10000000</v>
      </c>
      <c r="H591" s="55"/>
      <c r="I591" s="55"/>
      <c r="J591" s="51">
        <v>800000</v>
      </c>
      <c r="K591" s="51"/>
      <c r="L591" s="52">
        <v>46034</v>
      </c>
      <c r="M591" s="53">
        <v>45973</v>
      </c>
      <c r="N591" s="50" t="s">
        <v>205</v>
      </c>
      <c r="O591" s="50" t="s">
        <v>2016</v>
      </c>
      <c r="P591" s="50" t="s">
        <v>2015</v>
      </c>
      <c r="Q591" s="55" t="s">
        <v>2017</v>
      </c>
      <c r="R591" s="55" t="s">
        <v>2016</v>
      </c>
      <c r="S591" s="53">
        <v>47068</v>
      </c>
      <c r="T591" s="50"/>
      <c r="U591" s="50"/>
      <c r="V591" s="56"/>
      <c r="W591" s="50"/>
      <c r="X591" s="50"/>
      <c r="Y591" s="56"/>
      <c r="Z591" s="56"/>
      <c r="AA591" s="56"/>
      <c r="AB591" s="56"/>
      <c r="AC591" s="56"/>
      <c r="AD591" s="56"/>
    </row>
    <row x14ac:dyDescent="0.25" r="592" customHeight="1" ht="18.75" hidden="1">
      <c r="A592" s="48" t="s">
        <v>152</v>
      </c>
      <c r="B592" s="48"/>
      <c r="C592" s="50" t="s">
        <v>16</v>
      </c>
      <c r="D592" s="50" t="s">
        <v>55</v>
      </c>
      <c r="E592" s="50" t="s">
        <v>56</v>
      </c>
      <c r="F592" s="50" t="s">
        <v>2018</v>
      </c>
      <c r="G592" s="51">
        <v>10000000</v>
      </c>
      <c r="H592" s="51"/>
      <c r="I592" s="51"/>
      <c r="J592" s="51">
        <v>800000</v>
      </c>
      <c r="K592" s="51"/>
      <c r="L592" s="52">
        <v>46106</v>
      </c>
      <c r="M592" s="53">
        <f>IF(L592&gt;0,EDATE(L592,-2),"")</f>
        <v>25569.375</v>
      </c>
      <c r="N592" s="50" t="s">
        <v>580</v>
      </c>
      <c r="O592" s="50" t="s">
        <v>2019</v>
      </c>
      <c r="P592" s="54">
        <f>IF(F592&gt;0,F592,"")</f>
      </c>
      <c r="Q592" s="55">
        <v>7703242235628</v>
      </c>
      <c r="R592" s="55">
        <v>23537954</v>
      </c>
      <c r="S592" s="53">
        <f>IF(ISNUMBER(M592), EDATE(M592,36)-1, "")</f>
        <v>25569.375</v>
      </c>
      <c r="T592" s="50"/>
      <c r="U592" s="50"/>
      <c r="V592" s="56" t="s">
        <v>2020</v>
      </c>
      <c r="W592" s="50"/>
      <c r="X592" s="50"/>
      <c r="Y592" s="56"/>
      <c r="Z592" s="56"/>
      <c r="AA592" s="56"/>
      <c r="AB592" s="56"/>
      <c r="AC592" s="56"/>
      <c r="AD592" s="56"/>
    </row>
    <row x14ac:dyDescent="0.25" r="593" customHeight="1" ht="18.75">
      <c r="A593" s="56"/>
      <c r="B593" s="56"/>
      <c r="C593" s="50" t="s">
        <v>16</v>
      </c>
      <c r="D593" s="50" t="s">
        <v>88</v>
      </c>
      <c r="E593" s="50"/>
      <c r="F593" s="50" t="s">
        <v>89</v>
      </c>
      <c r="G593" s="55">
        <v>20000000</v>
      </c>
      <c r="H593" s="55"/>
      <c r="I593" s="55"/>
      <c r="J593" s="51">
        <v>1800000</v>
      </c>
      <c r="K593" s="51"/>
      <c r="L593" s="52">
        <v>46202</v>
      </c>
      <c r="M593" s="53">
        <v>46141</v>
      </c>
      <c r="N593" s="50" t="s">
        <v>217</v>
      </c>
      <c r="O593" s="50" t="s">
        <v>1867</v>
      </c>
      <c r="P593" s="50" t="s">
        <v>3312</v>
      </c>
      <c r="Q593" s="55" t="s">
        <v>1868</v>
      </c>
      <c r="R593" s="55" t="s">
        <v>1869</v>
      </c>
      <c r="S593" s="53">
        <v>47236</v>
      </c>
      <c r="T593" s="50" t="s">
        <v>90</v>
      </c>
      <c r="U593" s="50"/>
      <c r="V593" s="56"/>
      <c r="W593" s="50"/>
      <c r="X593" s="50"/>
      <c r="Y593" s="56"/>
      <c r="Z593" s="56"/>
      <c r="AA593" s="56"/>
      <c r="AB593" s="56"/>
      <c r="AC593" s="56"/>
      <c r="AD593" s="56"/>
    </row>
    <row x14ac:dyDescent="0.25" r="594" customHeight="1" ht="18.75" hidden="1">
      <c r="A594" s="56"/>
      <c r="B594" s="56"/>
      <c r="C594" s="50" t="s">
        <v>16</v>
      </c>
      <c r="D594" s="50"/>
      <c r="E594" s="50"/>
      <c r="F594" s="50" t="s">
        <v>2023</v>
      </c>
      <c r="G594" s="55">
        <v>60000000</v>
      </c>
      <c r="H594" s="55"/>
      <c r="I594" s="55"/>
      <c r="J594" s="51">
        <v>4800000</v>
      </c>
      <c r="K594" s="51"/>
      <c r="L594" s="52">
        <v>45923</v>
      </c>
      <c r="M594" s="53">
        <v>45847</v>
      </c>
      <c r="N594" s="50" t="s">
        <v>306</v>
      </c>
      <c r="O594" s="50" t="s">
        <v>2024</v>
      </c>
      <c r="P594" s="50" t="s">
        <v>2023</v>
      </c>
      <c r="Q594" s="55" t="s">
        <v>2025</v>
      </c>
      <c r="R594" s="55" t="s">
        <v>2026</v>
      </c>
      <c r="S594" s="53">
        <v>46942</v>
      </c>
      <c r="T594" s="50"/>
      <c r="U594" s="50"/>
      <c r="V594" s="56"/>
      <c r="W594" s="50"/>
      <c r="X594" s="50"/>
      <c r="Y594" s="56"/>
      <c r="Z594" s="56"/>
      <c r="AA594" s="56"/>
      <c r="AB594" s="56"/>
      <c r="AC594" s="56"/>
      <c r="AD594" s="56"/>
    </row>
    <row x14ac:dyDescent="0.25" r="595" customHeight="1" ht="18.75" hidden="1">
      <c r="A595" s="48" t="s">
        <v>275</v>
      </c>
      <c r="B595" s="48"/>
      <c r="C595" s="50" t="s">
        <v>113</v>
      </c>
      <c r="D595" s="50"/>
      <c r="E595" s="50"/>
      <c r="F595" s="50" t="s">
        <v>2023</v>
      </c>
      <c r="G595" s="51">
        <v>30000000</v>
      </c>
      <c r="H595" s="51"/>
      <c r="I595" s="51"/>
      <c r="J595" s="51">
        <v>1500000</v>
      </c>
      <c r="K595" s="51"/>
      <c r="L595" s="52">
        <v>45626</v>
      </c>
      <c r="M595" s="53">
        <f>IF(L595&gt;0,EDATE(L595,-2),"")</f>
        <v>25569.375</v>
      </c>
      <c r="N595" s="50" t="s">
        <v>217</v>
      </c>
      <c r="O595" s="50" t="s">
        <v>2027</v>
      </c>
      <c r="P595" s="54">
        <f>IF(F595&gt;0,F595,"")</f>
      </c>
      <c r="Q595" s="55" t="s">
        <v>2025</v>
      </c>
      <c r="R595" s="55">
        <v>77884625</v>
      </c>
      <c r="S595" s="53">
        <f>IF(ISNUMBER(M595), EDATE(M595,36)-1, "")</f>
        <v>25569.375</v>
      </c>
      <c r="T595" s="50"/>
      <c r="U595" s="50"/>
      <c r="V595" s="48" t="s">
        <v>2028</v>
      </c>
      <c r="W595" s="50"/>
      <c r="X595" s="50"/>
      <c r="Y595" s="56"/>
      <c r="Z595" s="56"/>
      <c r="AA595" s="56"/>
      <c r="AB595" s="56"/>
      <c r="AC595" s="56"/>
      <c r="AD595" s="56"/>
    </row>
    <row x14ac:dyDescent="0.25" r="596" customHeight="1" ht="18.75" hidden="1">
      <c r="A596" s="71" t="s">
        <v>2029</v>
      </c>
      <c r="B596" s="71"/>
      <c r="C596" s="72" t="s">
        <v>1527</v>
      </c>
      <c r="D596" s="72"/>
      <c r="E596" s="72"/>
      <c r="F596" s="72" t="s">
        <v>92</v>
      </c>
      <c r="G596" s="73">
        <v>30000000</v>
      </c>
      <c r="H596" s="73"/>
      <c r="I596" s="73"/>
      <c r="J596" s="74"/>
      <c r="K596" s="74"/>
      <c r="L596" s="75">
        <v>45775</v>
      </c>
      <c r="M596" s="76">
        <v>45716</v>
      </c>
      <c r="N596" s="72" t="s">
        <v>217</v>
      </c>
      <c r="O596" s="72" t="s">
        <v>2030</v>
      </c>
      <c r="P596" s="72" t="s">
        <v>92</v>
      </c>
      <c r="Q596" s="73" t="s">
        <v>2031</v>
      </c>
      <c r="R596" s="73" t="s">
        <v>2032</v>
      </c>
      <c r="S596" s="76">
        <v>46810</v>
      </c>
      <c r="T596" s="72"/>
      <c r="U596" s="72"/>
      <c r="V596" s="71"/>
      <c r="W596" s="50"/>
      <c r="X596" s="50"/>
      <c r="Y596" s="56"/>
      <c r="Z596" s="56"/>
      <c r="AA596" s="56"/>
      <c r="AB596" s="56"/>
      <c r="AC596" s="56"/>
      <c r="AD596" s="56"/>
    </row>
    <row x14ac:dyDescent="0.25" r="597" customHeight="1" ht="18.75" hidden="1">
      <c r="A597" s="56"/>
      <c r="B597" s="56"/>
      <c r="C597" s="50" t="s">
        <v>2033</v>
      </c>
      <c r="D597" s="50"/>
      <c r="E597" s="50"/>
      <c r="F597" s="50" t="s">
        <v>92</v>
      </c>
      <c r="G597" s="55">
        <v>60000000</v>
      </c>
      <c r="H597" s="55"/>
      <c r="I597" s="55"/>
      <c r="J597" s="51">
        <v>2400000</v>
      </c>
      <c r="K597" s="51"/>
      <c r="L597" s="52">
        <v>45778</v>
      </c>
      <c r="M597" s="53">
        <v>45717</v>
      </c>
      <c r="N597" s="50" t="s">
        <v>217</v>
      </c>
      <c r="O597" s="50" t="s">
        <v>2030</v>
      </c>
      <c r="P597" s="50" t="s">
        <v>92</v>
      </c>
      <c r="Q597" s="55" t="s">
        <v>2031</v>
      </c>
      <c r="R597" s="55" t="s">
        <v>2032</v>
      </c>
      <c r="S597" s="53">
        <v>46812</v>
      </c>
      <c r="T597" s="50"/>
      <c r="U597" s="50"/>
      <c r="V597" s="56"/>
      <c r="W597" s="50"/>
      <c r="X597" s="50"/>
      <c r="Y597" s="56"/>
      <c r="Z597" s="56"/>
      <c r="AA597" s="56"/>
      <c r="AB597" s="56"/>
      <c r="AC597" s="56"/>
      <c r="AD597" s="56"/>
    </row>
    <row x14ac:dyDescent="0.25" r="598" customHeight="1" ht="18.75" hidden="1">
      <c r="A598" s="56"/>
      <c r="B598" s="56"/>
      <c r="C598" s="50" t="s">
        <v>16</v>
      </c>
      <c r="D598" s="50"/>
      <c r="E598" s="50"/>
      <c r="F598" s="50" t="s">
        <v>92</v>
      </c>
      <c r="G598" s="55">
        <v>30000000</v>
      </c>
      <c r="H598" s="55"/>
      <c r="I598" s="55"/>
      <c r="J598" s="51">
        <v>2400000</v>
      </c>
      <c r="K598" s="51"/>
      <c r="L598" s="52">
        <v>45881</v>
      </c>
      <c r="M598" s="53">
        <v>45820</v>
      </c>
      <c r="N598" s="50" t="s">
        <v>217</v>
      </c>
      <c r="O598" s="50" t="s">
        <v>2030</v>
      </c>
      <c r="P598" s="50" t="s">
        <v>92</v>
      </c>
      <c r="Q598" s="55" t="s">
        <v>2031</v>
      </c>
      <c r="R598" s="55" t="s">
        <v>2032</v>
      </c>
      <c r="S598" s="53">
        <v>46915</v>
      </c>
      <c r="T598" s="50"/>
      <c r="U598" s="50"/>
      <c r="V598" s="56"/>
      <c r="W598" s="50"/>
      <c r="X598" s="50"/>
      <c r="Y598" s="56"/>
      <c r="Z598" s="56"/>
      <c r="AA598" s="56"/>
      <c r="AB598" s="56"/>
      <c r="AC598" s="56"/>
      <c r="AD598" s="56"/>
    </row>
    <row x14ac:dyDescent="0.25" r="599" customHeight="1" ht="18.75">
      <c r="A599" s="56"/>
      <c r="B599" s="56"/>
      <c r="C599" s="50" t="s">
        <v>16</v>
      </c>
      <c r="D599" s="50" t="s">
        <v>143</v>
      </c>
      <c r="E599" s="50" t="s">
        <v>14</v>
      </c>
      <c r="F599" s="50" t="s">
        <v>1964</v>
      </c>
      <c r="G599" s="55">
        <v>10000000</v>
      </c>
      <c r="H599" s="55"/>
      <c r="I599" s="55"/>
      <c r="J599" s="51">
        <v>1200000</v>
      </c>
      <c r="K599" s="51"/>
      <c r="L599" s="52">
        <v>46202</v>
      </c>
      <c r="M599" s="53">
        <v>46141</v>
      </c>
      <c r="N599" s="50" t="s">
        <v>1688</v>
      </c>
      <c r="O599" s="50" t="s">
        <v>1965</v>
      </c>
      <c r="P599" s="50" t="s">
        <v>1964</v>
      </c>
      <c r="Q599" s="55" t="s">
        <v>1966</v>
      </c>
      <c r="R599" s="55" t="s">
        <v>1967</v>
      </c>
      <c r="S599" s="53">
        <v>47236</v>
      </c>
      <c r="T599" s="50"/>
      <c r="U599" s="50"/>
      <c r="V599" s="56"/>
      <c r="W599" s="50"/>
      <c r="X599" s="50"/>
      <c r="Y599" s="56"/>
      <c r="Z599" s="56"/>
      <c r="AA599" s="56"/>
      <c r="AB599" s="56"/>
      <c r="AC599" s="56"/>
      <c r="AD599" s="56"/>
    </row>
    <row x14ac:dyDescent="0.25" r="600" customHeight="1" ht="18.75" hidden="1">
      <c r="A600" s="71"/>
      <c r="B600" s="71"/>
      <c r="C600" s="72" t="s">
        <v>16</v>
      </c>
      <c r="D600" s="72"/>
      <c r="E600" s="72"/>
      <c r="F600" s="72" t="s">
        <v>2036</v>
      </c>
      <c r="G600" s="73">
        <v>10000000</v>
      </c>
      <c r="H600" s="73"/>
      <c r="I600" s="73"/>
      <c r="J600" s="74"/>
      <c r="K600" s="74"/>
      <c r="L600" s="75">
        <v>46168</v>
      </c>
      <c r="M600" s="76">
        <v>46107</v>
      </c>
      <c r="N600" s="72" t="s">
        <v>168</v>
      </c>
      <c r="O600" s="72" t="s">
        <v>2037</v>
      </c>
      <c r="P600" s="72" t="s">
        <v>2036</v>
      </c>
      <c r="Q600" s="73" t="s">
        <v>2038</v>
      </c>
      <c r="R600" s="73" t="s">
        <v>3313</v>
      </c>
      <c r="S600" s="76">
        <v>47202</v>
      </c>
      <c r="T600" s="72" t="s">
        <v>3314</v>
      </c>
      <c r="U600" s="72" t="s">
        <v>179</v>
      </c>
      <c r="V600" s="71"/>
      <c r="W600" s="50"/>
      <c r="X600" s="50"/>
      <c r="Y600" s="56"/>
      <c r="Z600" s="56"/>
      <c r="AA600" s="56"/>
      <c r="AB600" s="56"/>
      <c r="AC600" s="56"/>
      <c r="AD600" s="56"/>
    </row>
    <row x14ac:dyDescent="0.25" r="601" customHeight="1" ht="18.75">
      <c r="A601" s="56"/>
      <c r="B601" s="56"/>
      <c r="C601" s="49" t="s">
        <v>16</v>
      </c>
      <c r="D601" s="50" t="s">
        <v>153</v>
      </c>
      <c r="E601" s="50" t="s">
        <v>318</v>
      </c>
      <c r="F601" s="50" t="s">
        <v>2011</v>
      </c>
      <c r="G601" s="51">
        <v>20000000</v>
      </c>
      <c r="H601" s="51"/>
      <c r="I601" s="51"/>
      <c r="J601" s="87">
        <f>IF(G601&gt;0,_xludf.IFS(G601=10000000,1200000,G601=20000000,1800000,G601=30000000,2400000,G601=60000000,4000000),"")</f>
      </c>
      <c r="K601" s="51"/>
      <c r="L601" s="52">
        <v>46202</v>
      </c>
      <c r="M601" s="53">
        <f>IF(L601&gt;0,EDATE(L601,-2),"")</f>
        <v>25569.375</v>
      </c>
      <c r="N601" s="50" t="s">
        <v>168</v>
      </c>
      <c r="O601" s="50" t="s">
        <v>2012</v>
      </c>
      <c r="P601" s="54">
        <f>IF(F601&gt;0,F601,"")</f>
      </c>
      <c r="Q601" s="55">
        <v>6304152332828</v>
      </c>
      <c r="R601" s="55">
        <v>22491891</v>
      </c>
      <c r="S601" s="53">
        <f>IF(ISNUMBER(M601), EDATE(M601,36)-1, "")</f>
        <v>25569.375</v>
      </c>
      <c r="T601" s="50"/>
      <c r="U601" s="50"/>
      <c r="V601" s="56"/>
      <c r="W601" s="50"/>
      <c r="X601" s="50"/>
      <c r="Y601" s="56"/>
      <c r="Z601" s="56"/>
      <c r="AA601" s="56"/>
      <c r="AB601" s="56"/>
      <c r="AC601" s="56"/>
      <c r="AD601" s="56"/>
    </row>
    <row x14ac:dyDescent="0.25" r="602" customHeight="1" ht="18.75" hidden="1">
      <c r="A602" s="63"/>
      <c r="B602" s="63"/>
      <c r="C602" s="49" t="s">
        <v>16</v>
      </c>
      <c r="D602" s="49" t="s">
        <v>153</v>
      </c>
      <c r="E602" s="49" t="s">
        <v>276</v>
      </c>
      <c r="F602" s="49" t="s">
        <v>2036</v>
      </c>
      <c r="G602" s="64">
        <v>10000000</v>
      </c>
      <c r="H602" s="64"/>
      <c r="I602" s="64"/>
      <c r="J602" s="65">
        <f>IF(G602&gt;0,_xludf.IFS(G602=10000000,800000,G602=20000000,1528000,G602=30000000,2028000,G602=60000000,4056000),"")</f>
      </c>
      <c r="K602" s="64"/>
      <c r="L602" s="66">
        <v>46168</v>
      </c>
      <c r="M602" s="67">
        <f>IF(L602&gt;0,EDATE(L602,-2),"")</f>
        <v>25569.375</v>
      </c>
      <c r="N602" s="49" t="s">
        <v>168</v>
      </c>
      <c r="O602" s="49" t="s">
        <v>2037</v>
      </c>
      <c r="P602" s="68">
        <f>IF(F602&gt;0,F602,"")</f>
      </c>
      <c r="Q602" s="69" t="s">
        <v>2038</v>
      </c>
      <c r="R602" s="69">
        <v>63437949</v>
      </c>
      <c r="S602" s="67">
        <f>IF(ISNUMBER(M602), EDATE(M602,36)-1, "")</f>
        <v>25569.375</v>
      </c>
      <c r="T602" s="49"/>
      <c r="U602" s="49"/>
      <c r="V602" s="63" t="s">
        <v>708</v>
      </c>
      <c r="W602" s="50"/>
      <c r="X602" s="50"/>
      <c r="Y602" s="56"/>
      <c r="Z602" s="56"/>
      <c r="AA602" s="56"/>
      <c r="AB602" s="56"/>
      <c r="AC602" s="56"/>
      <c r="AD602" s="56"/>
    </row>
    <row x14ac:dyDescent="0.25" r="603" customHeight="1" ht="18.75" hidden="1">
      <c r="A603" s="56"/>
      <c r="B603" s="56"/>
      <c r="C603" s="50" t="s">
        <v>16</v>
      </c>
      <c r="D603" s="50"/>
      <c r="E603" s="50"/>
      <c r="F603" s="50" t="s">
        <v>2040</v>
      </c>
      <c r="G603" s="55">
        <v>60000000</v>
      </c>
      <c r="H603" s="55"/>
      <c r="I603" s="55"/>
      <c r="J603" s="51">
        <v>4800000</v>
      </c>
      <c r="K603" s="51"/>
      <c r="L603" s="52">
        <v>46064</v>
      </c>
      <c r="M603" s="53">
        <v>46002</v>
      </c>
      <c r="N603" s="50" t="s">
        <v>168</v>
      </c>
      <c r="O603" s="50" t="s">
        <v>2041</v>
      </c>
      <c r="P603" s="50" t="s">
        <v>3315</v>
      </c>
      <c r="Q603" s="55" t="s">
        <v>2042</v>
      </c>
      <c r="R603" s="55" t="s">
        <v>2043</v>
      </c>
      <c r="S603" s="53">
        <v>47097</v>
      </c>
      <c r="T603" s="50"/>
      <c r="U603" s="50"/>
      <c r="V603" s="56"/>
      <c r="W603" s="50"/>
      <c r="X603" s="50"/>
      <c r="Y603" s="56"/>
      <c r="Z603" s="56"/>
      <c r="AA603" s="56"/>
      <c r="AB603" s="56"/>
      <c r="AC603" s="56"/>
      <c r="AD603" s="56"/>
    </row>
    <row x14ac:dyDescent="0.25" r="604" customHeight="1" ht="18.75" hidden="1">
      <c r="A604" s="56"/>
      <c r="B604" s="56"/>
      <c r="C604" s="50" t="s">
        <v>16</v>
      </c>
      <c r="D604" s="50"/>
      <c r="E604" s="50"/>
      <c r="F604" s="50" t="s">
        <v>93</v>
      </c>
      <c r="G604" s="55">
        <v>10000000</v>
      </c>
      <c r="H604" s="55"/>
      <c r="I604" s="55"/>
      <c r="J604" s="51">
        <v>800000</v>
      </c>
      <c r="K604" s="51"/>
      <c r="L604" s="52">
        <v>46162</v>
      </c>
      <c r="M604" s="53">
        <v>46101</v>
      </c>
      <c r="N604" s="50" t="s">
        <v>168</v>
      </c>
      <c r="O604" s="50" t="s">
        <v>2044</v>
      </c>
      <c r="P604" s="50" t="s">
        <v>93</v>
      </c>
      <c r="Q604" s="55" t="s">
        <v>2045</v>
      </c>
      <c r="R604" s="55" t="s">
        <v>2046</v>
      </c>
      <c r="S604" s="53">
        <v>47196</v>
      </c>
      <c r="T604" s="50"/>
      <c r="U604" s="50" t="s">
        <v>166</v>
      </c>
      <c r="V604" s="56"/>
      <c r="W604" s="50"/>
      <c r="X604" s="50"/>
      <c r="Y604" s="56"/>
      <c r="Z604" s="56"/>
      <c r="AA604" s="56"/>
      <c r="AB604" s="56"/>
      <c r="AC604" s="56"/>
      <c r="AD604" s="56"/>
    </row>
    <row x14ac:dyDescent="0.25" r="605" customHeight="1" ht="18.75">
      <c r="A605" s="56"/>
      <c r="B605" s="56"/>
      <c r="C605" s="50" t="s">
        <v>16</v>
      </c>
      <c r="D605" s="50" t="s">
        <v>143</v>
      </c>
      <c r="E605" s="50" t="s">
        <v>14</v>
      </c>
      <c r="F605" s="50" t="s">
        <v>2305</v>
      </c>
      <c r="G605" s="55">
        <v>30000000</v>
      </c>
      <c r="H605" s="55"/>
      <c r="I605" s="55"/>
      <c r="J605" s="51">
        <v>2400000</v>
      </c>
      <c r="K605" s="51"/>
      <c r="L605" s="52">
        <v>46201</v>
      </c>
      <c r="M605" s="53">
        <v>46141</v>
      </c>
      <c r="N605" s="50" t="s">
        <v>155</v>
      </c>
      <c r="O605" s="50" t="s">
        <v>2306</v>
      </c>
      <c r="P605" s="50" t="s">
        <v>2305</v>
      </c>
      <c r="Q605" s="55" t="s">
        <v>2307</v>
      </c>
      <c r="R605" s="55" t="s">
        <v>2308</v>
      </c>
      <c r="S605" s="53">
        <v>47215</v>
      </c>
      <c r="T605" s="50"/>
      <c r="U605" s="50"/>
      <c r="V605" s="56"/>
      <c r="W605" s="50"/>
      <c r="X605" s="50"/>
      <c r="Y605" s="56"/>
      <c r="Z605" s="56"/>
      <c r="AA605" s="56"/>
      <c r="AB605" s="56"/>
      <c r="AC605" s="56"/>
      <c r="AD605" s="56"/>
    </row>
    <row x14ac:dyDescent="0.25" r="606" customHeight="1" ht="18.75">
      <c r="A606" s="56"/>
      <c r="B606" s="56"/>
      <c r="C606" s="50" t="s">
        <v>16</v>
      </c>
      <c r="D606" s="50" t="s">
        <v>143</v>
      </c>
      <c r="E606" s="50" t="s">
        <v>14</v>
      </c>
      <c r="F606" s="50" t="s">
        <v>2545</v>
      </c>
      <c r="G606" s="55">
        <v>10000000</v>
      </c>
      <c r="H606" s="55"/>
      <c r="I606" s="55"/>
      <c r="J606" s="51">
        <v>1200000</v>
      </c>
      <c r="K606" s="51"/>
      <c r="L606" s="52">
        <v>46202</v>
      </c>
      <c r="M606" s="53">
        <v>46141</v>
      </c>
      <c r="N606" s="50" t="s">
        <v>1688</v>
      </c>
      <c r="O606" s="50" t="s">
        <v>2546</v>
      </c>
      <c r="P606" s="50" t="s">
        <v>2545</v>
      </c>
      <c r="Q606" s="55" t="s">
        <v>2547</v>
      </c>
      <c r="R606" s="55" t="s">
        <v>2548</v>
      </c>
      <c r="S606" s="53">
        <v>47236</v>
      </c>
      <c r="T606" s="50"/>
      <c r="U606" s="50"/>
      <c r="V606" s="56"/>
      <c r="W606" s="50"/>
      <c r="X606" s="50"/>
      <c r="Y606" s="56"/>
      <c r="Z606" s="56"/>
      <c r="AA606" s="56"/>
      <c r="AB606" s="56"/>
      <c r="AC606" s="56"/>
      <c r="AD606" s="56"/>
    </row>
    <row x14ac:dyDescent="0.25" r="607" customHeight="1" ht="18.75" hidden="1">
      <c r="A607" s="56"/>
      <c r="B607" s="56"/>
      <c r="C607" s="50" t="s">
        <v>16</v>
      </c>
      <c r="D607" s="50"/>
      <c r="E607" s="50" t="s">
        <v>29</v>
      </c>
      <c r="F607" s="50" t="s">
        <v>2047</v>
      </c>
      <c r="G607" s="55">
        <v>10000000</v>
      </c>
      <c r="H607" s="55"/>
      <c r="I607" s="55"/>
      <c r="J607" s="51">
        <v>800000</v>
      </c>
      <c r="K607" s="51"/>
      <c r="L607" s="52">
        <v>46118</v>
      </c>
      <c r="M607" s="53">
        <v>46059</v>
      </c>
      <c r="N607" s="50" t="s">
        <v>306</v>
      </c>
      <c r="O607" s="50" t="s">
        <v>2048</v>
      </c>
      <c r="P607" s="50" t="s">
        <v>2047</v>
      </c>
      <c r="Q607" s="55" t="s">
        <v>2049</v>
      </c>
      <c r="R607" s="55" t="s">
        <v>2050</v>
      </c>
      <c r="S607" s="53">
        <v>47154</v>
      </c>
      <c r="T607" s="50"/>
      <c r="U607" s="50" t="s">
        <v>166</v>
      </c>
      <c r="V607" s="56"/>
      <c r="W607" s="50"/>
      <c r="X607" s="50"/>
      <c r="Y607" s="56"/>
      <c r="Z607" s="56"/>
      <c r="AA607" s="56"/>
      <c r="AB607" s="56"/>
      <c r="AC607" s="56"/>
      <c r="AD607" s="56"/>
    </row>
    <row x14ac:dyDescent="0.25" r="608" customHeight="1" ht="18.75">
      <c r="A608" s="63" t="s">
        <v>275</v>
      </c>
      <c r="B608" s="63"/>
      <c r="C608" s="49" t="s">
        <v>16</v>
      </c>
      <c r="D608" s="49" t="s">
        <v>454</v>
      </c>
      <c r="E608" s="49" t="s">
        <v>455</v>
      </c>
      <c r="F608" s="49" t="s">
        <v>524</v>
      </c>
      <c r="G608" s="64">
        <v>10000000</v>
      </c>
      <c r="H608" s="64"/>
      <c r="I608" s="64"/>
      <c r="J608" s="64">
        <v>1200000</v>
      </c>
      <c r="K608" s="64"/>
      <c r="L608" s="66">
        <v>46203</v>
      </c>
      <c r="M608" s="67">
        <f>IF(L608&gt;0,EDATE(L608,-2),"")</f>
        <v>25569.375</v>
      </c>
      <c r="N608" s="49" t="s">
        <v>379</v>
      </c>
      <c r="O608" s="49" t="s">
        <v>525</v>
      </c>
      <c r="P608" s="49" t="s">
        <v>526</v>
      </c>
      <c r="Q608" s="69" t="s">
        <v>527</v>
      </c>
      <c r="R608" s="69">
        <v>51711545</v>
      </c>
      <c r="S608" s="67">
        <f>IF(ISNUMBER(M608), EDATE(M608,36)-1, "")</f>
        <v>25569.375</v>
      </c>
      <c r="T608" s="49"/>
      <c r="U608" s="49"/>
      <c r="V608" s="63"/>
      <c r="W608" s="50"/>
      <c r="X608" s="50"/>
      <c r="Y608" s="56"/>
      <c r="Z608" s="56"/>
      <c r="AA608" s="56"/>
      <c r="AB608" s="56"/>
      <c r="AC608" s="56"/>
      <c r="AD608" s="56"/>
    </row>
    <row x14ac:dyDescent="0.25" r="609" customHeight="1" ht="18.75">
      <c r="A609" s="63" t="s">
        <v>252</v>
      </c>
      <c r="B609" s="63"/>
      <c r="C609" s="49" t="s">
        <v>16</v>
      </c>
      <c r="D609" s="49" t="s">
        <v>454</v>
      </c>
      <c r="E609" s="49" t="s">
        <v>455</v>
      </c>
      <c r="F609" s="49" t="s">
        <v>524</v>
      </c>
      <c r="G609" s="64">
        <v>10000000</v>
      </c>
      <c r="H609" s="64"/>
      <c r="I609" s="64"/>
      <c r="J609" s="64">
        <v>1200000</v>
      </c>
      <c r="K609" s="64"/>
      <c r="L609" s="66">
        <v>46203</v>
      </c>
      <c r="M609" s="67">
        <f>IF(L609&gt;0,EDATE(L609,-2),"")</f>
        <v>25569.375</v>
      </c>
      <c r="N609" s="49" t="s">
        <v>379</v>
      </c>
      <c r="O609" s="49" t="s">
        <v>525</v>
      </c>
      <c r="P609" s="49" t="s">
        <v>526</v>
      </c>
      <c r="Q609" s="69" t="s">
        <v>527</v>
      </c>
      <c r="R609" s="69">
        <v>51711545</v>
      </c>
      <c r="S609" s="67">
        <f>IF(ISNUMBER(M609), EDATE(M609,36)-1, "")</f>
        <v>25569.375</v>
      </c>
      <c r="T609" s="49"/>
      <c r="U609" s="49"/>
      <c r="V609" s="63"/>
      <c r="W609" s="50"/>
      <c r="X609" s="50"/>
      <c r="Y609" s="56"/>
      <c r="Z609" s="56"/>
      <c r="AA609" s="56"/>
      <c r="AB609" s="56"/>
      <c r="AC609" s="56"/>
      <c r="AD609" s="56"/>
    </row>
    <row x14ac:dyDescent="0.25" r="610" customHeight="1" ht="18.75">
      <c r="A610" s="63" t="s">
        <v>152</v>
      </c>
      <c r="B610" s="63"/>
      <c r="C610" s="49" t="s">
        <v>16</v>
      </c>
      <c r="D610" s="49" t="s">
        <v>454</v>
      </c>
      <c r="E610" s="49" t="s">
        <v>455</v>
      </c>
      <c r="F610" s="49" t="s">
        <v>755</v>
      </c>
      <c r="G610" s="64">
        <v>20000000</v>
      </c>
      <c r="H610" s="64"/>
      <c r="I610" s="64"/>
      <c r="J610" s="64">
        <v>1800000</v>
      </c>
      <c r="K610" s="64"/>
      <c r="L610" s="66">
        <v>46203</v>
      </c>
      <c r="M610" s="67">
        <f>IF(L610&gt;0,EDATE(L610,-2),"")</f>
        <v>25569.375</v>
      </c>
      <c r="N610" s="49" t="s">
        <v>155</v>
      </c>
      <c r="O610" s="49" t="s">
        <v>756</v>
      </c>
      <c r="P610" s="68">
        <f>IF(F610&gt;0,F610,"")</f>
      </c>
      <c r="Q610" s="69" t="s">
        <v>757</v>
      </c>
      <c r="R610" s="69">
        <v>51711545</v>
      </c>
      <c r="S610" s="67">
        <f>IF(ISNUMBER(M610), EDATE(M610,36)-1, "")</f>
        <v>25569.375</v>
      </c>
      <c r="T610" s="49"/>
      <c r="U610" s="49"/>
      <c r="V610" s="63" t="s">
        <v>758</v>
      </c>
      <c r="W610" s="50"/>
      <c r="X610" s="50"/>
      <c r="Y610" s="56"/>
      <c r="Z610" s="56"/>
      <c r="AA610" s="56"/>
      <c r="AB610" s="56"/>
      <c r="AC610" s="56"/>
      <c r="AD610" s="56"/>
    </row>
    <row x14ac:dyDescent="0.25" r="611" customHeight="1" ht="18.75" hidden="1">
      <c r="A611" s="56"/>
      <c r="B611" s="56"/>
      <c r="C611" s="50" t="s">
        <v>16</v>
      </c>
      <c r="D611" s="50" t="s">
        <v>454</v>
      </c>
      <c r="E611" s="50"/>
      <c r="F611" s="50" t="s">
        <v>2066</v>
      </c>
      <c r="G611" s="55">
        <v>10000000</v>
      </c>
      <c r="H611" s="55"/>
      <c r="I611" s="55"/>
      <c r="J611" s="51">
        <v>800000</v>
      </c>
      <c r="K611" s="51"/>
      <c r="L611" s="52">
        <v>46154</v>
      </c>
      <c r="M611" s="53">
        <v>46093</v>
      </c>
      <c r="N611" s="50" t="s">
        <v>239</v>
      </c>
      <c r="O611" s="50" t="s">
        <v>2067</v>
      </c>
      <c r="P611" s="50" t="s">
        <v>2066</v>
      </c>
      <c r="Q611" s="55" t="s">
        <v>2068</v>
      </c>
      <c r="R611" s="55" t="s">
        <v>2069</v>
      </c>
      <c r="S611" s="53">
        <v>47188</v>
      </c>
      <c r="T611" s="50"/>
      <c r="U611" s="50"/>
      <c r="V611" s="56"/>
      <c r="W611" s="50"/>
      <c r="X611" s="50"/>
      <c r="Y611" s="56"/>
      <c r="Z611" s="56"/>
      <c r="AA611" s="56"/>
      <c r="AB611" s="56"/>
      <c r="AC611" s="56"/>
      <c r="AD611" s="56"/>
    </row>
    <row x14ac:dyDescent="0.25" r="612" customHeight="1" ht="18.75">
      <c r="A612" s="63"/>
      <c r="B612" s="63"/>
      <c r="C612" s="49" t="s">
        <v>16</v>
      </c>
      <c r="D612" s="49"/>
      <c r="E612" s="49" t="s">
        <v>357</v>
      </c>
      <c r="F612" s="49" t="s">
        <v>1138</v>
      </c>
      <c r="G612" s="64">
        <v>10000000</v>
      </c>
      <c r="H612" s="64"/>
      <c r="I612" s="64"/>
      <c r="J612" s="64">
        <v>800000</v>
      </c>
      <c r="K612" s="64"/>
      <c r="L612" s="66">
        <v>46203</v>
      </c>
      <c r="M612" s="67">
        <f>IF(L612&gt;0,EDATE(L612,-2),"")</f>
        <v>25569.375</v>
      </c>
      <c r="N612" s="49" t="s">
        <v>217</v>
      </c>
      <c r="O612" s="49" t="s">
        <v>1144</v>
      </c>
      <c r="P612" s="68">
        <f>IF(F612&gt;0,F612,"")</f>
      </c>
      <c r="Q612" s="69" t="s">
        <v>1141</v>
      </c>
      <c r="R612" s="69">
        <v>91780750</v>
      </c>
      <c r="S612" s="67">
        <f>IF(ISNUMBER(M612), EDATE(M612,36)-1, "")</f>
        <v>25569.375</v>
      </c>
      <c r="T612" s="49"/>
      <c r="U612" s="49"/>
      <c r="V612" s="63"/>
      <c r="W612" s="50"/>
      <c r="X612" s="50"/>
      <c r="Y612" s="56"/>
      <c r="Z612" s="56"/>
      <c r="AA612" s="56"/>
      <c r="AB612" s="56"/>
      <c r="AC612" s="56"/>
      <c r="AD612" s="56"/>
    </row>
    <row x14ac:dyDescent="0.25" r="613" customHeight="1" ht="18.75" hidden="1">
      <c r="A613" s="56"/>
      <c r="B613" s="56"/>
      <c r="C613" s="50" t="s">
        <v>16</v>
      </c>
      <c r="D613" s="50"/>
      <c r="E613" s="50"/>
      <c r="F613" s="50" t="s">
        <v>2076</v>
      </c>
      <c r="G613" s="55">
        <v>30000000</v>
      </c>
      <c r="H613" s="55"/>
      <c r="I613" s="55"/>
      <c r="J613" s="51">
        <v>2028000</v>
      </c>
      <c r="K613" s="51"/>
      <c r="L613" s="52">
        <v>46166</v>
      </c>
      <c r="M613" s="53">
        <v>46105</v>
      </c>
      <c r="N613" s="50" t="s">
        <v>217</v>
      </c>
      <c r="O613" s="50" t="s">
        <v>2077</v>
      </c>
      <c r="P613" s="50" t="s">
        <v>2076</v>
      </c>
      <c r="Q613" s="55" t="s">
        <v>3316</v>
      </c>
      <c r="R613" s="55" t="s">
        <v>3317</v>
      </c>
      <c r="S613" s="53">
        <v>47200</v>
      </c>
      <c r="T613" s="50" t="s">
        <v>3318</v>
      </c>
      <c r="U613" s="50" t="s">
        <v>166</v>
      </c>
      <c r="V613" s="48" t="s">
        <v>656</v>
      </c>
      <c r="W613" s="50"/>
      <c r="X613" s="50"/>
      <c r="Y613" s="56"/>
      <c r="Z613" s="56"/>
      <c r="AA613" s="56"/>
      <c r="AB613" s="56"/>
      <c r="AC613" s="56"/>
      <c r="AD613" s="56"/>
    </row>
    <row x14ac:dyDescent="0.25" r="614" customHeight="1" ht="18.75" hidden="1">
      <c r="A614" s="56"/>
      <c r="B614" s="56"/>
      <c r="C614" s="50" t="s">
        <v>16</v>
      </c>
      <c r="D614" s="50" t="s">
        <v>2074</v>
      </c>
      <c r="E614" s="50" t="s">
        <v>2075</v>
      </c>
      <c r="F614" s="50" t="s">
        <v>2076</v>
      </c>
      <c r="G614" s="51">
        <v>30000000</v>
      </c>
      <c r="H614" s="51"/>
      <c r="I614" s="51"/>
      <c r="J614" s="51">
        <v>2028000</v>
      </c>
      <c r="K614" s="51"/>
      <c r="L614" s="52">
        <v>46166</v>
      </c>
      <c r="M614" s="53">
        <f>IF(L614&gt;0,EDATE(L614,-2),"")</f>
        <v>25569.375</v>
      </c>
      <c r="N614" s="50" t="s">
        <v>217</v>
      </c>
      <c r="O614" s="50" t="s">
        <v>2077</v>
      </c>
      <c r="P614" s="54">
        <f>IF(F614&gt;0,F614,"")</f>
      </c>
      <c r="Q614" s="55">
        <v>7507092229919</v>
      </c>
      <c r="R614" s="55">
        <v>65410410</v>
      </c>
      <c r="S614" s="53">
        <f>IF(ISNUMBER(M614), EDATE(M614,36)-1, "")</f>
        <v>25569.375</v>
      </c>
      <c r="T614" s="50"/>
      <c r="U614" s="50"/>
      <c r="V614" s="56"/>
      <c r="W614" s="50"/>
      <c r="X614" s="50"/>
      <c r="Y614" s="56"/>
      <c r="Z614" s="56"/>
      <c r="AA614" s="56"/>
      <c r="AB614" s="56"/>
      <c r="AC614" s="56"/>
      <c r="AD614" s="56"/>
    </row>
    <row x14ac:dyDescent="0.25" r="615" customHeight="1" ht="18.75" hidden="1">
      <c r="A615" s="56"/>
      <c r="B615" s="56"/>
      <c r="C615" s="50" t="s">
        <v>16</v>
      </c>
      <c r="D615" s="50"/>
      <c r="E615" s="50" t="s">
        <v>2078</v>
      </c>
      <c r="F615" s="50" t="s">
        <v>2079</v>
      </c>
      <c r="G615" s="55">
        <v>10000000</v>
      </c>
      <c r="H615" s="55"/>
      <c r="I615" s="55"/>
      <c r="J615" s="51">
        <v>500000</v>
      </c>
      <c r="K615" s="51"/>
      <c r="L615" s="52">
        <v>45462</v>
      </c>
      <c r="M615" s="53">
        <v>45401</v>
      </c>
      <c r="N615" s="50" t="s">
        <v>239</v>
      </c>
      <c r="O615" s="50" t="s">
        <v>2080</v>
      </c>
      <c r="P615" s="50" t="s">
        <v>2079</v>
      </c>
      <c r="Q615" s="55" t="s">
        <v>2081</v>
      </c>
      <c r="R615" s="55" t="s">
        <v>3319</v>
      </c>
      <c r="S615" s="53">
        <v>46495</v>
      </c>
      <c r="T615" s="50" t="s">
        <v>3320</v>
      </c>
      <c r="U615" s="50" t="s">
        <v>166</v>
      </c>
      <c r="V615" s="56"/>
      <c r="W615" s="50"/>
      <c r="X615" s="50"/>
      <c r="Y615" s="56"/>
      <c r="Z615" s="56"/>
      <c r="AA615" s="56"/>
      <c r="AB615" s="56"/>
      <c r="AC615" s="56"/>
      <c r="AD615" s="56"/>
    </row>
    <row x14ac:dyDescent="0.25" r="616" customHeight="1" ht="18.75">
      <c r="A616" s="56"/>
      <c r="B616" s="56"/>
      <c r="C616" s="50" t="s">
        <v>16</v>
      </c>
      <c r="D616" s="50" t="s">
        <v>55</v>
      </c>
      <c r="E616" s="50" t="s">
        <v>56</v>
      </c>
      <c r="F616" s="50" t="s">
        <v>1151</v>
      </c>
      <c r="G616" s="55">
        <v>10000000</v>
      </c>
      <c r="H616" s="55"/>
      <c r="I616" s="55"/>
      <c r="J616" s="51">
        <v>800000</v>
      </c>
      <c r="K616" s="51"/>
      <c r="L616" s="52">
        <v>46203</v>
      </c>
      <c r="M616" s="53">
        <v>46142</v>
      </c>
      <c r="N616" s="50" t="s">
        <v>217</v>
      </c>
      <c r="O616" s="50" t="s">
        <v>1152</v>
      </c>
      <c r="P616" s="50" t="s">
        <v>1151</v>
      </c>
      <c r="Q616" s="55" t="s">
        <v>1153</v>
      </c>
      <c r="R616" s="55" t="s">
        <v>1154</v>
      </c>
      <c r="S616" s="53">
        <v>47237</v>
      </c>
      <c r="T616" s="50" t="s">
        <v>1155</v>
      </c>
      <c r="U616" s="50"/>
      <c r="V616" s="56"/>
      <c r="W616" s="50"/>
      <c r="X616" s="50"/>
      <c r="Y616" s="56"/>
      <c r="Z616" s="56"/>
      <c r="AA616" s="56"/>
      <c r="AB616" s="56"/>
      <c r="AC616" s="56"/>
      <c r="AD616" s="56"/>
    </row>
    <row x14ac:dyDescent="0.25" r="617" customHeight="1" ht="18.75">
      <c r="A617" s="56"/>
      <c r="B617" s="56"/>
      <c r="C617" s="50" t="s">
        <v>16</v>
      </c>
      <c r="D617" s="50" t="s">
        <v>143</v>
      </c>
      <c r="E617" s="50" t="s">
        <v>14</v>
      </c>
      <c r="F617" s="50" t="s">
        <v>1175</v>
      </c>
      <c r="G617" s="55">
        <v>10000000</v>
      </c>
      <c r="H617" s="55"/>
      <c r="I617" s="55"/>
      <c r="J617" s="51">
        <v>1200000</v>
      </c>
      <c r="K617" s="51"/>
      <c r="L617" s="52">
        <v>46203</v>
      </c>
      <c r="M617" s="53">
        <v>46142</v>
      </c>
      <c r="N617" s="50" t="s">
        <v>155</v>
      </c>
      <c r="O617" s="50" t="s">
        <v>1180</v>
      </c>
      <c r="P617" s="50" t="s">
        <v>1175</v>
      </c>
      <c r="Q617" s="55" t="s">
        <v>1181</v>
      </c>
      <c r="R617" s="55" t="s">
        <v>1182</v>
      </c>
      <c r="S617" s="53">
        <v>47237</v>
      </c>
      <c r="T617" s="50"/>
      <c r="U617" s="50"/>
      <c r="V617" s="56"/>
      <c r="W617" s="50"/>
      <c r="X617" s="50"/>
      <c r="Y617" s="56"/>
      <c r="Z617" s="56"/>
      <c r="AA617" s="56"/>
      <c r="AB617" s="56"/>
      <c r="AC617" s="56"/>
      <c r="AD617" s="56"/>
    </row>
    <row x14ac:dyDescent="0.25" r="618" customHeight="1" ht="18.75" hidden="1">
      <c r="A618" s="56"/>
      <c r="B618" s="56"/>
      <c r="C618" s="50" t="s">
        <v>16</v>
      </c>
      <c r="D618" s="50"/>
      <c r="E618" s="50"/>
      <c r="F618" s="50" t="s">
        <v>94</v>
      </c>
      <c r="G618" s="55">
        <v>10000000</v>
      </c>
      <c r="H618" s="55"/>
      <c r="I618" s="55"/>
      <c r="J618" s="51">
        <v>800000</v>
      </c>
      <c r="K618" s="51"/>
      <c r="L618" s="52">
        <v>45813</v>
      </c>
      <c r="M618" s="53">
        <v>45752</v>
      </c>
      <c r="N618" s="50" t="s">
        <v>161</v>
      </c>
      <c r="O618" s="50" t="s">
        <v>2084</v>
      </c>
      <c r="P618" s="50" t="s">
        <v>94</v>
      </c>
      <c r="Q618" s="55" t="s">
        <v>2085</v>
      </c>
      <c r="R618" s="55" t="s">
        <v>2086</v>
      </c>
      <c r="S618" s="53">
        <v>46847</v>
      </c>
      <c r="T618" s="50" t="s">
        <v>95</v>
      </c>
      <c r="U618" s="50" t="s">
        <v>179</v>
      </c>
      <c r="V618" s="56"/>
      <c r="W618" s="50"/>
      <c r="X618" s="50"/>
      <c r="Y618" s="56"/>
      <c r="Z618" s="56"/>
      <c r="AA618" s="56"/>
      <c r="AB618" s="56"/>
      <c r="AC618" s="56"/>
      <c r="AD618" s="56"/>
    </row>
    <row x14ac:dyDescent="0.25" r="619" customHeight="1" ht="18.75" hidden="1">
      <c r="A619" s="71"/>
      <c r="B619" s="71"/>
      <c r="C619" s="72" t="s">
        <v>16</v>
      </c>
      <c r="D619" s="72"/>
      <c r="E619" s="72"/>
      <c r="F619" s="72" t="s">
        <v>2087</v>
      </c>
      <c r="G619" s="73"/>
      <c r="H619" s="73"/>
      <c r="I619" s="73"/>
      <c r="J619" s="74"/>
      <c r="K619" s="74"/>
      <c r="L619" s="75">
        <v>46034</v>
      </c>
      <c r="M619" s="76">
        <v>45973</v>
      </c>
      <c r="N619" s="72" t="s">
        <v>282</v>
      </c>
      <c r="O619" s="72" t="s">
        <v>2088</v>
      </c>
      <c r="P619" s="72" t="s">
        <v>2087</v>
      </c>
      <c r="Q619" s="73" t="s">
        <v>2089</v>
      </c>
      <c r="R619" s="73" t="s">
        <v>2090</v>
      </c>
      <c r="S619" s="76">
        <v>47068</v>
      </c>
      <c r="T619" s="72"/>
      <c r="U619" s="72"/>
      <c r="V619" s="71"/>
      <c r="W619" s="50"/>
      <c r="X619" s="50"/>
      <c r="Y619" s="56"/>
      <c r="Z619" s="56"/>
      <c r="AA619" s="56"/>
      <c r="AB619" s="56"/>
      <c r="AC619" s="56"/>
      <c r="AD619" s="56"/>
    </row>
    <row x14ac:dyDescent="0.25" r="620" customHeight="1" ht="18.75" hidden="1">
      <c r="A620" s="48" t="s">
        <v>275</v>
      </c>
      <c r="B620" s="48"/>
      <c r="C620" s="50" t="s">
        <v>16</v>
      </c>
      <c r="D620" s="50"/>
      <c r="E620" s="50"/>
      <c r="F620" s="50" t="s">
        <v>98</v>
      </c>
      <c r="G620" s="55">
        <v>20000000</v>
      </c>
      <c r="H620" s="55"/>
      <c r="I620" s="55"/>
      <c r="J620" s="51">
        <v>1528000</v>
      </c>
      <c r="K620" s="51"/>
      <c r="L620" s="52">
        <v>45748</v>
      </c>
      <c r="M620" s="53">
        <v>45689</v>
      </c>
      <c r="N620" s="50" t="s">
        <v>306</v>
      </c>
      <c r="O620" s="50" t="s">
        <v>2091</v>
      </c>
      <c r="P620" s="50" t="s">
        <v>98</v>
      </c>
      <c r="Q620" s="55" t="s">
        <v>2092</v>
      </c>
      <c r="R620" s="55" t="s">
        <v>2093</v>
      </c>
      <c r="S620" s="53">
        <v>46783</v>
      </c>
      <c r="T620" s="50"/>
      <c r="U620" s="50"/>
      <c r="V620" s="48" t="s">
        <v>3321</v>
      </c>
      <c r="W620" s="50"/>
      <c r="X620" s="50"/>
      <c r="Y620" s="56"/>
      <c r="Z620" s="56"/>
      <c r="AA620" s="56"/>
      <c r="AB620" s="56"/>
      <c r="AC620" s="56"/>
      <c r="AD620" s="56"/>
    </row>
    <row x14ac:dyDescent="0.25" r="621" customHeight="1" ht="18.75" hidden="1">
      <c r="A621" s="56"/>
      <c r="B621" s="56"/>
      <c r="C621" s="50" t="s">
        <v>16</v>
      </c>
      <c r="D621" s="50"/>
      <c r="E621" s="50"/>
      <c r="F621" s="50" t="s">
        <v>98</v>
      </c>
      <c r="G621" s="55">
        <v>20000000</v>
      </c>
      <c r="H621" s="55"/>
      <c r="I621" s="55"/>
      <c r="J621" s="51">
        <v>1528000</v>
      </c>
      <c r="K621" s="51"/>
      <c r="L621" s="52">
        <v>46113</v>
      </c>
      <c r="M621" s="53">
        <v>46054</v>
      </c>
      <c r="N621" s="50" t="s">
        <v>306</v>
      </c>
      <c r="O621" s="50" t="s">
        <v>2091</v>
      </c>
      <c r="P621" s="50" t="s">
        <v>98</v>
      </c>
      <c r="Q621" s="55" t="s">
        <v>2092</v>
      </c>
      <c r="R621" s="55" t="s">
        <v>2093</v>
      </c>
      <c r="S621" s="53">
        <v>47149</v>
      </c>
      <c r="T621" s="50"/>
      <c r="U621" s="50"/>
      <c r="V621" s="56"/>
      <c r="W621" s="50"/>
      <c r="X621" s="50"/>
      <c r="Y621" s="56"/>
      <c r="Z621" s="56"/>
      <c r="AA621" s="56"/>
      <c r="AB621" s="56"/>
      <c r="AC621" s="56"/>
      <c r="AD621" s="56"/>
    </row>
    <row x14ac:dyDescent="0.25" r="622" customHeight="1" ht="18.75" hidden="1">
      <c r="A622" s="71"/>
      <c r="B622" s="71"/>
      <c r="C622" s="72" t="s">
        <v>16</v>
      </c>
      <c r="D622" s="72"/>
      <c r="E622" s="72" t="s">
        <v>97</v>
      </c>
      <c r="F622" s="72" t="s">
        <v>98</v>
      </c>
      <c r="G622" s="73">
        <v>20000000</v>
      </c>
      <c r="H622" s="73"/>
      <c r="I622" s="73"/>
      <c r="J622" s="88"/>
      <c r="K622" s="88"/>
      <c r="L622" s="75">
        <v>46113</v>
      </c>
      <c r="M622" s="76">
        <v>46054</v>
      </c>
      <c r="N622" s="72" t="s">
        <v>217</v>
      </c>
      <c r="O622" s="72" t="s">
        <v>2091</v>
      </c>
      <c r="P622" s="72" t="s">
        <v>98</v>
      </c>
      <c r="Q622" s="73" t="s">
        <v>3322</v>
      </c>
      <c r="R622" s="73" t="s">
        <v>3323</v>
      </c>
      <c r="S622" s="76">
        <v>47149</v>
      </c>
      <c r="T622" s="72"/>
      <c r="U622" s="72" t="s">
        <v>166</v>
      </c>
      <c r="V622" s="71" t="s">
        <v>3324</v>
      </c>
      <c r="W622" s="50"/>
      <c r="X622" s="50"/>
      <c r="Y622" s="56"/>
      <c r="Z622" s="56"/>
      <c r="AA622" s="56"/>
      <c r="AB622" s="56"/>
      <c r="AC622" s="56"/>
      <c r="AD622" s="56"/>
    </row>
    <row x14ac:dyDescent="0.25" r="623" customHeight="1" ht="18.75">
      <c r="A623" s="56"/>
      <c r="B623" s="56"/>
      <c r="C623" s="50" t="s">
        <v>16</v>
      </c>
      <c r="D623" s="50"/>
      <c r="E623" s="50" t="s">
        <v>1305</v>
      </c>
      <c r="F623" s="50" t="s">
        <v>1448</v>
      </c>
      <c r="G623" s="55">
        <v>10000000</v>
      </c>
      <c r="H623" s="55"/>
      <c r="I623" s="55"/>
      <c r="J623" s="51">
        <v>1200000</v>
      </c>
      <c r="K623" s="51"/>
      <c r="L623" s="52">
        <v>46203</v>
      </c>
      <c r="M623" s="53">
        <v>46142</v>
      </c>
      <c r="N623" s="50" t="s">
        <v>168</v>
      </c>
      <c r="O623" s="50" t="s">
        <v>1449</v>
      </c>
      <c r="P623" s="50" t="s">
        <v>1448</v>
      </c>
      <c r="Q623" s="55" t="s">
        <v>1450</v>
      </c>
      <c r="R623" s="55" t="s">
        <v>1451</v>
      </c>
      <c r="S623" s="53">
        <v>47237</v>
      </c>
      <c r="T623" s="50"/>
      <c r="U623" s="50"/>
      <c r="V623" s="56"/>
      <c r="W623" s="50"/>
      <c r="X623" s="50"/>
      <c r="Y623" s="56"/>
      <c r="Z623" s="56"/>
      <c r="AA623" s="56"/>
      <c r="AB623" s="56"/>
      <c r="AC623" s="56"/>
      <c r="AD623" s="56"/>
    </row>
    <row x14ac:dyDescent="0.25" r="624" customHeight="1" ht="18.75">
      <c r="A624" s="56"/>
      <c r="B624" s="56"/>
      <c r="C624" s="50" t="s">
        <v>16</v>
      </c>
      <c r="D624" s="50" t="s">
        <v>143</v>
      </c>
      <c r="E624" s="50" t="s">
        <v>14</v>
      </c>
      <c r="F624" s="50" t="s">
        <v>1505</v>
      </c>
      <c r="G624" s="55">
        <v>10000000</v>
      </c>
      <c r="H624" s="55"/>
      <c r="I624" s="55"/>
      <c r="J624" s="51">
        <v>1200000</v>
      </c>
      <c r="K624" s="51"/>
      <c r="L624" s="52">
        <v>46203</v>
      </c>
      <c r="M624" s="53">
        <v>46142</v>
      </c>
      <c r="N624" s="50" t="s">
        <v>217</v>
      </c>
      <c r="O624" s="50" t="s">
        <v>1506</v>
      </c>
      <c r="P624" s="50" t="s">
        <v>1505</v>
      </c>
      <c r="Q624" s="55" t="s">
        <v>1507</v>
      </c>
      <c r="R624" s="55" t="s">
        <v>1508</v>
      </c>
      <c r="S624" s="53">
        <v>47237</v>
      </c>
      <c r="T624" s="50"/>
      <c r="U624" s="50"/>
      <c r="V624" s="56"/>
      <c r="W624" s="50"/>
      <c r="X624" s="50"/>
      <c r="Y624" s="56"/>
      <c r="Z624" s="56"/>
      <c r="AA624" s="56"/>
      <c r="AB624" s="56"/>
      <c r="AC624" s="56"/>
      <c r="AD624" s="56"/>
    </row>
    <row x14ac:dyDescent="0.25" r="625" customHeight="1" ht="18.75">
      <c r="A625" s="56"/>
      <c r="B625" s="56"/>
      <c r="C625" s="49" t="s">
        <v>16</v>
      </c>
      <c r="D625" s="50" t="s">
        <v>48</v>
      </c>
      <c r="E625" s="50" t="s">
        <v>117</v>
      </c>
      <c r="F625" s="50" t="s">
        <v>2670</v>
      </c>
      <c r="G625" s="51">
        <v>10000000</v>
      </c>
      <c r="H625" s="51"/>
      <c r="I625" s="51"/>
      <c r="J625" s="51">
        <v>1200000</v>
      </c>
      <c r="K625" s="51"/>
      <c r="L625" s="52">
        <v>46203</v>
      </c>
      <c r="M625" s="53">
        <f>IF(L625&gt;0,EDATE(L625,-2),"")</f>
        <v>25569.375</v>
      </c>
      <c r="N625" s="50" t="s">
        <v>239</v>
      </c>
      <c r="O625" s="50" t="s">
        <v>2671</v>
      </c>
      <c r="P625" s="54">
        <f>IF(F625&gt;0,F625,"")</f>
      </c>
      <c r="Q625" s="55" t="s">
        <v>2672</v>
      </c>
      <c r="R625" s="55">
        <v>85168758</v>
      </c>
      <c r="S625" s="53">
        <f>IF(ISNUMBER(M625), EDATE(M625,36)-1, "")</f>
        <v>25569.375</v>
      </c>
      <c r="T625" s="50"/>
      <c r="U625" s="50"/>
      <c r="V625" s="56"/>
      <c r="W625" s="50"/>
      <c r="X625" s="50"/>
      <c r="Y625" s="56"/>
      <c r="Z625" s="56"/>
      <c r="AA625" s="56"/>
      <c r="AB625" s="56"/>
      <c r="AC625" s="56"/>
      <c r="AD625" s="56"/>
    </row>
    <row x14ac:dyDescent="0.25" r="626" customHeight="1" ht="18.75" hidden="1">
      <c r="A626" s="56"/>
      <c r="B626" s="56"/>
      <c r="C626" s="50" t="s">
        <v>16</v>
      </c>
      <c r="D626" s="50"/>
      <c r="E626" s="50"/>
      <c r="F626" s="50" t="s">
        <v>2108</v>
      </c>
      <c r="G626" s="55">
        <v>10000000</v>
      </c>
      <c r="H626" s="55"/>
      <c r="I626" s="55"/>
      <c r="J626" s="51">
        <v>500000</v>
      </c>
      <c r="K626" s="51"/>
      <c r="L626" s="52">
        <v>46172</v>
      </c>
      <c r="M626" s="53">
        <v>46111</v>
      </c>
      <c r="N626" s="50" t="s">
        <v>239</v>
      </c>
      <c r="O626" s="50" t="s">
        <v>2109</v>
      </c>
      <c r="P626" s="50" t="s">
        <v>2108</v>
      </c>
      <c r="Q626" s="55" t="s">
        <v>2110</v>
      </c>
      <c r="R626" s="55" t="s">
        <v>2111</v>
      </c>
      <c r="S626" s="53">
        <v>47206</v>
      </c>
      <c r="T626" s="50" t="s">
        <v>2112</v>
      </c>
      <c r="U626" s="50" t="s">
        <v>166</v>
      </c>
      <c r="V626" s="56"/>
      <c r="W626" s="50"/>
      <c r="X626" s="50"/>
      <c r="Y626" s="56"/>
      <c r="Z626" s="56"/>
      <c r="AA626" s="56"/>
      <c r="AB626" s="56"/>
      <c r="AC626" s="56"/>
      <c r="AD626" s="56"/>
    </row>
    <row x14ac:dyDescent="0.25" r="627" customHeight="1" ht="18.75" hidden="1">
      <c r="A627" s="56"/>
      <c r="B627" s="56"/>
      <c r="C627" s="50" t="s">
        <v>16</v>
      </c>
      <c r="D627" s="50"/>
      <c r="E627" s="50"/>
      <c r="F627" s="50" t="s">
        <v>2113</v>
      </c>
      <c r="G627" s="55">
        <v>20000000</v>
      </c>
      <c r="H627" s="55"/>
      <c r="I627" s="55"/>
      <c r="J627" s="51">
        <v>1528000</v>
      </c>
      <c r="K627" s="51"/>
      <c r="L627" s="52">
        <v>46064</v>
      </c>
      <c r="M627" s="53">
        <v>46002</v>
      </c>
      <c r="N627" s="50" t="s">
        <v>239</v>
      </c>
      <c r="O627" s="50" t="s">
        <v>2114</v>
      </c>
      <c r="P627" s="50" t="s">
        <v>2113</v>
      </c>
      <c r="Q627" s="55" t="s">
        <v>2115</v>
      </c>
      <c r="R627" s="55" t="s">
        <v>2116</v>
      </c>
      <c r="S627" s="53">
        <v>47097</v>
      </c>
      <c r="T627" s="50"/>
      <c r="U627" s="50"/>
      <c r="V627" s="56"/>
      <c r="W627" s="50"/>
      <c r="X627" s="50"/>
      <c r="Y627" s="56"/>
      <c r="Z627" s="56"/>
      <c r="AA627" s="56"/>
      <c r="AB627" s="56"/>
      <c r="AC627" s="56"/>
      <c r="AD627" s="56"/>
    </row>
    <row x14ac:dyDescent="0.25" r="628" customHeight="1" ht="18.75" hidden="1">
      <c r="A628" s="56"/>
      <c r="B628" s="56"/>
      <c r="C628" s="50" t="s">
        <v>16</v>
      </c>
      <c r="D628" s="50"/>
      <c r="E628" s="50"/>
      <c r="F628" s="50" t="s">
        <v>2117</v>
      </c>
      <c r="G628" s="55">
        <v>10000000</v>
      </c>
      <c r="H628" s="55"/>
      <c r="I628" s="55"/>
      <c r="J628" s="51">
        <v>800000</v>
      </c>
      <c r="K628" s="51"/>
      <c r="L628" s="52">
        <v>46091</v>
      </c>
      <c r="M628" s="53">
        <v>45667</v>
      </c>
      <c r="N628" s="50" t="s">
        <v>205</v>
      </c>
      <c r="O628" s="50" t="s">
        <v>2118</v>
      </c>
      <c r="P628" s="50" t="s">
        <v>2117</v>
      </c>
      <c r="Q628" s="55" t="s">
        <v>2119</v>
      </c>
      <c r="R628" s="55" t="s">
        <v>2120</v>
      </c>
      <c r="S628" s="53">
        <v>47127</v>
      </c>
      <c r="T628" s="50"/>
      <c r="U628" s="50"/>
      <c r="V628" s="56"/>
      <c r="W628" s="50"/>
      <c r="X628" s="50"/>
      <c r="Y628" s="56"/>
      <c r="Z628" s="56"/>
      <c r="AA628" s="56"/>
      <c r="AB628" s="56"/>
      <c r="AC628" s="56"/>
      <c r="AD628" s="56"/>
    </row>
    <row x14ac:dyDescent="0.25" r="629" customHeight="1" ht="18.75" hidden="1">
      <c r="A629" s="56"/>
      <c r="B629" s="56"/>
      <c r="C629" s="50" t="s">
        <v>16</v>
      </c>
      <c r="D629" s="50"/>
      <c r="E629" s="50"/>
      <c r="F629" s="50" t="s">
        <v>1978</v>
      </c>
      <c r="G629" s="55">
        <v>10000000</v>
      </c>
      <c r="H629" s="55"/>
      <c r="I629" s="55"/>
      <c r="J629" s="51">
        <v>800000</v>
      </c>
      <c r="K629" s="51"/>
      <c r="L629" s="52">
        <v>46081</v>
      </c>
      <c r="M629" s="53">
        <v>46022</v>
      </c>
      <c r="N629" s="50" t="s">
        <v>168</v>
      </c>
      <c r="O629" s="50" t="s">
        <v>2121</v>
      </c>
      <c r="P629" s="50" t="s">
        <v>1978</v>
      </c>
      <c r="Q629" s="55" t="s">
        <v>2122</v>
      </c>
      <c r="R629" s="55" t="s">
        <v>2123</v>
      </c>
      <c r="S629" s="53">
        <v>47117</v>
      </c>
      <c r="T629" s="50"/>
      <c r="U629" s="50"/>
      <c r="V629" s="56"/>
      <c r="W629" s="50"/>
      <c r="X629" s="50"/>
      <c r="Y629" s="56"/>
      <c r="Z629" s="56"/>
      <c r="AA629" s="56"/>
      <c r="AB629" s="56"/>
      <c r="AC629" s="56"/>
      <c r="AD629" s="56"/>
    </row>
    <row x14ac:dyDescent="0.25" r="630" customHeight="1" ht="18.75" hidden="1">
      <c r="A630" s="56"/>
      <c r="B630" s="56"/>
      <c r="C630" s="50" t="s">
        <v>16</v>
      </c>
      <c r="D630" s="50"/>
      <c r="E630" s="50"/>
      <c r="F630" s="50" t="s">
        <v>2124</v>
      </c>
      <c r="G630" s="55">
        <v>20000000</v>
      </c>
      <c r="H630" s="55"/>
      <c r="I630" s="55"/>
      <c r="J630" s="51">
        <v>1528000</v>
      </c>
      <c r="K630" s="51"/>
      <c r="L630" s="52">
        <v>46015</v>
      </c>
      <c r="M630" s="53">
        <v>45954</v>
      </c>
      <c r="N630" s="50" t="s">
        <v>155</v>
      </c>
      <c r="O630" s="50" t="s">
        <v>2125</v>
      </c>
      <c r="P630" s="50" t="s">
        <v>2124</v>
      </c>
      <c r="Q630" s="55" t="s">
        <v>2126</v>
      </c>
      <c r="R630" s="55" t="s">
        <v>2127</v>
      </c>
      <c r="S630" s="53">
        <v>47049</v>
      </c>
      <c r="T630" s="50"/>
      <c r="U630" s="50"/>
      <c r="V630" s="56"/>
      <c r="W630" s="50"/>
      <c r="X630" s="50"/>
      <c r="Y630" s="56"/>
      <c r="Z630" s="56"/>
      <c r="AA630" s="56"/>
      <c r="AB630" s="56"/>
      <c r="AC630" s="56"/>
      <c r="AD630" s="56"/>
    </row>
    <row x14ac:dyDescent="0.25" r="631" customHeight="1" ht="18.75" hidden="1">
      <c r="A631" s="56"/>
      <c r="B631" s="56"/>
      <c r="C631" s="50" t="s">
        <v>16</v>
      </c>
      <c r="D631" s="50"/>
      <c r="E631" s="50"/>
      <c r="F631" s="50" t="s">
        <v>2128</v>
      </c>
      <c r="G631" s="55">
        <v>30000000</v>
      </c>
      <c r="H631" s="55"/>
      <c r="I631" s="55"/>
      <c r="J631" s="51">
        <v>2400000</v>
      </c>
      <c r="K631" s="51"/>
      <c r="L631" s="52">
        <v>45930</v>
      </c>
      <c r="M631" s="53">
        <v>45848</v>
      </c>
      <c r="N631" s="50" t="s">
        <v>182</v>
      </c>
      <c r="O631" s="50" t="s">
        <v>2129</v>
      </c>
      <c r="P631" s="50" t="s">
        <v>2128</v>
      </c>
      <c r="Q631" s="55" t="s">
        <v>2130</v>
      </c>
      <c r="R631" s="55" t="s">
        <v>2131</v>
      </c>
      <c r="S631" s="53">
        <v>46943</v>
      </c>
      <c r="T631" s="50"/>
      <c r="U631" s="50"/>
      <c r="V631" s="56"/>
      <c r="W631" s="50"/>
      <c r="X631" s="50"/>
      <c r="Y631" s="56"/>
      <c r="Z631" s="56"/>
      <c r="AA631" s="56"/>
      <c r="AB631" s="56"/>
      <c r="AC631" s="56"/>
      <c r="AD631" s="56"/>
    </row>
    <row x14ac:dyDescent="0.25" r="632" customHeight="1" ht="18.75" hidden="1">
      <c r="A632" s="56"/>
      <c r="B632" s="56"/>
      <c r="C632" s="50" t="s">
        <v>16</v>
      </c>
      <c r="D632" s="50"/>
      <c r="E632" s="50"/>
      <c r="F632" s="50" t="s">
        <v>2128</v>
      </c>
      <c r="G632" s="55">
        <v>10000000</v>
      </c>
      <c r="H632" s="55"/>
      <c r="I632" s="55"/>
      <c r="J632" s="51">
        <v>800000</v>
      </c>
      <c r="K632" s="51"/>
      <c r="L632" s="52">
        <v>46016</v>
      </c>
      <c r="M632" s="53">
        <v>45955</v>
      </c>
      <c r="N632" s="50" t="s">
        <v>302</v>
      </c>
      <c r="O632" s="50" t="s">
        <v>2132</v>
      </c>
      <c r="P632" s="50" t="s">
        <v>2128</v>
      </c>
      <c r="Q632" s="55" t="s">
        <v>2133</v>
      </c>
      <c r="R632" s="55" t="s">
        <v>2134</v>
      </c>
      <c r="S632" s="53">
        <v>47050</v>
      </c>
      <c r="T632" s="50"/>
      <c r="U632" s="50"/>
      <c r="V632" s="56"/>
      <c r="W632" s="50"/>
      <c r="X632" s="50"/>
      <c r="Y632" s="56"/>
      <c r="Z632" s="56"/>
      <c r="AA632" s="56"/>
      <c r="AB632" s="56"/>
      <c r="AC632" s="56"/>
      <c r="AD632" s="56"/>
    </row>
    <row x14ac:dyDescent="0.25" r="633" customHeight="1" ht="18.75" hidden="1">
      <c r="A633" s="56"/>
      <c r="B633" s="56"/>
      <c r="C633" s="50" t="s">
        <v>16</v>
      </c>
      <c r="D633" s="50"/>
      <c r="E633" s="50"/>
      <c r="F633" s="50" t="s">
        <v>2135</v>
      </c>
      <c r="G633" s="55">
        <v>20000000</v>
      </c>
      <c r="H633" s="55"/>
      <c r="I633" s="55"/>
      <c r="J633" s="51">
        <v>1528000</v>
      </c>
      <c r="K633" s="51"/>
      <c r="L633" s="52">
        <v>46093</v>
      </c>
      <c r="M633" s="53">
        <v>46022</v>
      </c>
      <c r="N633" s="50" t="s">
        <v>699</v>
      </c>
      <c r="O633" s="50" t="s">
        <v>2136</v>
      </c>
      <c r="P633" s="50" t="s">
        <v>2135</v>
      </c>
      <c r="Q633" s="55" t="s">
        <v>2137</v>
      </c>
      <c r="R633" s="55" t="s">
        <v>2138</v>
      </c>
      <c r="S633" s="53">
        <v>47129</v>
      </c>
      <c r="T633" s="50"/>
      <c r="U633" s="50"/>
      <c r="V633" s="56"/>
      <c r="W633" s="50"/>
      <c r="X633" s="50"/>
      <c r="Y633" s="56"/>
      <c r="Z633" s="56"/>
      <c r="AA633" s="56"/>
      <c r="AB633" s="56"/>
      <c r="AC633" s="56"/>
      <c r="AD633" s="56"/>
    </row>
    <row x14ac:dyDescent="0.25" r="634" customHeight="1" ht="18.75" hidden="1">
      <c r="A634" s="71"/>
      <c r="B634" s="71"/>
      <c r="C634" s="72" t="s">
        <v>16</v>
      </c>
      <c r="D634" s="72" t="s">
        <v>410</v>
      </c>
      <c r="E634" s="72" t="s">
        <v>534</v>
      </c>
      <c r="F634" s="72" t="s">
        <v>2139</v>
      </c>
      <c r="G634" s="74">
        <v>30000000</v>
      </c>
      <c r="H634" s="74"/>
      <c r="I634" s="74"/>
      <c r="J634" s="74">
        <v>2028000</v>
      </c>
      <c r="K634" s="74"/>
      <c r="L634" s="75">
        <v>46191</v>
      </c>
      <c r="M634" s="76">
        <v>46099</v>
      </c>
      <c r="N634" s="72" t="s">
        <v>302</v>
      </c>
      <c r="O634" s="72" t="s">
        <v>2140</v>
      </c>
      <c r="P634" s="96">
        <f>IF(F634&gt;0,F634,"")</f>
      </c>
      <c r="Q634" s="73">
        <v>7409032481616</v>
      </c>
      <c r="R634" s="73">
        <v>90741734</v>
      </c>
      <c r="S634" s="76">
        <f>IF(ISNUMBER(M634), EDATE(M634,36)-1, "")</f>
        <v>25569.375</v>
      </c>
      <c r="T634" s="72"/>
      <c r="U634" s="72"/>
      <c r="V634" s="71" t="s">
        <v>3325</v>
      </c>
      <c r="W634" s="50"/>
      <c r="X634" s="50"/>
      <c r="Y634" s="56"/>
      <c r="Z634" s="56"/>
      <c r="AA634" s="56"/>
      <c r="AB634" s="56"/>
      <c r="AC634" s="56"/>
      <c r="AD634" s="56"/>
    </row>
    <row x14ac:dyDescent="0.25" r="635" customHeight="1" ht="18.75" hidden="1">
      <c r="A635" s="56"/>
      <c r="B635" s="56"/>
      <c r="C635" s="50" t="s">
        <v>16</v>
      </c>
      <c r="D635" s="50" t="s">
        <v>410</v>
      </c>
      <c r="E635" s="50" t="s">
        <v>534</v>
      </c>
      <c r="F635" s="50" t="s">
        <v>2139</v>
      </c>
      <c r="G635" s="51">
        <v>30000000</v>
      </c>
      <c r="H635" s="51"/>
      <c r="I635" s="51"/>
      <c r="J635" s="51">
        <v>2028000</v>
      </c>
      <c r="K635" s="51"/>
      <c r="L635" s="52">
        <v>46160</v>
      </c>
      <c r="M635" s="53">
        <f>IF(L635&gt;0,EDATE(L635,-2),"")</f>
        <v>25569.375</v>
      </c>
      <c r="N635" s="50" t="s">
        <v>302</v>
      </c>
      <c r="O635" s="50" t="s">
        <v>2140</v>
      </c>
      <c r="P635" s="54">
        <f>IF(F635&gt;0,F635,"")</f>
      </c>
      <c r="Q635" s="55">
        <v>7409032481616</v>
      </c>
      <c r="R635" s="55">
        <v>90741734</v>
      </c>
      <c r="S635" s="53">
        <f>IF(ISNUMBER(M635), EDATE(M635,36)-1, "")</f>
        <v>25569.375</v>
      </c>
      <c r="T635" s="50"/>
      <c r="U635" s="50"/>
      <c r="V635" s="50"/>
      <c r="W635" s="50"/>
      <c r="X635" s="50"/>
      <c r="Y635" s="56"/>
      <c r="Z635" s="56"/>
      <c r="AA635" s="56"/>
      <c r="AB635" s="56"/>
      <c r="AC635" s="56"/>
      <c r="AD635" s="56"/>
    </row>
    <row x14ac:dyDescent="0.25" r="636" customHeight="1" ht="18.75" hidden="1">
      <c r="A636" s="56"/>
      <c r="B636" s="56"/>
      <c r="C636" s="50" t="s">
        <v>16</v>
      </c>
      <c r="D636" s="50"/>
      <c r="E636" s="50"/>
      <c r="F636" s="50" t="s">
        <v>2142</v>
      </c>
      <c r="G636" s="55">
        <v>20000000</v>
      </c>
      <c r="H636" s="55"/>
      <c r="I636" s="55"/>
      <c r="J636" s="51">
        <v>1528000</v>
      </c>
      <c r="K636" s="51"/>
      <c r="L636" s="52">
        <v>45985</v>
      </c>
      <c r="M636" s="53">
        <v>45924</v>
      </c>
      <c r="N636" s="50" t="s">
        <v>217</v>
      </c>
      <c r="O636" s="50" t="s">
        <v>2143</v>
      </c>
      <c r="P636" s="50" t="s">
        <v>2142</v>
      </c>
      <c r="Q636" s="55" t="s">
        <v>2144</v>
      </c>
      <c r="R636" s="55" t="s">
        <v>2145</v>
      </c>
      <c r="S636" s="53">
        <v>47019</v>
      </c>
      <c r="T636" s="50"/>
      <c r="U636" s="50"/>
      <c r="V636" s="56"/>
      <c r="W636" s="50"/>
      <c r="X636" s="50"/>
      <c r="Y636" s="56"/>
      <c r="Z636" s="56"/>
      <c r="AA636" s="56"/>
      <c r="AB636" s="56"/>
      <c r="AC636" s="56"/>
      <c r="AD636" s="56"/>
    </row>
    <row x14ac:dyDescent="0.25" r="637" customHeight="1" ht="18.75" hidden="1">
      <c r="A637" s="56"/>
      <c r="B637" s="56"/>
      <c r="C637" s="50" t="s">
        <v>16</v>
      </c>
      <c r="D637" s="50"/>
      <c r="E637" s="50"/>
      <c r="F637" s="50" t="s">
        <v>2146</v>
      </c>
      <c r="G637" s="55">
        <v>30000000</v>
      </c>
      <c r="H637" s="55"/>
      <c r="I637" s="55"/>
      <c r="J637" s="51">
        <v>2028000</v>
      </c>
      <c r="K637" s="51"/>
      <c r="L637" s="52">
        <v>46166</v>
      </c>
      <c r="M637" s="53">
        <v>46105</v>
      </c>
      <c r="N637" s="50" t="s">
        <v>580</v>
      </c>
      <c r="O637" s="50" t="s">
        <v>2147</v>
      </c>
      <c r="P637" s="50" t="s">
        <v>2146</v>
      </c>
      <c r="Q637" s="55" t="s">
        <v>2148</v>
      </c>
      <c r="R637" s="55" t="s">
        <v>2149</v>
      </c>
      <c r="S637" s="53">
        <v>47200</v>
      </c>
      <c r="T637" s="50" t="s">
        <v>2150</v>
      </c>
      <c r="U637" s="50" t="s">
        <v>166</v>
      </c>
      <c r="V637" s="48" t="s">
        <v>418</v>
      </c>
      <c r="W637" s="50"/>
      <c r="X637" s="50"/>
      <c r="Y637" s="56"/>
      <c r="Z637" s="56"/>
      <c r="AA637" s="56"/>
      <c r="AB637" s="56"/>
      <c r="AC637" s="56"/>
      <c r="AD637" s="56"/>
    </row>
    <row x14ac:dyDescent="0.25" r="638" customHeight="1" ht="18.75">
      <c r="A638" s="56"/>
      <c r="B638" s="56"/>
      <c r="C638" s="50" t="s">
        <v>16</v>
      </c>
      <c r="D638" s="50" t="s">
        <v>55</v>
      </c>
      <c r="E638" s="50" t="s">
        <v>56</v>
      </c>
      <c r="F638" s="50" t="s">
        <v>127</v>
      </c>
      <c r="G638" s="55">
        <v>20000000</v>
      </c>
      <c r="H638" s="55"/>
      <c r="I638" s="55"/>
      <c r="J638" s="51">
        <v>1528000</v>
      </c>
      <c r="K638" s="51"/>
      <c r="L638" s="52">
        <v>46205</v>
      </c>
      <c r="M638" s="53">
        <v>46142</v>
      </c>
      <c r="N638" s="50" t="s">
        <v>217</v>
      </c>
      <c r="O638" s="50" t="s">
        <v>2380</v>
      </c>
      <c r="P638" s="50" t="s">
        <v>56</v>
      </c>
      <c r="Q638" s="55" t="s">
        <v>2800</v>
      </c>
      <c r="R638" s="55" t="s">
        <v>2801</v>
      </c>
      <c r="S638" s="53">
        <v>47237</v>
      </c>
      <c r="T638" s="50" t="s">
        <v>2802</v>
      </c>
      <c r="U638" s="50"/>
      <c r="V638" s="56"/>
      <c r="W638" s="50"/>
      <c r="X638" s="50"/>
      <c r="Y638" s="56"/>
      <c r="Z638" s="56"/>
      <c r="AA638" s="56"/>
      <c r="AB638" s="56"/>
      <c r="AC638" s="56"/>
      <c r="AD638" s="56"/>
    </row>
    <row x14ac:dyDescent="0.25" r="639" customHeight="1" ht="18.75" hidden="1">
      <c r="A639" s="56"/>
      <c r="B639" s="56"/>
      <c r="C639" s="50" t="s">
        <v>16</v>
      </c>
      <c r="D639" s="50"/>
      <c r="E639" s="50"/>
      <c r="F639" s="50" t="s">
        <v>2156</v>
      </c>
      <c r="G639" s="55">
        <v>10000000</v>
      </c>
      <c r="H639" s="55"/>
      <c r="I639" s="55"/>
      <c r="J639" s="51">
        <v>800000</v>
      </c>
      <c r="K639" s="51"/>
      <c r="L639" s="52">
        <v>46156</v>
      </c>
      <c r="M639" s="53">
        <v>46095</v>
      </c>
      <c r="N639" s="50" t="s">
        <v>205</v>
      </c>
      <c r="O639" s="50" t="s">
        <v>711</v>
      </c>
      <c r="P639" s="50" t="s">
        <v>2156</v>
      </c>
      <c r="Q639" s="55" t="s">
        <v>2157</v>
      </c>
      <c r="R639" s="55" t="s">
        <v>2158</v>
      </c>
      <c r="S639" s="53">
        <v>47190</v>
      </c>
      <c r="T639" s="50" t="s">
        <v>2159</v>
      </c>
      <c r="U639" s="50" t="s">
        <v>166</v>
      </c>
      <c r="V639" s="56"/>
      <c r="W639" s="50"/>
      <c r="X639" s="50"/>
      <c r="Y639" s="56"/>
      <c r="Z639" s="56"/>
      <c r="AA639" s="56"/>
      <c r="AB639" s="56"/>
      <c r="AC639" s="56"/>
      <c r="AD639" s="56"/>
    </row>
    <row x14ac:dyDescent="0.25" r="640" customHeight="1" ht="18.75" hidden="1">
      <c r="A640" s="48" t="s">
        <v>152</v>
      </c>
      <c r="B640" s="48"/>
      <c r="C640" s="49" t="s">
        <v>16</v>
      </c>
      <c r="D640" s="50" t="s">
        <v>153</v>
      </c>
      <c r="E640" s="50" t="s">
        <v>154</v>
      </c>
      <c r="F640" s="50" t="s">
        <v>2156</v>
      </c>
      <c r="G640" s="51">
        <v>60000000</v>
      </c>
      <c r="H640" s="51"/>
      <c r="I640" s="51"/>
      <c r="J640" s="87">
        <f>IF(G640&gt;0,_xludf.IFS(G640=10000000,800000,G640=20000000,1528000,G640=30000000,2028000,G640=60000000,4056000),"")</f>
      </c>
      <c r="K640" s="51"/>
      <c r="L640" s="52">
        <v>46156</v>
      </c>
      <c r="M640" s="53">
        <f>IF(L640&gt;0,EDATE(L640,-2),"")</f>
        <v>25569.375</v>
      </c>
      <c r="N640" s="50" t="s">
        <v>205</v>
      </c>
      <c r="O640" s="50" t="s">
        <v>711</v>
      </c>
      <c r="P640" s="50" t="s">
        <v>2156</v>
      </c>
      <c r="Q640" s="55" t="s">
        <v>2157</v>
      </c>
      <c r="R640" s="55" t="s">
        <v>2158</v>
      </c>
      <c r="S640" s="53">
        <f>IF(ISNUMBER(M640), EDATE(M640,36)-1, "")</f>
        <v>25569.375</v>
      </c>
      <c r="T640" s="50"/>
      <c r="U640" s="50"/>
      <c r="V640" s="48" t="s">
        <v>2161</v>
      </c>
      <c r="W640" s="50"/>
      <c r="X640" s="50"/>
      <c r="Y640" s="56"/>
      <c r="Z640" s="56"/>
      <c r="AA640" s="56"/>
      <c r="AB640" s="56"/>
      <c r="AC640" s="56"/>
      <c r="AD640" s="56"/>
    </row>
    <row x14ac:dyDescent="0.25" r="641" customHeight="1" ht="18.75">
      <c r="A641" s="63" t="s">
        <v>152</v>
      </c>
      <c r="B641" s="63"/>
      <c r="C641" s="49" t="s">
        <v>16</v>
      </c>
      <c r="D641" s="49" t="s">
        <v>143</v>
      </c>
      <c r="E641" s="49" t="s">
        <v>22</v>
      </c>
      <c r="F641" s="49" t="s">
        <v>3110</v>
      </c>
      <c r="G641" s="64">
        <v>20000000</v>
      </c>
      <c r="H641" s="64"/>
      <c r="I641" s="64"/>
      <c r="J641" s="64">
        <v>1800000</v>
      </c>
      <c r="K641" s="64"/>
      <c r="L641" s="66">
        <v>46203</v>
      </c>
      <c r="M641" s="67">
        <f>IF(L641&gt;0,EDATE(L641,-2),"")</f>
        <v>25569.375</v>
      </c>
      <c r="N641" s="49" t="s">
        <v>155</v>
      </c>
      <c r="O641" s="49" t="s">
        <v>3111</v>
      </c>
      <c r="P641" s="68">
        <f>IF(F641&gt;0,F641,"")</f>
      </c>
      <c r="Q641" s="69" t="s">
        <v>3112</v>
      </c>
      <c r="R641" s="69">
        <v>62919208</v>
      </c>
      <c r="S641" s="67">
        <f>IF(ISNUMBER(M641), EDATE(M641,36)-1, "")</f>
        <v>25569.375</v>
      </c>
      <c r="T641" s="49"/>
      <c r="U641" s="49"/>
      <c r="V641" s="63" t="s">
        <v>3113</v>
      </c>
      <c r="W641" s="50"/>
      <c r="X641" s="50"/>
      <c r="Y641" s="56"/>
      <c r="Z641" s="56"/>
      <c r="AA641" s="56"/>
      <c r="AB641" s="56"/>
      <c r="AC641" s="56"/>
      <c r="AD641" s="56"/>
    </row>
    <row x14ac:dyDescent="0.25" r="642" customHeight="1" ht="18.75" hidden="1">
      <c r="A642" s="56"/>
      <c r="B642" s="56"/>
      <c r="C642" s="50" t="s">
        <v>16</v>
      </c>
      <c r="D642" s="50"/>
      <c r="E642" s="50"/>
      <c r="F642" s="50" t="s">
        <v>2164</v>
      </c>
      <c r="G642" s="55">
        <v>20000000</v>
      </c>
      <c r="H642" s="55"/>
      <c r="I642" s="55"/>
      <c r="J642" s="51">
        <v>1528000</v>
      </c>
      <c r="K642" s="51"/>
      <c r="L642" s="52">
        <v>46051</v>
      </c>
      <c r="M642" s="53">
        <v>45990</v>
      </c>
      <c r="N642" s="50" t="s">
        <v>222</v>
      </c>
      <c r="O642" s="50" t="s">
        <v>2165</v>
      </c>
      <c r="P642" s="50" t="s">
        <v>2164</v>
      </c>
      <c r="Q642" s="55" t="s">
        <v>2166</v>
      </c>
      <c r="R642" s="55" t="s">
        <v>2167</v>
      </c>
      <c r="S642" s="53">
        <v>47085</v>
      </c>
      <c r="T642" s="50"/>
      <c r="U642" s="50"/>
      <c r="V642" s="56"/>
      <c r="W642" s="50"/>
      <c r="X642" s="50"/>
      <c r="Y642" s="56"/>
      <c r="Z642" s="56"/>
      <c r="AA642" s="56"/>
      <c r="AB642" s="56"/>
      <c r="AC642" s="56"/>
      <c r="AD642" s="56"/>
    </row>
    <row x14ac:dyDescent="0.25" r="643" customHeight="1" ht="18.75" hidden="1">
      <c r="A643" s="56"/>
      <c r="B643" s="56"/>
      <c r="C643" s="50" t="s">
        <v>16</v>
      </c>
      <c r="D643" s="50"/>
      <c r="E643" s="50" t="s">
        <v>18</v>
      </c>
      <c r="F643" s="50" t="s">
        <v>99</v>
      </c>
      <c r="G643" s="55">
        <v>30000000</v>
      </c>
      <c r="H643" s="55"/>
      <c r="I643" s="55"/>
      <c r="J643" s="51">
        <v>2400000</v>
      </c>
      <c r="K643" s="51"/>
      <c r="L643" s="52">
        <v>45636</v>
      </c>
      <c r="M643" s="53">
        <v>45575</v>
      </c>
      <c r="N643" s="50" t="s">
        <v>217</v>
      </c>
      <c r="O643" s="50" t="s">
        <v>2168</v>
      </c>
      <c r="P643" s="50" t="s">
        <v>99</v>
      </c>
      <c r="Q643" s="55" t="s">
        <v>2169</v>
      </c>
      <c r="R643" s="55" t="s">
        <v>2170</v>
      </c>
      <c r="S643" s="53">
        <v>46669</v>
      </c>
      <c r="T643" s="50"/>
      <c r="U643" s="50"/>
      <c r="V643" s="56"/>
      <c r="W643" s="50"/>
      <c r="X643" s="50"/>
      <c r="Y643" s="56"/>
      <c r="Z643" s="56"/>
      <c r="AA643" s="56"/>
      <c r="AB643" s="56"/>
      <c r="AC643" s="56"/>
      <c r="AD643" s="56"/>
    </row>
    <row x14ac:dyDescent="0.25" r="644" customHeight="1" ht="18.75">
      <c r="A644" s="56"/>
      <c r="B644" s="56"/>
      <c r="C644" s="50" t="s">
        <v>16</v>
      </c>
      <c r="D644" s="50" t="s">
        <v>627</v>
      </c>
      <c r="E644" s="50"/>
      <c r="F644" s="50" t="s">
        <v>1011</v>
      </c>
      <c r="G644" s="55">
        <v>10000000</v>
      </c>
      <c r="H644" s="55"/>
      <c r="I644" s="55"/>
      <c r="J644" s="51">
        <v>1200000</v>
      </c>
      <c r="K644" s="51"/>
      <c r="L644" s="52">
        <v>46205</v>
      </c>
      <c r="M644" s="53">
        <v>46144</v>
      </c>
      <c r="N644" s="50" t="s">
        <v>239</v>
      </c>
      <c r="O644" s="50" t="s">
        <v>1012</v>
      </c>
      <c r="P644" s="50" t="s">
        <v>1011</v>
      </c>
      <c r="Q644" s="55" t="s">
        <v>1013</v>
      </c>
      <c r="R644" s="55" t="s">
        <v>1014</v>
      </c>
      <c r="S644" s="53">
        <v>47239</v>
      </c>
      <c r="T644" s="50" t="s">
        <v>1015</v>
      </c>
      <c r="U644" s="50"/>
      <c r="V644" s="56"/>
      <c r="W644" s="50"/>
      <c r="X644" s="50"/>
      <c r="Y644" s="56"/>
      <c r="Z644" s="56"/>
      <c r="AA644" s="56"/>
      <c r="AB644" s="56"/>
      <c r="AC644" s="56"/>
      <c r="AD644" s="56"/>
    </row>
    <row x14ac:dyDescent="0.25" r="645" customHeight="1" ht="18.75">
      <c r="A645" s="63"/>
      <c r="B645" s="63"/>
      <c r="C645" s="49" t="s">
        <v>16</v>
      </c>
      <c r="D645" s="49"/>
      <c r="E645" s="49" t="s">
        <v>357</v>
      </c>
      <c r="F645" s="49" t="s">
        <v>2775</v>
      </c>
      <c r="G645" s="64">
        <v>10000000</v>
      </c>
      <c r="H645" s="64"/>
      <c r="I645" s="64"/>
      <c r="J645" s="64">
        <v>1200000</v>
      </c>
      <c r="K645" s="64"/>
      <c r="L645" s="66">
        <v>46205</v>
      </c>
      <c r="M645" s="67">
        <f>IF(L645&gt;0,EDATE(L645,-2),"")</f>
        <v>25569.375</v>
      </c>
      <c r="N645" s="49" t="s">
        <v>379</v>
      </c>
      <c r="O645" s="49" t="s">
        <v>2776</v>
      </c>
      <c r="P645" s="68">
        <f>IF(F645&gt;0,F645,"")</f>
      </c>
      <c r="Q645" s="69" t="s">
        <v>2777</v>
      </c>
      <c r="R645" s="69">
        <v>84279989</v>
      </c>
      <c r="S645" s="67">
        <f>IF(ISNUMBER(M645), EDATE(M645,36)-1, "")</f>
        <v>25569.375</v>
      </c>
      <c r="T645" s="49"/>
      <c r="U645" s="49"/>
      <c r="V645" s="63"/>
      <c r="W645" s="50"/>
      <c r="X645" s="50"/>
      <c r="Y645" s="56"/>
      <c r="Z645" s="56"/>
      <c r="AA645" s="56"/>
      <c r="AB645" s="56"/>
      <c r="AC645" s="56"/>
      <c r="AD645" s="56"/>
    </row>
    <row x14ac:dyDescent="0.25" r="646" customHeight="1" ht="18.75" hidden="1">
      <c r="A646" s="48" t="s">
        <v>275</v>
      </c>
      <c r="B646" s="48"/>
      <c r="C646" s="50" t="s">
        <v>16</v>
      </c>
      <c r="D646" s="50" t="s">
        <v>816</v>
      </c>
      <c r="E646" s="50" t="s">
        <v>114</v>
      </c>
      <c r="F646" s="50" t="s">
        <v>2176</v>
      </c>
      <c r="G646" s="55">
        <v>20000000</v>
      </c>
      <c r="H646" s="55"/>
      <c r="I646" s="55"/>
      <c r="J646" s="51">
        <v>1500000</v>
      </c>
      <c r="K646" s="51"/>
      <c r="L646" s="52">
        <v>46118</v>
      </c>
      <c r="M646" s="53">
        <v>46059</v>
      </c>
      <c r="N646" s="50" t="s">
        <v>168</v>
      </c>
      <c r="O646" s="50" t="s">
        <v>2177</v>
      </c>
      <c r="P646" s="50" t="s">
        <v>2176</v>
      </c>
      <c r="Q646" s="55" t="s">
        <v>2178</v>
      </c>
      <c r="R646" s="55" t="s">
        <v>2179</v>
      </c>
      <c r="S646" s="53">
        <v>47154</v>
      </c>
      <c r="T646" s="50"/>
      <c r="U646" s="50"/>
      <c r="V646" s="48" t="s">
        <v>2180</v>
      </c>
      <c r="W646" s="50"/>
      <c r="X646" s="50"/>
      <c r="Y646" s="56"/>
      <c r="Z646" s="56"/>
      <c r="AA646" s="56"/>
      <c r="AB646" s="56"/>
      <c r="AC646" s="56"/>
      <c r="AD646" s="56"/>
    </row>
    <row x14ac:dyDescent="0.25" r="647" customHeight="1" ht="18.75" hidden="1">
      <c r="A647" s="71"/>
      <c r="B647" s="71"/>
      <c r="C647" s="72" t="s">
        <v>16</v>
      </c>
      <c r="D647" s="72"/>
      <c r="E647" s="72" t="s">
        <v>1161</v>
      </c>
      <c r="F647" s="72" t="s">
        <v>2176</v>
      </c>
      <c r="G647" s="73">
        <v>10000000</v>
      </c>
      <c r="H647" s="73"/>
      <c r="I647" s="73"/>
      <c r="J647" s="88"/>
      <c r="K647" s="88"/>
      <c r="L647" s="75">
        <v>46118</v>
      </c>
      <c r="M647" s="76">
        <v>46059</v>
      </c>
      <c r="N647" s="72" t="s">
        <v>282</v>
      </c>
      <c r="O647" s="72" t="s">
        <v>2177</v>
      </c>
      <c r="P647" s="72" t="s">
        <v>2176</v>
      </c>
      <c r="Q647" s="73" t="s">
        <v>2178</v>
      </c>
      <c r="R647" s="73" t="s">
        <v>2179</v>
      </c>
      <c r="S647" s="76">
        <v>47154</v>
      </c>
      <c r="T647" s="72"/>
      <c r="U647" s="72" t="s">
        <v>166</v>
      </c>
      <c r="V647" s="71"/>
      <c r="W647" s="50"/>
      <c r="X647" s="50"/>
      <c r="Y647" s="56"/>
      <c r="Z647" s="56"/>
      <c r="AA647" s="56"/>
      <c r="AB647" s="56"/>
      <c r="AC647" s="56"/>
      <c r="AD647" s="56"/>
    </row>
    <row x14ac:dyDescent="0.25" r="648" customHeight="1" ht="18.75" hidden="1">
      <c r="A648" s="71"/>
      <c r="B648" s="71"/>
      <c r="C648" s="72" t="s">
        <v>16</v>
      </c>
      <c r="D648" s="72"/>
      <c r="E648" s="72"/>
      <c r="F648" s="72" t="s">
        <v>2181</v>
      </c>
      <c r="G648" s="55">
        <v>10000000</v>
      </c>
      <c r="H648" s="55"/>
      <c r="I648" s="55"/>
      <c r="J648" s="51">
        <v>800000</v>
      </c>
      <c r="K648" s="51"/>
      <c r="L648" s="75">
        <v>46166</v>
      </c>
      <c r="M648" s="76">
        <v>46105</v>
      </c>
      <c r="N648" s="72" t="s">
        <v>205</v>
      </c>
      <c r="O648" s="72" t="s">
        <v>711</v>
      </c>
      <c r="P648" s="72" t="s">
        <v>2181</v>
      </c>
      <c r="Q648" s="73" t="s">
        <v>2182</v>
      </c>
      <c r="R648" s="73" t="s">
        <v>2183</v>
      </c>
      <c r="S648" s="76">
        <v>47200</v>
      </c>
      <c r="T648" s="72" t="s">
        <v>2184</v>
      </c>
      <c r="U648" s="72"/>
      <c r="V648" s="71" t="s">
        <v>1856</v>
      </c>
      <c r="W648" s="50"/>
      <c r="X648" s="50"/>
      <c r="Y648" s="56"/>
      <c r="Z648" s="56"/>
      <c r="AA648" s="56"/>
      <c r="AB648" s="56"/>
      <c r="AC648" s="56"/>
      <c r="AD648" s="56"/>
    </row>
    <row x14ac:dyDescent="0.25" r="649" customHeight="1" ht="18.75" hidden="1">
      <c r="A649" s="48" t="s">
        <v>275</v>
      </c>
      <c r="B649" s="48"/>
      <c r="C649" s="49" t="s">
        <v>16</v>
      </c>
      <c r="D649" s="50"/>
      <c r="E649" s="50"/>
      <c r="F649" s="50" t="s">
        <v>2181</v>
      </c>
      <c r="G649" s="51">
        <v>10000000</v>
      </c>
      <c r="H649" s="51"/>
      <c r="I649" s="51"/>
      <c r="J649" s="87">
        <f>IF(G649&gt;0,_xludf.IFS(G649=10000000,800000,G649=20000000,1528000,G649=30000000,2028000,G649=60000000,4056000),"")</f>
      </c>
      <c r="K649" s="51"/>
      <c r="L649" s="52">
        <v>46166</v>
      </c>
      <c r="M649" s="53">
        <f>IF(L649&gt;0,EDATE(L649,-2),"")</f>
        <v>25569.375</v>
      </c>
      <c r="N649" s="50" t="s">
        <v>205</v>
      </c>
      <c r="O649" s="50" t="s">
        <v>711</v>
      </c>
      <c r="P649" s="50" t="s">
        <v>2156</v>
      </c>
      <c r="Q649" s="55" t="s">
        <v>2182</v>
      </c>
      <c r="R649" s="55">
        <v>67515034</v>
      </c>
      <c r="S649" s="53">
        <f>IF(ISNUMBER(M649), EDATE(M649,36)-1, "")</f>
        <v>25569.375</v>
      </c>
      <c r="T649" s="50"/>
      <c r="U649" s="50"/>
      <c r="V649" s="48" t="s">
        <v>715</v>
      </c>
      <c r="W649" s="50"/>
      <c r="X649" s="50"/>
      <c r="Y649" s="56"/>
      <c r="Z649" s="56"/>
      <c r="AA649" s="56"/>
      <c r="AB649" s="56"/>
      <c r="AC649" s="56"/>
      <c r="AD649" s="56"/>
    </row>
    <row x14ac:dyDescent="0.25" r="650" customHeight="1" ht="18.75" hidden="1">
      <c r="A650" s="56"/>
      <c r="B650" s="56"/>
      <c r="C650" s="49" t="s">
        <v>16</v>
      </c>
      <c r="D650" s="50"/>
      <c r="E650" s="50"/>
      <c r="F650" s="50" t="s">
        <v>2185</v>
      </c>
      <c r="G650" s="51">
        <v>10000000</v>
      </c>
      <c r="H650" s="51"/>
      <c r="I650" s="51"/>
      <c r="J650" s="87">
        <f>IF(G650&gt;0,_xludf.IFS(G650=10000000,800000,G650=20000000,1528000,G650=30000000,2028000,G650=60000000,4056000),"")</f>
      </c>
      <c r="K650" s="51"/>
      <c r="L650" s="52">
        <v>46041</v>
      </c>
      <c r="M650" s="53">
        <f>IF(L650&gt;0,EDATE(L650,-2),"")</f>
        <v>25569.375</v>
      </c>
      <c r="N650" s="50" t="s">
        <v>205</v>
      </c>
      <c r="O650" s="50" t="s">
        <v>2186</v>
      </c>
      <c r="P650" s="54">
        <f>IF(F650&gt;0,F650,"")</f>
      </c>
      <c r="Q650" s="55" t="s">
        <v>2187</v>
      </c>
      <c r="R650" s="55">
        <v>24520756</v>
      </c>
      <c r="S650" s="53">
        <f>IF(ISNUMBER(M650), EDATE(M650,36)-1, "")</f>
        <v>25569.375</v>
      </c>
      <c r="T650" s="50"/>
      <c r="U650" s="50"/>
      <c r="V650" s="56"/>
      <c r="W650" s="50"/>
      <c r="X650" s="50"/>
      <c r="Y650" s="56"/>
      <c r="Z650" s="56"/>
      <c r="AA650" s="56"/>
      <c r="AB650" s="56"/>
      <c r="AC650" s="56"/>
      <c r="AD650" s="56"/>
    </row>
    <row x14ac:dyDescent="0.25" r="651" customHeight="1" ht="18.75">
      <c r="A651" s="63" t="s">
        <v>152</v>
      </c>
      <c r="B651" s="63"/>
      <c r="C651" s="49" t="s">
        <v>16</v>
      </c>
      <c r="D651" s="49" t="s">
        <v>55</v>
      </c>
      <c r="E651" s="49" t="s">
        <v>56</v>
      </c>
      <c r="F651" s="49" t="s">
        <v>1305</v>
      </c>
      <c r="G651" s="64">
        <v>20000000</v>
      </c>
      <c r="H651" s="64"/>
      <c r="I651" s="64"/>
      <c r="J651" s="65">
        <f>IF(G651&gt;0,_xludf.IFS(G651=10000000,800000,G651=20000000,1528000,G651=30000000,2028000,G651=60000000,4056000),"")</f>
      </c>
      <c r="K651" s="64"/>
      <c r="L651" s="66">
        <v>46209</v>
      </c>
      <c r="M651" s="67">
        <v>46146</v>
      </c>
      <c r="N651" s="49" t="s">
        <v>168</v>
      </c>
      <c r="O651" s="49" t="s">
        <v>1308</v>
      </c>
      <c r="P651" s="68">
        <f>IF(F651&gt;0,F651,"")</f>
      </c>
      <c r="Q651" s="69" t="s">
        <v>1309</v>
      </c>
      <c r="R651" s="69">
        <v>87852273</v>
      </c>
      <c r="S651" s="67">
        <f>IF(ISNUMBER(M651), EDATE(M651,36)-1, "")</f>
        <v>25569.375</v>
      </c>
      <c r="T651" s="49"/>
      <c r="U651" s="49"/>
      <c r="V651" s="63" t="s">
        <v>1310</v>
      </c>
      <c r="W651" s="50"/>
      <c r="X651" s="50"/>
      <c r="Y651" s="56"/>
      <c r="Z651" s="56"/>
      <c r="AA651" s="56"/>
      <c r="AB651" s="56"/>
      <c r="AC651" s="56"/>
      <c r="AD651" s="56"/>
    </row>
    <row x14ac:dyDescent="0.25" r="652" customHeight="1" ht="18.75">
      <c r="A652" s="63"/>
      <c r="B652" s="63"/>
      <c r="C652" s="49" t="s">
        <v>16</v>
      </c>
      <c r="D652" s="49" t="s">
        <v>48</v>
      </c>
      <c r="E652" s="49" t="s">
        <v>117</v>
      </c>
      <c r="F652" s="49" t="s">
        <v>1596</v>
      </c>
      <c r="G652" s="64">
        <v>10000000</v>
      </c>
      <c r="H652" s="64"/>
      <c r="I652" s="64"/>
      <c r="J652" s="65">
        <f>IF(G652&gt;0,_xludf.IFS(G652=10000000,800000,G652=20000000,1528000,G652=30000000,2028000,G652=60000000,4056000),"")</f>
      </c>
      <c r="K652" s="64"/>
      <c r="L652" s="66">
        <v>46177</v>
      </c>
      <c r="M652" s="67">
        <v>46146</v>
      </c>
      <c r="N652" s="49" t="s">
        <v>239</v>
      </c>
      <c r="O652" s="49" t="s">
        <v>1597</v>
      </c>
      <c r="P652" s="68">
        <f>IF(F652&gt;0,F652,"")</f>
      </c>
      <c r="Q652" s="69" t="s">
        <v>1598</v>
      </c>
      <c r="R652" s="69">
        <v>55834758</v>
      </c>
      <c r="S652" s="67">
        <v>47241</v>
      </c>
      <c r="T652" s="49"/>
      <c r="U652" s="49"/>
      <c r="V652" s="63"/>
      <c r="W652" s="50"/>
      <c r="X652" s="50"/>
      <c r="Y652" s="56"/>
      <c r="Z652" s="56"/>
      <c r="AA652" s="56"/>
      <c r="AB652" s="56"/>
      <c r="AC652" s="56"/>
      <c r="AD652" s="56"/>
    </row>
    <row x14ac:dyDescent="0.25" r="653" customHeight="1" ht="18.75" hidden="1">
      <c r="A653" s="56"/>
      <c r="B653" s="56"/>
      <c r="C653" s="50" t="s">
        <v>16</v>
      </c>
      <c r="D653" s="50"/>
      <c r="E653" s="50"/>
      <c r="F653" s="50" t="s">
        <v>2190</v>
      </c>
      <c r="G653" s="55">
        <v>10000000</v>
      </c>
      <c r="H653" s="55"/>
      <c r="I653" s="55"/>
      <c r="J653" s="51">
        <v>800000</v>
      </c>
      <c r="K653" s="51"/>
      <c r="L653" s="52">
        <v>46029</v>
      </c>
      <c r="M653" s="53">
        <v>45968</v>
      </c>
      <c r="N653" s="50" t="s">
        <v>306</v>
      </c>
      <c r="O653" s="50" t="s">
        <v>2191</v>
      </c>
      <c r="P653" s="50" t="s">
        <v>2190</v>
      </c>
      <c r="Q653" s="55" t="s">
        <v>2192</v>
      </c>
      <c r="R653" s="55" t="s">
        <v>2193</v>
      </c>
      <c r="S653" s="53">
        <v>47063</v>
      </c>
      <c r="T653" s="50"/>
      <c r="U653" s="50"/>
      <c r="V653" s="56"/>
      <c r="W653" s="50"/>
      <c r="X653" s="50"/>
      <c r="Y653" s="56"/>
      <c r="Z653" s="56"/>
      <c r="AA653" s="56"/>
      <c r="AB653" s="56"/>
      <c r="AC653" s="56"/>
      <c r="AD653" s="56"/>
    </row>
    <row x14ac:dyDescent="0.25" r="654" customHeight="1" ht="18.75" hidden="1">
      <c r="A654" s="48" t="s">
        <v>3326</v>
      </c>
      <c r="B654" s="48"/>
      <c r="C654" s="50" t="s">
        <v>16</v>
      </c>
      <c r="D654" s="50"/>
      <c r="E654" s="50"/>
      <c r="F654" s="50" t="s">
        <v>2194</v>
      </c>
      <c r="G654" s="55">
        <v>60000000</v>
      </c>
      <c r="H654" s="55"/>
      <c r="I654" s="55"/>
      <c r="J654" s="51">
        <v>4800000</v>
      </c>
      <c r="K654" s="51"/>
      <c r="L654" s="52">
        <v>46180</v>
      </c>
      <c r="M654" s="53">
        <v>45848</v>
      </c>
      <c r="N654" s="50" t="s">
        <v>212</v>
      </c>
      <c r="O654" s="50" t="s">
        <v>2195</v>
      </c>
      <c r="P654" s="50" t="s">
        <v>2194</v>
      </c>
      <c r="Q654" s="55" t="s">
        <v>2196</v>
      </c>
      <c r="R654" s="55" t="s">
        <v>2197</v>
      </c>
      <c r="S654" s="53">
        <v>46943</v>
      </c>
      <c r="T654" s="50"/>
      <c r="U654" s="50"/>
      <c r="V654" s="56"/>
      <c r="W654" s="50"/>
      <c r="X654" s="50"/>
      <c r="Y654" s="56"/>
      <c r="Z654" s="56"/>
      <c r="AA654" s="56"/>
      <c r="AB654" s="56"/>
      <c r="AC654" s="56"/>
      <c r="AD654" s="56"/>
    </row>
    <row x14ac:dyDescent="0.25" r="655" customHeight="1" ht="18.75" hidden="1">
      <c r="A655" s="56"/>
      <c r="B655" s="56"/>
      <c r="C655" s="50" t="s">
        <v>13</v>
      </c>
      <c r="D655" s="50"/>
      <c r="E655" s="50"/>
      <c r="F655" s="50" t="s">
        <v>2199</v>
      </c>
      <c r="G655" s="55">
        <v>10000000</v>
      </c>
      <c r="H655" s="55"/>
      <c r="I655" s="55"/>
      <c r="J655" s="51">
        <v>900000</v>
      </c>
      <c r="K655" s="51"/>
      <c r="L655" s="52">
        <v>45778</v>
      </c>
      <c r="M655" s="53">
        <v>45717</v>
      </c>
      <c r="N655" s="50" t="s">
        <v>217</v>
      </c>
      <c r="O655" s="50" t="s">
        <v>2200</v>
      </c>
      <c r="P655" s="50" t="s">
        <v>2199</v>
      </c>
      <c r="Q655" s="55" t="s">
        <v>2201</v>
      </c>
      <c r="R655" s="55" t="s">
        <v>2202</v>
      </c>
      <c r="S655" s="53">
        <v>46812</v>
      </c>
      <c r="T655" s="50"/>
      <c r="U655" s="50"/>
      <c r="V655" s="56"/>
      <c r="W655" s="50"/>
      <c r="X655" s="50"/>
      <c r="Y655" s="56"/>
      <c r="Z655" s="56"/>
      <c r="AA655" s="56"/>
      <c r="AB655" s="56"/>
      <c r="AC655" s="56"/>
      <c r="AD655" s="56"/>
    </row>
    <row x14ac:dyDescent="0.25" r="656" customHeight="1" ht="18.75" hidden="1">
      <c r="A656" s="56"/>
      <c r="B656" s="56"/>
      <c r="C656" s="50" t="s">
        <v>16</v>
      </c>
      <c r="D656" s="50"/>
      <c r="E656" s="50"/>
      <c r="F656" s="50" t="s">
        <v>2203</v>
      </c>
      <c r="G656" s="55">
        <v>10000000</v>
      </c>
      <c r="H656" s="55"/>
      <c r="I656" s="55"/>
      <c r="J656" s="51">
        <v>800000</v>
      </c>
      <c r="K656" s="51"/>
      <c r="L656" s="52">
        <v>46056</v>
      </c>
      <c r="M656" s="53">
        <v>45994</v>
      </c>
      <c r="N656" s="50" t="s">
        <v>217</v>
      </c>
      <c r="O656" s="50" t="s">
        <v>2204</v>
      </c>
      <c r="P656" s="50" t="s">
        <v>2203</v>
      </c>
      <c r="Q656" s="55" t="s">
        <v>2205</v>
      </c>
      <c r="R656" s="55" t="s">
        <v>2206</v>
      </c>
      <c r="S656" s="53">
        <v>47089</v>
      </c>
      <c r="T656" s="50"/>
      <c r="U656" s="50"/>
      <c r="V656" s="56"/>
      <c r="W656" s="50"/>
      <c r="X656" s="50"/>
      <c r="Y656" s="56"/>
      <c r="Z656" s="56"/>
      <c r="AA656" s="56"/>
      <c r="AB656" s="56"/>
      <c r="AC656" s="56"/>
      <c r="AD656" s="56"/>
    </row>
    <row x14ac:dyDescent="0.25" r="657" customHeight="1" ht="18.75" hidden="1">
      <c r="A657" s="56"/>
      <c r="B657" s="56"/>
      <c r="C657" s="50" t="s">
        <v>16</v>
      </c>
      <c r="D657" s="50"/>
      <c r="E657" s="50"/>
      <c r="F657" s="50" t="s">
        <v>534</v>
      </c>
      <c r="G657" s="55">
        <v>60000000</v>
      </c>
      <c r="H657" s="55"/>
      <c r="I657" s="55"/>
      <c r="J657" s="51">
        <v>4056000</v>
      </c>
      <c r="K657" s="51"/>
      <c r="L657" s="52">
        <v>46013</v>
      </c>
      <c r="M657" s="53">
        <v>45952</v>
      </c>
      <c r="N657" s="50" t="s">
        <v>306</v>
      </c>
      <c r="O657" s="50" t="s">
        <v>2207</v>
      </c>
      <c r="P657" s="50" t="s">
        <v>534</v>
      </c>
      <c r="Q657" s="55" t="s">
        <v>2208</v>
      </c>
      <c r="R657" s="55" t="s">
        <v>2209</v>
      </c>
      <c r="S657" s="53">
        <v>47047</v>
      </c>
      <c r="T657" s="50"/>
      <c r="U657" s="50"/>
      <c r="V657" s="56"/>
      <c r="W657" s="50"/>
      <c r="X657" s="50"/>
      <c r="Y657" s="56"/>
      <c r="Z657" s="56"/>
      <c r="AA657" s="56"/>
      <c r="AB657" s="56"/>
      <c r="AC657" s="56"/>
      <c r="AD657" s="56"/>
    </row>
    <row x14ac:dyDescent="0.25" r="658" customHeight="1" ht="18.75">
      <c r="A658" s="56"/>
      <c r="B658" s="56"/>
      <c r="C658" s="50" t="s">
        <v>16</v>
      </c>
      <c r="D658" s="50" t="s">
        <v>48</v>
      </c>
      <c r="E658" s="50" t="s">
        <v>117</v>
      </c>
      <c r="F658" s="50" t="s">
        <v>636</v>
      </c>
      <c r="G658" s="51">
        <v>10000000</v>
      </c>
      <c r="H658" s="51"/>
      <c r="I658" s="51"/>
      <c r="J658" s="87">
        <f>IF(G658&gt;0,_xludf.IFS(G658=10000000,1200000,G658=20000000,1800000,G658=30000000,2400000,G658=60000000,4000000),"")</f>
      </c>
      <c r="K658" s="51"/>
      <c r="L658" s="52">
        <v>46207</v>
      </c>
      <c r="M658" s="53">
        <f>IF(L658&gt;0,EDATE(L658,-2),"")</f>
        <v>25569.375</v>
      </c>
      <c r="N658" s="50" t="s">
        <v>168</v>
      </c>
      <c r="O658" s="50" t="s">
        <v>3327</v>
      </c>
      <c r="P658" s="54">
        <f>IF(F658&gt;0,F658,"")</f>
      </c>
      <c r="Q658" s="55">
        <v>7304202267710</v>
      </c>
      <c r="R658" s="55">
        <v>56595871</v>
      </c>
      <c r="S658" s="53">
        <f>IF(ISNUMBER(M658), EDATE(M658,36)-1, "")</f>
        <v>25569.375</v>
      </c>
      <c r="T658" s="50"/>
      <c r="U658" s="50"/>
      <c r="V658" s="56"/>
      <c r="W658" s="50"/>
      <c r="X658" s="50"/>
      <c r="Y658" s="56"/>
      <c r="Z658" s="56"/>
      <c r="AA658" s="56"/>
      <c r="AB658" s="56"/>
      <c r="AC658" s="56"/>
      <c r="AD658" s="56"/>
    </row>
    <row x14ac:dyDescent="0.25" r="659" customHeight="1" ht="18.75" hidden="1">
      <c r="A659" s="56"/>
      <c r="B659" s="56"/>
      <c r="C659" s="50" t="s">
        <v>16</v>
      </c>
      <c r="D659" s="50"/>
      <c r="E659" s="50"/>
      <c r="F659" s="50" t="s">
        <v>2213</v>
      </c>
      <c r="G659" s="55">
        <v>10000000</v>
      </c>
      <c r="H659" s="55"/>
      <c r="I659" s="55"/>
      <c r="J659" s="51">
        <v>800000</v>
      </c>
      <c r="K659" s="51"/>
      <c r="L659" s="52">
        <v>46126</v>
      </c>
      <c r="M659" s="53">
        <v>46067</v>
      </c>
      <c r="N659" s="50" t="s">
        <v>282</v>
      </c>
      <c r="O659" s="50" t="s">
        <v>471</v>
      </c>
      <c r="P659" s="50" t="s">
        <v>2213</v>
      </c>
      <c r="Q659" s="55" t="s">
        <v>2214</v>
      </c>
      <c r="R659" s="55" t="s">
        <v>2215</v>
      </c>
      <c r="S659" s="53">
        <v>47162</v>
      </c>
      <c r="T659" s="50" t="s">
        <v>2216</v>
      </c>
      <c r="U659" s="50" t="s">
        <v>166</v>
      </c>
      <c r="V659" s="56"/>
      <c r="W659" s="50"/>
      <c r="X659" s="50"/>
      <c r="Y659" s="56"/>
      <c r="Z659" s="56"/>
      <c r="AA659" s="56"/>
      <c r="AB659" s="56"/>
      <c r="AC659" s="56"/>
      <c r="AD659" s="56"/>
    </row>
    <row x14ac:dyDescent="0.25" r="660" customHeight="1" ht="18.75">
      <c r="A660" s="56"/>
      <c r="B660" s="56"/>
      <c r="C660" s="49" t="s">
        <v>16</v>
      </c>
      <c r="D660" s="50" t="s">
        <v>143</v>
      </c>
      <c r="E660" s="50" t="s">
        <v>2247</v>
      </c>
      <c r="F660" s="50" t="s">
        <v>2248</v>
      </c>
      <c r="G660" s="51">
        <v>10000000</v>
      </c>
      <c r="H660" s="51"/>
      <c r="I660" s="51"/>
      <c r="J660" s="51">
        <v>1200000</v>
      </c>
      <c r="K660" s="51"/>
      <c r="L660" s="52">
        <v>46207</v>
      </c>
      <c r="M660" s="53">
        <f>IF(L660&gt;0,EDATE(L660,-2),"")</f>
        <v>25569.375</v>
      </c>
      <c r="N660" s="50" t="s">
        <v>168</v>
      </c>
      <c r="O660" s="50" t="s">
        <v>2249</v>
      </c>
      <c r="P660" s="54">
        <f>IF(F660&gt;0,F660,"")</f>
      </c>
      <c r="Q660" s="55" t="s">
        <v>2250</v>
      </c>
      <c r="R660" s="55">
        <v>31280384</v>
      </c>
      <c r="S660" s="53">
        <f>IF(ISNUMBER(M660), EDATE(M660,36)-1, "")</f>
        <v>25569.375</v>
      </c>
      <c r="T660" s="50"/>
      <c r="U660" s="50"/>
      <c r="V660" s="56"/>
      <c r="W660" s="50"/>
      <c r="X660" s="50"/>
      <c r="Y660" s="56"/>
      <c r="Z660" s="56"/>
      <c r="AA660" s="56"/>
      <c r="AB660" s="56"/>
      <c r="AC660" s="56"/>
      <c r="AD660" s="56"/>
    </row>
    <row x14ac:dyDescent="0.25" r="661" customHeight="1" ht="18.75">
      <c r="A661" s="56"/>
      <c r="B661" s="56"/>
      <c r="C661" s="49" t="s">
        <v>16</v>
      </c>
      <c r="D661" s="50" t="s">
        <v>55</v>
      </c>
      <c r="E661" s="50" t="s">
        <v>56</v>
      </c>
      <c r="F661" s="50" t="s">
        <v>2268</v>
      </c>
      <c r="G661" s="51">
        <v>30000000</v>
      </c>
      <c r="H661" s="51"/>
      <c r="I661" s="51"/>
      <c r="J661" s="87">
        <f>IF(G661&gt;0,_xludf.IFS(G661=10000000,800000,G661=20000000,1528000,G661=30000000,2028000,G661=60000000,4056000),"")</f>
      </c>
      <c r="K661" s="51"/>
      <c r="L661" s="52">
        <v>46207</v>
      </c>
      <c r="M661" s="53">
        <f>IF(L661&gt;0,EDATE(L661,-2),"")</f>
        <v>25569.375</v>
      </c>
      <c r="N661" s="50" t="s">
        <v>302</v>
      </c>
      <c r="O661" s="50" t="s">
        <v>2269</v>
      </c>
      <c r="P661" s="54">
        <f>IF(F661&gt;0,F661,"")</f>
      </c>
      <c r="Q661" s="55" t="s">
        <v>2270</v>
      </c>
      <c r="R661" s="55">
        <v>34322427</v>
      </c>
      <c r="S661" s="53">
        <f>IF(ISNUMBER(M661), EDATE(M661,36)-1, "")</f>
        <v>25569.375</v>
      </c>
      <c r="T661" s="50"/>
      <c r="U661" s="50"/>
      <c r="V661" s="56"/>
      <c r="W661" s="50"/>
      <c r="X661" s="50"/>
      <c r="Y661" s="56"/>
      <c r="Z661" s="56"/>
      <c r="AA661" s="56"/>
      <c r="AB661" s="56"/>
      <c r="AC661" s="56"/>
      <c r="AD661" s="56"/>
    </row>
    <row x14ac:dyDescent="0.25" r="662" customHeight="1" ht="18.75">
      <c r="A662" s="56"/>
      <c r="B662" s="56"/>
      <c r="C662" s="50" t="s">
        <v>16</v>
      </c>
      <c r="D662" s="50" t="s">
        <v>454</v>
      </c>
      <c r="E662" s="50"/>
      <c r="F662" s="50" t="s">
        <v>2404</v>
      </c>
      <c r="G662" s="55">
        <v>60000000</v>
      </c>
      <c r="H662" s="55"/>
      <c r="I662" s="55"/>
      <c r="J662" s="51">
        <v>4056000</v>
      </c>
      <c r="K662" s="51"/>
      <c r="L662" s="52">
        <v>46207</v>
      </c>
      <c r="M662" s="53">
        <v>46146</v>
      </c>
      <c r="N662" s="50" t="s">
        <v>306</v>
      </c>
      <c r="O662" s="50" t="s">
        <v>2405</v>
      </c>
      <c r="P662" s="50" t="s">
        <v>2404</v>
      </c>
      <c r="Q662" s="55" t="s">
        <v>2406</v>
      </c>
      <c r="R662" s="55" t="s">
        <v>2407</v>
      </c>
      <c r="S662" s="53">
        <v>47241</v>
      </c>
      <c r="T662" s="50"/>
      <c r="U662" s="50"/>
      <c r="V662" s="56"/>
      <c r="W662" s="50"/>
      <c r="X662" s="50"/>
      <c r="Y662" s="56"/>
      <c r="Z662" s="56"/>
      <c r="AA662" s="56"/>
      <c r="AB662" s="56"/>
      <c r="AC662" s="56"/>
      <c r="AD662" s="56"/>
    </row>
    <row x14ac:dyDescent="0.25" r="663" customHeight="1" ht="18.75" hidden="1">
      <c r="A663" s="56"/>
      <c r="B663" s="56"/>
      <c r="C663" s="50" t="s">
        <v>16</v>
      </c>
      <c r="D663" s="50"/>
      <c r="E663" s="50"/>
      <c r="F663" s="50" t="s">
        <v>1332</v>
      </c>
      <c r="G663" s="55">
        <v>30000000</v>
      </c>
      <c r="H663" s="55"/>
      <c r="I663" s="55"/>
      <c r="J663" s="51">
        <v>2400000</v>
      </c>
      <c r="K663" s="51"/>
      <c r="L663" s="52">
        <v>46003</v>
      </c>
      <c r="M663" s="53">
        <v>45942</v>
      </c>
      <c r="N663" s="50" t="s">
        <v>155</v>
      </c>
      <c r="O663" s="50" t="s">
        <v>2229</v>
      </c>
      <c r="P663" s="50" t="s">
        <v>1332</v>
      </c>
      <c r="Q663" s="55" t="s">
        <v>2230</v>
      </c>
      <c r="R663" s="55" t="s">
        <v>2231</v>
      </c>
      <c r="S663" s="53">
        <v>47037</v>
      </c>
      <c r="T663" s="50"/>
      <c r="U663" s="50"/>
      <c r="V663" s="56"/>
      <c r="W663" s="50"/>
      <c r="X663" s="50"/>
      <c r="Y663" s="56"/>
      <c r="Z663" s="56"/>
      <c r="AA663" s="56"/>
      <c r="AB663" s="56"/>
      <c r="AC663" s="56"/>
      <c r="AD663" s="56"/>
    </row>
    <row x14ac:dyDescent="0.25" r="664" customHeight="1" ht="18.75" hidden="1">
      <c r="A664" s="56"/>
      <c r="B664" s="56"/>
      <c r="C664" s="50" t="s">
        <v>16</v>
      </c>
      <c r="D664" s="50"/>
      <c r="E664" s="50"/>
      <c r="F664" s="50" t="s">
        <v>2232</v>
      </c>
      <c r="G664" s="55">
        <v>10000000</v>
      </c>
      <c r="H664" s="55"/>
      <c r="I664" s="55"/>
      <c r="J664" s="51">
        <v>800000</v>
      </c>
      <c r="K664" s="51"/>
      <c r="L664" s="52">
        <v>46081</v>
      </c>
      <c r="M664" s="53">
        <v>46022</v>
      </c>
      <c r="N664" s="50" t="s">
        <v>205</v>
      </c>
      <c r="O664" s="50" t="s">
        <v>2233</v>
      </c>
      <c r="P664" s="50" t="s">
        <v>2232</v>
      </c>
      <c r="Q664" s="55" t="s">
        <v>2234</v>
      </c>
      <c r="R664" s="55" t="s">
        <v>2235</v>
      </c>
      <c r="S664" s="53">
        <v>47117</v>
      </c>
      <c r="T664" s="50"/>
      <c r="U664" s="50"/>
      <c r="V664" s="56"/>
      <c r="W664" s="50"/>
      <c r="X664" s="50"/>
      <c r="Y664" s="56"/>
      <c r="Z664" s="56"/>
      <c r="AA664" s="56"/>
      <c r="AB664" s="56"/>
      <c r="AC664" s="56"/>
      <c r="AD664" s="56"/>
    </row>
    <row x14ac:dyDescent="0.25" r="665" customHeight="1" ht="18.75" hidden="1">
      <c r="A665" s="56"/>
      <c r="B665" s="56"/>
      <c r="C665" s="50" t="s">
        <v>113</v>
      </c>
      <c r="D665" s="50"/>
      <c r="E665" s="50"/>
      <c r="F665" s="50" t="s">
        <v>100</v>
      </c>
      <c r="G665" s="55">
        <v>30000000</v>
      </c>
      <c r="H665" s="55"/>
      <c r="I665" s="55"/>
      <c r="J665" s="51">
        <v>1500000</v>
      </c>
      <c r="K665" s="51"/>
      <c r="L665" s="52">
        <v>45595</v>
      </c>
      <c r="M665" s="53">
        <v>45534</v>
      </c>
      <c r="N665" s="50" t="s">
        <v>168</v>
      </c>
      <c r="O665" s="50" t="s">
        <v>2236</v>
      </c>
      <c r="P665" s="50" t="s">
        <v>100</v>
      </c>
      <c r="Q665" s="55" t="s">
        <v>2237</v>
      </c>
      <c r="R665" s="55" t="s">
        <v>2238</v>
      </c>
      <c r="S665" s="53">
        <v>47359</v>
      </c>
      <c r="T665" s="50"/>
      <c r="U665" s="50"/>
      <c r="V665" s="56"/>
      <c r="W665" s="50"/>
      <c r="X665" s="50"/>
      <c r="Y665" s="56"/>
      <c r="Z665" s="56"/>
      <c r="AA665" s="56"/>
      <c r="AB665" s="56"/>
      <c r="AC665" s="56"/>
      <c r="AD665" s="56"/>
    </row>
    <row x14ac:dyDescent="0.25" r="666" customHeight="1" ht="18.75" hidden="1">
      <c r="A666" s="56"/>
      <c r="B666" s="56"/>
      <c r="C666" s="50" t="s">
        <v>16</v>
      </c>
      <c r="D666" s="50"/>
      <c r="E666" s="50"/>
      <c r="F666" s="50" t="s">
        <v>100</v>
      </c>
      <c r="G666" s="55">
        <v>30000000</v>
      </c>
      <c r="H666" s="55"/>
      <c r="I666" s="55"/>
      <c r="J666" s="51">
        <v>2400000</v>
      </c>
      <c r="K666" s="51"/>
      <c r="L666" s="52">
        <v>45912</v>
      </c>
      <c r="M666" s="53">
        <v>45847</v>
      </c>
      <c r="N666" s="50" t="s">
        <v>168</v>
      </c>
      <c r="O666" s="50" t="s">
        <v>2239</v>
      </c>
      <c r="P666" s="50" t="s">
        <v>100</v>
      </c>
      <c r="Q666" s="55" t="s">
        <v>2237</v>
      </c>
      <c r="R666" s="55" t="s">
        <v>2240</v>
      </c>
      <c r="S666" s="53">
        <v>46942</v>
      </c>
      <c r="T666" s="50"/>
      <c r="U666" s="50"/>
      <c r="V666" s="56"/>
      <c r="W666" s="50"/>
      <c r="X666" s="50"/>
      <c r="Y666" s="56"/>
      <c r="Z666" s="56"/>
      <c r="AA666" s="56"/>
      <c r="AB666" s="56"/>
      <c r="AC666" s="56"/>
      <c r="AD666" s="56"/>
    </row>
    <row x14ac:dyDescent="0.25" r="667" customHeight="1" ht="18.75" hidden="1">
      <c r="A667" s="56"/>
      <c r="B667" s="56"/>
      <c r="C667" s="50" t="s">
        <v>16</v>
      </c>
      <c r="D667" s="50"/>
      <c r="E667" s="50"/>
      <c r="F667" s="50" t="s">
        <v>100</v>
      </c>
      <c r="G667" s="55">
        <v>60000000</v>
      </c>
      <c r="H667" s="55"/>
      <c r="I667" s="55"/>
      <c r="J667" s="51">
        <v>4800000</v>
      </c>
      <c r="K667" s="51"/>
      <c r="L667" s="52">
        <v>45910</v>
      </c>
      <c r="M667" s="53">
        <v>45848</v>
      </c>
      <c r="N667" s="50" t="s">
        <v>168</v>
      </c>
      <c r="O667" s="50" t="s">
        <v>2236</v>
      </c>
      <c r="P667" s="50" t="s">
        <v>100</v>
      </c>
      <c r="Q667" s="55" t="s">
        <v>2237</v>
      </c>
      <c r="R667" s="55" t="s">
        <v>2240</v>
      </c>
      <c r="S667" s="53">
        <v>46943</v>
      </c>
      <c r="T667" s="50"/>
      <c r="U667" s="50"/>
      <c r="V667" s="56"/>
      <c r="W667" s="50"/>
      <c r="X667" s="50"/>
      <c r="Y667" s="56"/>
      <c r="Z667" s="56"/>
      <c r="AA667" s="56"/>
      <c r="AB667" s="56"/>
      <c r="AC667" s="56"/>
      <c r="AD667" s="56"/>
    </row>
    <row x14ac:dyDescent="0.25" r="668" customHeight="1" ht="18.75" hidden="1">
      <c r="A668" s="56" t="s">
        <v>152</v>
      </c>
      <c r="B668" s="56"/>
      <c r="C668" s="50" t="s">
        <v>16</v>
      </c>
      <c r="D668" s="50"/>
      <c r="E668" s="50"/>
      <c r="F668" s="50" t="s">
        <v>101</v>
      </c>
      <c r="G668" s="55">
        <v>20000000</v>
      </c>
      <c r="H668" s="55"/>
      <c r="I668" s="55"/>
      <c r="J668" s="51">
        <v>1000000</v>
      </c>
      <c r="K668" s="51"/>
      <c r="L668" s="52">
        <v>46046</v>
      </c>
      <c r="M668" s="53">
        <v>45985</v>
      </c>
      <c r="N668" s="50" t="s">
        <v>174</v>
      </c>
      <c r="O668" s="50" t="s">
        <v>2242</v>
      </c>
      <c r="P668" s="50" t="s">
        <v>101</v>
      </c>
      <c r="Q668" s="55" t="s">
        <v>2243</v>
      </c>
      <c r="R668" s="55" t="s">
        <v>2244</v>
      </c>
      <c r="S668" s="53">
        <v>47080</v>
      </c>
      <c r="T668" s="50"/>
      <c r="U668" s="50"/>
      <c r="V668" s="56" t="s">
        <v>3328</v>
      </c>
      <c r="W668" s="50"/>
      <c r="X668" s="50"/>
      <c r="Y668" s="56"/>
      <c r="Z668" s="56"/>
      <c r="AA668" s="56"/>
      <c r="AB668" s="56"/>
      <c r="AC668" s="56"/>
      <c r="AD668" s="56"/>
    </row>
    <row x14ac:dyDescent="0.25" r="669" customHeight="1" ht="18.75">
      <c r="A669" s="56"/>
      <c r="B669" s="56"/>
      <c r="C669" s="50" t="s">
        <v>16</v>
      </c>
      <c r="D669" s="50" t="s">
        <v>454</v>
      </c>
      <c r="E669" s="50"/>
      <c r="F669" s="50" t="s">
        <v>1743</v>
      </c>
      <c r="G669" s="55">
        <v>10000000</v>
      </c>
      <c r="H669" s="55"/>
      <c r="I669" s="55"/>
      <c r="J669" s="51">
        <v>1200000</v>
      </c>
      <c r="K669" s="51"/>
      <c r="L669" s="52">
        <v>46207</v>
      </c>
      <c r="M669" s="53">
        <v>46146</v>
      </c>
      <c r="N669" s="50" t="s">
        <v>302</v>
      </c>
      <c r="O669" s="50" t="s">
        <v>2562</v>
      </c>
      <c r="P669" s="50" t="s">
        <v>1743</v>
      </c>
      <c r="Q669" s="55" t="s">
        <v>2563</v>
      </c>
      <c r="R669" s="55" t="s">
        <v>2564</v>
      </c>
      <c r="S669" s="53">
        <v>47241</v>
      </c>
      <c r="T669" s="50"/>
      <c r="U669" s="50"/>
      <c r="V669" s="56"/>
      <c r="W669" s="50"/>
      <c r="X669" s="50"/>
      <c r="Y669" s="56"/>
      <c r="Z669" s="56"/>
      <c r="AA669" s="56"/>
      <c r="AB669" s="56"/>
      <c r="AC669" s="56"/>
      <c r="AD669" s="56"/>
    </row>
    <row x14ac:dyDescent="0.25" r="670" customHeight="1" ht="18.75" hidden="1">
      <c r="A670" s="56"/>
      <c r="B670" s="56"/>
      <c r="C670" s="50" t="s">
        <v>16</v>
      </c>
      <c r="D670" s="50"/>
      <c r="E670" s="50"/>
      <c r="F670" s="50" t="s">
        <v>2251</v>
      </c>
      <c r="G670" s="55">
        <v>10000000</v>
      </c>
      <c r="H670" s="55"/>
      <c r="I670" s="55"/>
      <c r="J670" s="51">
        <v>800000</v>
      </c>
      <c r="K670" s="51"/>
      <c r="L670" s="52">
        <v>46004</v>
      </c>
      <c r="M670" s="53">
        <v>45943</v>
      </c>
      <c r="N670" s="50" t="s">
        <v>155</v>
      </c>
      <c r="O670" s="50" t="s">
        <v>2252</v>
      </c>
      <c r="P670" s="50" t="s">
        <v>3329</v>
      </c>
      <c r="Q670" s="55" t="s">
        <v>2253</v>
      </c>
      <c r="R670" s="55" t="s">
        <v>2254</v>
      </c>
      <c r="S670" s="53">
        <v>47038</v>
      </c>
      <c r="T670" s="50"/>
      <c r="U670" s="50"/>
      <c r="V670" s="56"/>
      <c r="W670" s="50"/>
      <c r="X670" s="50"/>
      <c r="Y670" s="56"/>
      <c r="Z670" s="56"/>
      <c r="AA670" s="56"/>
      <c r="AB670" s="56"/>
      <c r="AC670" s="56"/>
      <c r="AD670" s="56"/>
    </row>
    <row x14ac:dyDescent="0.25" r="671" customHeight="1" ht="18.75" hidden="1">
      <c r="A671" s="56"/>
      <c r="B671" s="56"/>
      <c r="C671" s="50" t="s">
        <v>16</v>
      </c>
      <c r="D671" s="50"/>
      <c r="E671" s="50"/>
      <c r="F671" s="50" t="s">
        <v>102</v>
      </c>
      <c r="G671" s="55">
        <v>60000000</v>
      </c>
      <c r="H671" s="55"/>
      <c r="I671" s="55"/>
      <c r="J671" s="51">
        <v>4800000</v>
      </c>
      <c r="K671" s="51"/>
      <c r="L671" s="52">
        <v>45950</v>
      </c>
      <c r="M671" s="53">
        <v>45848</v>
      </c>
      <c r="N671" s="50" t="s">
        <v>168</v>
      </c>
      <c r="O671" s="50" t="s">
        <v>2255</v>
      </c>
      <c r="P671" s="50" t="s">
        <v>102</v>
      </c>
      <c r="Q671" s="55" t="s">
        <v>2256</v>
      </c>
      <c r="R671" s="55" t="s">
        <v>2257</v>
      </c>
      <c r="S671" s="53">
        <v>46984</v>
      </c>
      <c r="T671" s="50"/>
      <c r="U671" s="50"/>
      <c r="V671" s="56"/>
      <c r="W671" s="50"/>
      <c r="X671" s="50"/>
      <c r="Y671" s="56"/>
      <c r="Z671" s="56"/>
      <c r="AA671" s="56"/>
      <c r="AB671" s="56"/>
      <c r="AC671" s="56"/>
      <c r="AD671" s="56"/>
    </row>
    <row x14ac:dyDescent="0.25" r="672" customHeight="1" ht="18.75" hidden="1">
      <c r="A672" s="56"/>
      <c r="B672" s="56"/>
      <c r="C672" s="50" t="s">
        <v>16</v>
      </c>
      <c r="D672" s="50"/>
      <c r="E672" s="50"/>
      <c r="F672" s="50" t="s">
        <v>102</v>
      </c>
      <c r="G672" s="55">
        <v>60000000</v>
      </c>
      <c r="H672" s="55"/>
      <c r="I672" s="55"/>
      <c r="J672" s="51">
        <v>4800000</v>
      </c>
      <c r="K672" s="51"/>
      <c r="L672" s="52">
        <v>45962</v>
      </c>
      <c r="M672" s="53">
        <v>45901</v>
      </c>
      <c r="N672" s="50" t="s">
        <v>168</v>
      </c>
      <c r="O672" s="50" t="s">
        <v>2255</v>
      </c>
      <c r="P672" s="50" t="s">
        <v>102</v>
      </c>
      <c r="Q672" s="55" t="s">
        <v>2256</v>
      </c>
      <c r="R672" s="55" t="s">
        <v>2257</v>
      </c>
      <c r="S672" s="53">
        <v>46996</v>
      </c>
      <c r="T672" s="50"/>
      <c r="U672" s="50"/>
      <c r="V672" s="56"/>
      <c r="W672" s="50"/>
      <c r="X672" s="50"/>
      <c r="Y672" s="56"/>
      <c r="Z672" s="56"/>
      <c r="AA672" s="56"/>
      <c r="AB672" s="56"/>
      <c r="AC672" s="56"/>
      <c r="AD672" s="56"/>
    </row>
    <row x14ac:dyDescent="0.25" r="673" customHeight="1" ht="18.75" hidden="1">
      <c r="A673" s="56"/>
      <c r="B673" s="56"/>
      <c r="C673" s="50" t="s">
        <v>16</v>
      </c>
      <c r="D673" s="50"/>
      <c r="E673" s="50" t="s">
        <v>2258</v>
      </c>
      <c r="F673" s="50" t="s">
        <v>2259</v>
      </c>
      <c r="G673" s="55">
        <v>10000000</v>
      </c>
      <c r="H673" s="55"/>
      <c r="I673" s="55"/>
      <c r="J673" s="51">
        <v>800000</v>
      </c>
      <c r="K673" s="51"/>
      <c r="L673" s="52">
        <v>46089</v>
      </c>
      <c r="M673" s="53">
        <v>46030</v>
      </c>
      <c r="N673" s="50" t="s">
        <v>155</v>
      </c>
      <c r="O673" s="50" t="s">
        <v>2260</v>
      </c>
      <c r="P673" s="50" t="s">
        <v>2259</v>
      </c>
      <c r="Q673" s="55" t="s">
        <v>2261</v>
      </c>
      <c r="R673" s="55" t="s">
        <v>2262</v>
      </c>
      <c r="S673" s="53">
        <v>47125</v>
      </c>
      <c r="T673" s="50" t="s">
        <v>2263</v>
      </c>
      <c r="U673" s="50" t="s">
        <v>166</v>
      </c>
      <c r="V673" s="56"/>
      <c r="W673" s="50"/>
      <c r="X673" s="50"/>
      <c r="Y673" s="56"/>
      <c r="Z673" s="56"/>
      <c r="AA673" s="56"/>
      <c r="AB673" s="56"/>
      <c r="AC673" s="56"/>
      <c r="AD673" s="56"/>
    </row>
    <row x14ac:dyDescent="0.25" r="674" customHeight="1" ht="18.75" hidden="1">
      <c r="A674" s="56"/>
      <c r="B674" s="56"/>
      <c r="C674" s="50" t="s">
        <v>16</v>
      </c>
      <c r="D674" s="50"/>
      <c r="E674" s="50"/>
      <c r="F674" s="50" t="s">
        <v>2264</v>
      </c>
      <c r="G674" s="55">
        <v>20000000</v>
      </c>
      <c r="H674" s="55"/>
      <c r="I674" s="55"/>
      <c r="J674" s="51">
        <v>1528000</v>
      </c>
      <c r="K674" s="51"/>
      <c r="L674" s="52">
        <v>46064</v>
      </c>
      <c r="M674" s="53">
        <v>46002</v>
      </c>
      <c r="N674" s="50" t="s">
        <v>217</v>
      </c>
      <c r="O674" s="50" t="s">
        <v>2265</v>
      </c>
      <c r="P674" s="50" t="s">
        <v>2264</v>
      </c>
      <c r="Q674" s="55" t="s">
        <v>2266</v>
      </c>
      <c r="R674" s="55" t="s">
        <v>2267</v>
      </c>
      <c r="S674" s="53">
        <v>47097</v>
      </c>
      <c r="T674" s="50"/>
      <c r="U674" s="50"/>
      <c r="V674" s="56"/>
      <c r="W674" s="50"/>
      <c r="X674" s="50"/>
      <c r="Y674" s="56"/>
      <c r="Z674" s="56"/>
      <c r="AA674" s="56"/>
      <c r="AB674" s="56"/>
      <c r="AC674" s="56"/>
      <c r="AD674" s="56"/>
    </row>
    <row x14ac:dyDescent="0.25" r="675" customHeight="1" ht="18.75">
      <c r="A675" s="56"/>
      <c r="B675" s="56"/>
      <c r="C675" s="49" t="s">
        <v>16</v>
      </c>
      <c r="D675" s="50" t="s">
        <v>900</v>
      </c>
      <c r="E675" s="50" t="s">
        <v>1121</v>
      </c>
      <c r="F675" s="50" t="s">
        <v>2823</v>
      </c>
      <c r="G675" s="51">
        <v>10000000</v>
      </c>
      <c r="H675" s="51"/>
      <c r="I675" s="51"/>
      <c r="J675" s="87">
        <f>IF(G675&gt;0,_xludf.IFS(G675=10000000,800000,G675=20000000,1528000,G675=30000000,2028000,G675=60000000,4056000),"")</f>
      </c>
      <c r="K675" s="51"/>
      <c r="L675" s="52">
        <v>46208</v>
      </c>
      <c r="M675" s="53">
        <v>46146</v>
      </c>
      <c r="N675" s="50" t="s">
        <v>168</v>
      </c>
      <c r="O675" s="50" t="s">
        <v>2824</v>
      </c>
      <c r="P675" s="54">
        <f>IF(F675&gt;0,F675,"")</f>
      </c>
      <c r="Q675" s="55" t="s">
        <v>2825</v>
      </c>
      <c r="R675" s="55">
        <v>46221190</v>
      </c>
      <c r="S675" s="53">
        <f>IF(ISNUMBER(M675), EDATE(M675,36)-1, "")</f>
        <v>25569.375</v>
      </c>
      <c r="T675" s="50"/>
      <c r="U675" s="50"/>
      <c r="V675" s="56"/>
      <c r="W675" s="50"/>
      <c r="X675" s="50"/>
      <c r="Y675" s="56"/>
      <c r="Z675" s="56"/>
      <c r="AA675" s="56"/>
      <c r="AB675" s="56"/>
      <c r="AC675" s="56"/>
      <c r="AD675" s="56"/>
    </row>
    <row x14ac:dyDescent="0.25" r="676" customHeight="1" ht="18.75" hidden="1">
      <c r="A676" s="56"/>
      <c r="B676" s="56"/>
      <c r="C676" s="50" t="s">
        <v>16</v>
      </c>
      <c r="D676" s="50"/>
      <c r="E676" s="50"/>
      <c r="F676" s="50" t="s">
        <v>2271</v>
      </c>
      <c r="G676" s="55">
        <v>60000000</v>
      </c>
      <c r="H676" s="55"/>
      <c r="I676" s="55"/>
      <c r="J676" s="51">
        <v>4056000</v>
      </c>
      <c r="K676" s="51"/>
      <c r="L676" s="52">
        <v>46135</v>
      </c>
      <c r="M676" s="53">
        <v>46076</v>
      </c>
      <c r="N676" s="50" t="s">
        <v>570</v>
      </c>
      <c r="O676" s="50" t="s">
        <v>2272</v>
      </c>
      <c r="P676" s="50" t="s">
        <v>2271</v>
      </c>
      <c r="Q676" s="55" t="s">
        <v>2273</v>
      </c>
      <c r="R676" s="55" t="s">
        <v>2274</v>
      </c>
      <c r="S676" s="53">
        <v>47171</v>
      </c>
      <c r="T676" s="50" t="s">
        <v>2275</v>
      </c>
      <c r="U676" s="50" t="s">
        <v>166</v>
      </c>
      <c r="V676" s="56"/>
      <c r="W676" s="50"/>
      <c r="X676" s="50"/>
      <c r="Y676" s="56"/>
      <c r="Z676" s="56"/>
      <c r="AA676" s="56"/>
      <c r="AB676" s="56"/>
      <c r="AC676" s="56"/>
      <c r="AD676" s="56"/>
    </row>
    <row x14ac:dyDescent="0.25" r="677" customHeight="1" ht="18.75" hidden="1">
      <c r="A677" s="48" t="s">
        <v>2276</v>
      </c>
      <c r="B677" s="48"/>
      <c r="C677" s="50" t="s">
        <v>16</v>
      </c>
      <c r="D677" s="50"/>
      <c r="E677" s="50"/>
      <c r="F677" s="50" t="s">
        <v>103</v>
      </c>
      <c r="G677" s="55">
        <v>30000000</v>
      </c>
      <c r="H677" s="55"/>
      <c r="I677" s="55"/>
      <c r="J677" s="51">
        <v>2028000</v>
      </c>
      <c r="K677" s="51"/>
      <c r="L677" s="52">
        <v>46007</v>
      </c>
      <c r="M677" s="53">
        <v>45946</v>
      </c>
      <c r="N677" s="50" t="s">
        <v>168</v>
      </c>
      <c r="O677" s="50" t="s">
        <v>2277</v>
      </c>
      <c r="P677" s="50" t="s">
        <v>103</v>
      </c>
      <c r="Q677" s="55" t="s">
        <v>2278</v>
      </c>
      <c r="R677" s="55" t="s">
        <v>2279</v>
      </c>
      <c r="S677" s="53">
        <v>47041</v>
      </c>
      <c r="T677" s="50"/>
      <c r="U677" s="50"/>
      <c r="V677" s="56"/>
      <c r="W677" s="50"/>
      <c r="X677" s="50"/>
      <c r="Y677" s="56"/>
      <c r="Z677" s="56"/>
      <c r="AA677" s="56"/>
      <c r="AB677" s="56"/>
      <c r="AC677" s="56"/>
      <c r="AD677" s="56"/>
    </row>
    <row x14ac:dyDescent="0.25" r="678" customHeight="1" ht="18.75" hidden="1">
      <c r="A678" s="56"/>
      <c r="B678" s="56"/>
      <c r="C678" s="50" t="s">
        <v>16</v>
      </c>
      <c r="D678" s="50"/>
      <c r="E678" s="50"/>
      <c r="F678" s="50" t="s">
        <v>2280</v>
      </c>
      <c r="G678" s="55">
        <v>20000000</v>
      </c>
      <c r="H678" s="55"/>
      <c r="I678" s="55"/>
      <c r="J678" s="51">
        <v>1528000</v>
      </c>
      <c r="K678" s="51"/>
      <c r="L678" s="52">
        <v>46071</v>
      </c>
      <c r="M678" s="53">
        <v>46009</v>
      </c>
      <c r="N678" s="50" t="s">
        <v>239</v>
      </c>
      <c r="O678" s="50" t="s">
        <v>2281</v>
      </c>
      <c r="P678" s="50" t="s">
        <v>2280</v>
      </c>
      <c r="Q678" s="55" t="s">
        <v>2282</v>
      </c>
      <c r="R678" s="55" t="s">
        <v>2283</v>
      </c>
      <c r="S678" s="53">
        <v>47104</v>
      </c>
      <c r="T678" s="50"/>
      <c r="U678" s="50"/>
      <c r="V678" s="56"/>
      <c r="W678" s="50"/>
      <c r="X678" s="50"/>
      <c r="Y678" s="56"/>
      <c r="Z678" s="56"/>
      <c r="AA678" s="56"/>
      <c r="AB678" s="56"/>
      <c r="AC678" s="56"/>
      <c r="AD678" s="56"/>
    </row>
    <row x14ac:dyDescent="0.25" r="679" customHeight="1" ht="18.75" hidden="1">
      <c r="A679" s="56"/>
      <c r="B679" s="56"/>
      <c r="C679" s="50" t="s">
        <v>16</v>
      </c>
      <c r="D679" s="50" t="s">
        <v>419</v>
      </c>
      <c r="E679" s="50" t="s">
        <v>420</v>
      </c>
      <c r="F679" s="50" t="s">
        <v>2280</v>
      </c>
      <c r="G679" s="55">
        <v>60000000</v>
      </c>
      <c r="H679" s="55"/>
      <c r="I679" s="55"/>
      <c r="J679" s="51">
        <v>800000</v>
      </c>
      <c r="K679" s="51"/>
      <c r="L679" s="52">
        <v>46167</v>
      </c>
      <c r="M679" s="53">
        <v>46106</v>
      </c>
      <c r="N679" s="50" t="s">
        <v>168</v>
      </c>
      <c r="O679" s="50" t="s">
        <v>2284</v>
      </c>
      <c r="P679" s="50" t="s">
        <v>2280</v>
      </c>
      <c r="Q679" s="55" t="s">
        <v>2285</v>
      </c>
      <c r="R679" s="55" t="s">
        <v>2286</v>
      </c>
      <c r="S679" s="53">
        <v>47201</v>
      </c>
      <c r="T679" s="50" t="s">
        <v>2287</v>
      </c>
      <c r="U679" s="50" t="s">
        <v>166</v>
      </c>
      <c r="V679" s="48" t="s">
        <v>1761</v>
      </c>
      <c r="W679" s="50"/>
      <c r="X679" s="50"/>
      <c r="Y679" s="56"/>
      <c r="Z679" s="56"/>
      <c r="AA679" s="56"/>
      <c r="AB679" s="56"/>
      <c r="AC679" s="56"/>
      <c r="AD679" s="56"/>
    </row>
    <row x14ac:dyDescent="0.25" r="680" customHeight="1" ht="18.75" hidden="1">
      <c r="A680" s="48" t="s">
        <v>252</v>
      </c>
      <c r="B680" s="48"/>
      <c r="C680" s="49" t="s">
        <v>16</v>
      </c>
      <c r="D680" s="50" t="s">
        <v>419</v>
      </c>
      <c r="E680" s="50" t="s">
        <v>420</v>
      </c>
      <c r="F680" s="50" t="s">
        <v>2280</v>
      </c>
      <c r="G680" s="51">
        <v>10000000</v>
      </c>
      <c r="H680" s="51"/>
      <c r="I680" s="51"/>
      <c r="J680" s="87">
        <f>IF(G680&gt;0,_xludf.IFS(G680=10000000,800000,G680=20000000,1528000,G680=30000000,2028000,G680=60000000,4056000),"")</f>
      </c>
      <c r="K680" s="51"/>
      <c r="L680" s="52">
        <v>46158</v>
      </c>
      <c r="M680" s="53">
        <v>46059</v>
      </c>
      <c r="N680" s="50" t="s">
        <v>168</v>
      </c>
      <c r="O680" s="50" t="s">
        <v>2288</v>
      </c>
      <c r="P680" s="54">
        <f>IF(F680&gt;0,F680,"")</f>
      </c>
      <c r="Q680" s="55" t="s">
        <v>2285</v>
      </c>
      <c r="R680" s="55">
        <v>75685643</v>
      </c>
      <c r="S680" s="53">
        <f>IF(ISNUMBER(M680), EDATE(M680,36)-1, "")</f>
        <v>25569.375</v>
      </c>
      <c r="T680" s="50"/>
      <c r="U680" s="50"/>
      <c r="V680" s="56"/>
      <c r="W680" s="50"/>
      <c r="X680" s="50"/>
      <c r="Y680" s="56"/>
      <c r="Z680" s="56"/>
      <c r="AA680" s="56"/>
      <c r="AB680" s="56"/>
      <c r="AC680" s="56"/>
      <c r="AD680" s="56"/>
    </row>
    <row x14ac:dyDescent="0.25" r="681" customHeight="1" ht="18.75">
      <c r="A681" s="48" t="s">
        <v>63</v>
      </c>
      <c r="B681" s="62"/>
      <c r="C681" s="50" t="s">
        <v>16</v>
      </c>
      <c r="D681" s="50" t="s">
        <v>88</v>
      </c>
      <c r="E681" s="50" t="s">
        <v>14</v>
      </c>
      <c r="F681" s="50" t="s">
        <v>500</v>
      </c>
      <c r="G681" s="55">
        <v>30000000</v>
      </c>
      <c r="H681" s="55"/>
      <c r="I681" s="55"/>
      <c r="J681" s="51">
        <v>2400000</v>
      </c>
      <c r="K681" s="51"/>
      <c r="L681" s="52">
        <v>46208</v>
      </c>
      <c r="M681" s="53">
        <v>46147</v>
      </c>
      <c r="N681" s="50" t="s">
        <v>212</v>
      </c>
      <c r="O681" s="50" t="s">
        <v>501</v>
      </c>
      <c r="P681" s="50" t="s">
        <v>500</v>
      </c>
      <c r="Q681" s="55" t="s">
        <v>502</v>
      </c>
      <c r="R681" s="55" t="s">
        <v>503</v>
      </c>
      <c r="S681" s="53">
        <v>47242</v>
      </c>
      <c r="T681" s="50"/>
      <c r="U681" s="50"/>
      <c r="V681" s="56"/>
      <c r="W681" s="50"/>
      <c r="X681" s="50"/>
      <c r="Y681" s="56"/>
      <c r="Z681" s="56"/>
      <c r="AA681" s="56"/>
      <c r="AB681" s="56"/>
      <c r="AC681" s="56"/>
      <c r="AD681" s="56"/>
    </row>
    <row x14ac:dyDescent="0.25" r="682" customHeight="1" ht="18.75" hidden="1">
      <c r="A682" s="56"/>
      <c r="B682" s="56"/>
      <c r="C682" s="50" t="s">
        <v>16</v>
      </c>
      <c r="D682" s="50"/>
      <c r="E682" s="50"/>
      <c r="F682" s="50" t="s">
        <v>2289</v>
      </c>
      <c r="G682" s="55">
        <v>20000000</v>
      </c>
      <c r="H682" s="55"/>
      <c r="I682" s="55"/>
      <c r="J682" s="51">
        <v>1528000</v>
      </c>
      <c r="K682" s="51"/>
      <c r="L682" s="52">
        <v>46118</v>
      </c>
      <c r="M682" s="53">
        <v>46059</v>
      </c>
      <c r="N682" s="50" t="s">
        <v>168</v>
      </c>
      <c r="O682" s="50" t="s">
        <v>2284</v>
      </c>
      <c r="P682" s="50" t="s">
        <v>2289</v>
      </c>
      <c r="Q682" s="55" t="s">
        <v>2285</v>
      </c>
      <c r="R682" s="55" t="s">
        <v>2286</v>
      </c>
      <c r="S682" s="53">
        <v>47154</v>
      </c>
      <c r="T682" s="50"/>
      <c r="U682" s="50" t="s">
        <v>166</v>
      </c>
      <c r="V682" s="56"/>
      <c r="W682" s="50"/>
      <c r="X682" s="50"/>
      <c r="Y682" s="56"/>
      <c r="Z682" s="56"/>
      <c r="AA682" s="56"/>
      <c r="AB682" s="56"/>
      <c r="AC682" s="56"/>
      <c r="AD682" s="56"/>
    </row>
    <row x14ac:dyDescent="0.25" r="683" customHeight="1" ht="18.75" hidden="1">
      <c r="A683" s="48" t="s">
        <v>152</v>
      </c>
      <c r="B683" s="48"/>
      <c r="C683" s="50" t="s">
        <v>16</v>
      </c>
      <c r="D683" s="50"/>
      <c r="E683" s="50"/>
      <c r="F683" s="50" t="s">
        <v>2290</v>
      </c>
      <c r="G683" s="51">
        <v>10000000</v>
      </c>
      <c r="H683" s="51"/>
      <c r="I683" s="51"/>
      <c r="J683" s="51">
        <v>800000</v>
      </c>
      <c r="K683" s="51"/>
      <c r="L683" s="52">
        <v>46156</v>
      </c>
      <c r="M683" s="53">
        <f>IF(L683&gt;0,EDATE(L683,-2),"")</f>
        <v>25569.375</v>
      </c>
      <c r="N683" s="50" t="s">
        <v>239</v>
      </c>
      <c r="O683" s="50" t="s">
        <v>2291</v>
      </c>
      <c r="P683" s="54">
        <f>IF(F683&gt;0,F683,"")</f>
      </c>
      <c r="Q683" s="55">
        <v>990625222258</v>
      </c>
      <c r="R683" s="55">
        <v>22217258</v>
      </c>
      <c r="S683" s="53">
        <f>IF(ISNUMBER(M683), EDATE(M683,36)-1, "")</f>
        <v>25569.375</v>
      </c>
      <c r="T683" s="50"/>
      <c r="U683" s="50"/>
      <c r="V683" s="56" t="s">
        <v>2292</v>
      </c>
      <c r="W683" s="50"/>
      <c r="X683" s="50"/>
      <c r="Y683" s="56"/>
      <c r="Z683" s="56"/>
      <c r="AA683" s="56"/>
      <c r="AB683" s="56"/>
      <c r="AC683" s="56"/>
      <c r="AD683" s="56"/>
    </row>
    <row x14ac:dyDescent="0.25" r="684" customHeight="1" ht="18.75" hidden="1">
      <c r="A684" s="56"/>
      <c r="B684" s="56"/>
      <c r="C684" s="50" t="s">
        <v>16</v>
      </c>
      <c r="D684" s="50"/>
      <c r="E684" s="50"/>
      <c r="F684" s="50" t="s">
        <v>114</v>
      </c>
      <c r="G684" s="55">
        <v>30000000</v>
      </c>
      <c r="H684" s="55"/>
      <c r="I684" s="55"/>
      <c r="J684" s="51">
        <v>2400000</v>
      </c>
      <c r="K684" s="51"/>
      <c r="L684" s="52">
        <v>45903</v>
      </c>
      <c r="M684" s="53">
        <v>45841</v>
      </c>
      <c r="N684" s="50" t="s">
        <v>155</v>
      </c>
      <c r="O684" s="50" t="s">
        <v>295</v>
      </c>
      <c r="P684" s="50" t="s">
        <v>114</v>
      </c>
      <c r="Q684" s="55" t="s">
        <v>2293</v>
      </c>
      <c r="R684" s="55" t="s">
        <v>297</v>
      </c>
      <c r="S684" s="53">
        <v>46936</v>
      </c>
      <c r="T684" s="50"/>
      <c r="U684" s="50"/>
      <c r="V684" s="56"/>
      <c r="W684" s="50"/>
      <c r="X684" s="50"/>
      <c r="Y684" s="56"/>
      <c r="Z684" s="56"/>
      <c r="AA684" s="56"/>
      <c r="AB684" s="56"/>
      <c r="AC684" s="56"/>
      <c r="AD684" s="56"/>
    </row>
    <row x14ac:dyDescent="0.25" r="685" customHeight="1" ht="18.75" hidden="1">
      <c r="A685" s="56"/>
      <c r="B685" s="56"/>
      <c r="C685" s="50" t="s">
        <v>16</v>
      </c>
      <c r="D685" s="50"/>
      <c r="E685" s="50"/>
      <c r="F685" s="50" t="s">
        <v>114</v>
      </c>
      <c r="G685" s="55">
        <v>150000000</v>
      </c>
      <c r="H685" s="55"/>
      <c r="I685" s="55"/>
      <c r="J685" s="51">
        <v>4800000</v>
      </c>
      <c r="K685" s="51"/>
      <c r="L685" s="52">
        <v>45932</v>
      </c>
      <c r="M685" s="53">
        <v>45848</v>
      </c>
      <c r="N685" s="50" t="s">
        <v>155</v>
      </c>
      <c r="O685" s="50" t="s">
        <v>295</v>
      </c>
      <c r="P685" s="50" t="s">
        <v>114</v>
      </c>
      <c r="Q685" s="55" t="s">
        <v>2294</v>
      </c>
      <c r="R685" s="55" t="s">
        <v>297</v>
      </c>
      <c r="S685" s="53">
        <v>46966</v>
      </c>
      <c r="T685" s="50"/>
      <c r="U685" s="50"/>
      <c r="V685" s="56"/>
      <c r="W685" s="50"/>
      <c r="X685" s="50"/>
      <c r="Y685" s="56"/>
      <c r="Z685" s="56"/>
      <c r="AA685" s="56"/>
      <c r="AB685" s="56"/>
      <c r="AC685" s="56"/>
      <c r="AD685" s="56"/>
    </row>
    <row x14ac:dyDescent="0.25" r="686" customHeight="1" ht="18.75" hidden="1">
      <c r="A686" s="56"/>
      <c r="B686" s="56"/>
      <c r="C686" s="50" t="s">
        <v>16</v>
      </c>
      <c r="D686" s="50"/>
      <c r="E686" s="50"/>
      <c r="F686" s="50" t="s">
        <v>2295</v>
      </c>
      <c r="G686" s="55">
        <v>10000000</v>
      </c>
      <c r="H686" s="55"/>
      <c r="I686" s="55"/>
      <c r="J686" s="51">
        <v>800000</v>
      </c>
      <c r="K686" s="51"/>
      <c r="L686" s="52">
        <v>46166</v>
      </c>
      <c r="M686" s="53">
        <v>46105</v>
      </c>
      <c r="N686" s="50" t="s">
        <v>205</v>
      </c>
      <c r="O686" s="50" t="s">
        <v>711</v>
      </c>
      <c r="P686" s="50" t="s">
        <v>2295</v>
      </c>
      <c r="Q686" s="55" t="s">
        <v>2296</v>
      </c>
      <c r="R686" s="55" t="s">
        <v>2297</v>
      </c>
      <c r="S686" s="53">
        <v>47200</v>
      </c>
      <c r="T686" s="50" t="s">
        <v>2298</v>
      </c>
      <c r="U686" s="50" t="s">
        <v>166</v>
      </c>
      <c r="V686" s="56" t="s">
        <v>1856</v>
      </c>
      <c r="W686" s="50"/>
      <c r="X686" s="50"/>
      <c r="Y686" s="56"/>
      <c r="Z686" s="56"/>
      <c r="AA686" s="56"/>
      <c r="AB686" s="56"/>
      <c r="AC686" s="56"/>
      <c r="AD686" s="56"/>
    </row>
    <row x14ac:dyDescent="0.25" r="687" customHeight="1" ht="18.75" hidden="1">
      <c r="A687" s="48" t="s">
        <v>275</v>
      </c>
      <c r="B687" s="48"/>
      <c r="C687" s="49" t="s">
        <v>16</v>
      </c>
      <c r="D687" s="50"/>
      <c r="E687" s="50"/>
      <c r="F687" s="50" t="s">
        <v>2295</v>
      </c>
      <c r="G687" s="51">
        <v>10000000</v>
      </c>
      <c r="H687" s="51"/>
      <c r="I687" s="51"/>
      <c r="J687" s="87">
        <f>IF(G687&gt;0,_xludf.IFS(G687=10000000,800000,G687=20000000,1528000,G687=30000000,2028000,G687=60000000,4056000),"")</f>
      </c>
      <c r="K687" s="51"/>
      <c r="L687" s="52">
        <v>46166</v>
      </c>
      <c r="M687" s="53">
        <f>IF(L687&gt;0,EDATE(L687,-2),"")</f>
        <v>25569.375</v>
      </c>
      <c r="N687" s="50" t="s">
        <v>205</v>
      </c>
      <c r="O687" s="50" t="s">
        <v>711</v>
      </c>
      <c r="P687" s="50" t="s">
        <v>2156</v>
      </c>
      <c r="Q687" s="55" t="s">
        <v>2296</v>
      </c>
      <c r="R687" s="55">
        <v>79407560</v>
      </c>
      <c r="S687" s="53">
        <f>IF(ISNUMBER(M687), EDATE(M687,36)-1, "")</f>
        <v>25569.375</v>
      </c>
      <c r="T687" s="50"/>
      <c r="U687" s="50"/>
      <c r="V687" s="48" t="s">
        <v>715</v>
      </c>
      <c r="W687" s="50"/>
      <c r="X687" s="50"/>
      <c r="Y687" s="56"/>
      <c r="Z687" s="56"/>
      <c r="AA687" s="56"/>
      <c r="AB687" s="56"/>
      <c r="AC687" s="56"/>
      <c r="AD687" s="56"/>
    </row>
    <row x14ac:dyDescent="0.25" r="688" customHeight="1" ht="18.75" hidden="1">
      <c r="A688" s="56"/>
      <c r="B688" s="56"/>
      <c r="C688" s="50" t="s">
        <v>16</v>
      </c>
      <c r="D688" s="50"/>
      <c r="E688" s="50"/>
      <c r="F688" s="50" t="s">
        <v>2300</v>
      </c>
      <c r="G688" s="55">
        <v>10000000</v>
      </c>
      <c r="H688" s="55"/>
      <c r="I688" s="55"/>
      <c r="J688" s="51">
        <v>800000</v>
      </c>
      <c r="K688" s="51"/>
      <c r="L688" s="52">
        <v>46166</v>
      </c>
      <c r="M688" s="53">
        <v>46105</v>
      </c>
      <c r="N688" s="50" t="s">
        <v>205</v>
      </c>
      <c r="O688" s="50" t="s">
        <v>711</v>
      </c>
      <c r="P688" s="50" t="s">
        <v>2300</v>
      </c>
      <c r="Q688" s="55" t="s">
        <v>2301</v>
      </c>
      <c r="R688" s="55" t="s">
        <v>2302</v>
      </c>
      <c r="S688" s="53">
        <v>47200</v>
      </c>
      <c r="T688" s="50" t="s">
        <v>2303</v>
      </c>
      <c r="U688" s="50" t="s">
        <v>166</v>
      </c>
      <c r="V688" s="56" t="s">
        <v>1856</v>
      </c>
      <c r="W688" s="50"/>
      <c r="X688" s="50"/>
      <c r="Y688" s="56"/>
      <c r="Z688" s="56"/>
      <c r="AA688" s="56"/>
      <c r="AB688" s="56"/>
      <c r="AC688" s="56"/>
      <c r="AD688" s="56"/>
    </row>
    <row x14ac:dyDescent="0.25" r="689" customHeight="1" ht="18.75" hidden="1">
      <c r="A689" s="48" t="s">
        <v>275</v>
      </c>
      <c r="B689" s="48"/>
      <c r="C689" s="49" t="s">
        <v>16</v>
      </c>
      <c r="D689" s="50"/>
      <c r="E689" s="50"/>
      <c r="F689" s="50" t="s">
        <v>2300</v>
      </c>
      <c r="G689" s="51">
        <v>10000000</v>
      </c>
      <c r="H689" s="51"/>
      <c r="I689" s="51"/>
      <c r="J689" s="87">
        <f>IF(G689&gt;0,_xludf.IFS(G689=10000000,800000,G689=20000000,1528000,G689=30000000,2028000,G689=60000000,4056000),"")</f>
      </c>
      <c r="K689" s="51"/>
      <c r="L689" s="52">
        <v>46166</v>
      </c>
      <c r="M689" s="53">
        <f>IF(L689&gt;0,EDATE(L689,-2),"")</f>
        <v>25569.375</v>
      </c>
      <c r="N689" s="50" t="s">
        <v>205</v>
      </c>
      <c r="O689" s="50" t="s">
        <v>711</v>
      </c>
      <c r="P689" s="50" t="s">
        <v>2156</v>
      </c>
      <c r="Q689" s="55" t="s">
        <v>2301</v>
      </c>
      <c r="R689" s="55">
        <v>57524153</v>
      </c>
      <c r="S689" s="53">
        <f>IF(ISNUMBER(M689), EDATE(M689,36)-1, "")</f>
        <v>25569.375</v>
      </c>
      <c r="T689" s="50"/>
      <c r="U689" s="50"/>
      <c r="V689" s="48" t="s">
        <v>715</v>
      </c>
      <c r="W689" s="50"/>
      <c r="X689" s="50"/>
      <c r="Y689" s="56"/>
      <c r="Z689" s="56"/>
      <c r="AA689" s="56"/>
      <c r="AB689" s="56"/>
      <c r="AC689" s="56"/>
      <c r="AD689" s="56"/>
    </row>
    <row x14ac:dyDescent="0.25" r="690" customHeight="1" ht="18.75" hidden="1">
      <c r="A690" s="56"/>
      <c r="B690" s="56"/>
      <c r="C690" s="50" t="s">
        <v>16</v>
      </c>
      <c r="D690" s="50"/>
      <c r="E690" s="50"/>
      <c r="F690" s="50" t="s">
        <v>104</v>
      </c>
      <c r="G690" s="55">
        <v>10000000</v>
      </c>
      <c r="H690" s="55"/>
      <c r="I690" s="55"/>
      <c r="J690" s="51">
        <v>800000</v>
      </c>
      <c r="K690" s="51"/>
      <c r="L690" s="52">
        <v>46041</v>
      </c>
      <c r="M690" s="53">
        <v>45980</v>
      </c>
      <c r="N690" s="50" t="s">
        <v>940</v>
      </c>
      <c r="O690" s="50" t="s">
        <v>2186</v>
      </c>
      <c r="P690" s="50" t="s">
        <v>104</v>
      </c>
      <c r="Q690" s="55" t="s">
        <v>2187</v>
      </c>
      <c r="R690" s="55" t="s">
        <v>2304</v>
      </c>
      <c r="S690" s="53">
        <v>47075</v>
      </c>
      <c r="T690" s="50"/>
      <c r="U690" s="50"/>
      <c r="V690" s="56"/>
      <c r="W690" s="50"/>
      <c r="X690" s="50"/>
      <c r="Y690" s="56"/>
      <c r="Z690" s="56"/>
      <c r="AA690" s="56"/>
      <c r="AB690" s="56"/>
      <c r="AC690" s="56"/>
      <c r="AD690" s="56"/>
    </row>
    <row x14ac:dyDescent="0.25" r="691" customHeight="1" ht="18.75">
      <c r="A691" s="56"/>
      <c r="B691" s="56"/>
      <c r="C691" s="50" t="s">
        <v>16</v>
      </c>
      <c r="D691" s="50" t="s">
        <v>454</v>
      </c>
      <c r="E691" s="50" t="s">
        <v>647</v>
      </c>
      <c r="F691" s="50" t="s">
        <v>950</v>
      </c>
      <c r="G691" s="51">
        <v>30000000</v>
      </c>
      <c r="H691" s="51"/>
      <c r="I691" s="51"/>
      <c r="J691" s="87">
        <f>IF(G691&gt;0,_xludf.IFS(G691=10000000,1200000,G691=20000000,1800000,G691=30000000,2400000,G691=60000000,4000000),"")</f>
      </c>
      <c r="K691" s="51"/>
      <c r="L691" s="52">
        <v>46208</v>
      </c>
      <c r="M691" s="53">
        <f>IF(L691&gt;0,EDATE(L691,-2),"")</f>
        <v>25569.375</v>
      </c>
      <c r="N691" s="50" t="s">
        <v>217</v>
      </c>
      <c r="O691" s="50" t="s">
        <v>951</v>
      </c>
      <c r="P691" s="54">
        <f>IF(F691&gt;0,F691,"")</f>
      </c>
      <c r="Q691" s="55">
        <v>403813165438</v>
      </c>
      <c r="R691" s="55">
        <v>29340831</v>
      </c>
      <c r="S691" s="53">
        <f>IF(ISNUMBER(M691), EDATE(M691,36)-1, "")</f>
        <v>25569.375</v>
      </c>
      <c r="T691" s="50"/>
      <c r="U691" s="50"/>
      <c r="V691" s="50"/>
      <c r="W691" s="50"/>
      <c r="X691" s="50"/>
      <c r="Y691" s="56"/>
      <c r="Z691" s="56"/>
      <c r="AA691" s="56"/>
      <c r="AB691" s="56"/>
      <c r="AC691" s="56"/>
      <c r="AD691" s="56"/>
    </row>
    <row x14ac:dyDescent="0.25" r="692" customHeight="1" ht="18.75" hidden="1">
      <c r="A692" s="56"/>
      <c r="B692" s="56"/>
      <c r="C692" s="50" t="s">
        <v>16</v>
      </c>
      <c r="D692" s="50" t="s">
        <v>143</v>
      </c>
      <c r="E692" s="50" t="s">
        <v>22</v>
      </c>
      <c r="F692" s="50" t="s">
        <v>2309</v>
      </c>
      <c r="G692" s="55">
        <v>10000000</v>
      </c>
      <c r="H692" s="55"/>
      <c r="I692" s="55"/>
      <c r="J692" s="51">
        <v>800000</v>
      </c>
      <c r="K692" s="51"/>
      <c r="L692" s="52">
        <v>46145</v>
      </c>
      <c r="M692" s="53">
        <v>46084</v>
      </c>
      <c r="N692" s="50" t="s">
        <v>302</v>
      </c>
      <c r="O692" s="50" t="s">
        <v>2310</v>
      </c>
      <c r="P692" s="50" t="s">
        <v>2309</v>
      </c>
      <c r="Q692" s="55" t="s">
        <v>2311</v>
      </c>
      <c r="R692" s="55" t="s">
        <v>2312</v>
      </c>
      <c r="S692" s="53">
        <v>47179</v>
      </c>
      <c r="T692" s="50" t="s">
        <v>2313</v>
      </c>
      <c r="U692" s="50" t="s">
        <v>166</v>
      </c>
      <c r="V692" s="56"/>
      <c r="W692" s="50"/>
      <c r="X692" s="50"/>
      <c r="Y692" s="56"/>
      <c r="Z692" s="56"/>
      <c r="AA692" s="56"/>
      <c r="AB692" s="56"/>
      <c r="AC692" s="56"/>
      <c r="AD692" s="56"/>
    </row>
    <row x14ac:dyDescent="0.25" r="693" customHeight="1" ht="18.75">
      <c r="A693" s="56"/>
      <c r="B693" s="56"/>
      <c r="C693" s="50" t="s">
        <v>16</v>
      </c>
      <c r="D693" s="50" t="s">
        <v>900</v>
      </c>
      <c r="E693" s="50" t="s">
        <v>1393</v>
      </c>
      <c r="F693" s="50" t="s">
        <v>3160</v>
      </c>
      <c r="G693" s="51">
        <v>10000000</v>
      </c>
      <c r="H693" s="51"/>
      <c r="I693" s="51"/>
      <c r="J693" s="51">
        <v>800000</v>
      </c>
      <c r="K693" s="51"/>
      <c r="L693" s="52">
        <v>46208</v>
      </c>
      <c r="M693" s="53">
        <f>IF(L693&gt;0,EDATE(L693,-2),"")</f>
        <v>25569.375</v>
      </c>
      <c r="N693" s="50" t="s">
        <v>168</v>
      </c>
      <c r="O693" s="50" t="s">
        <v>3161</v>
      </c>
      <c r="P693" s="54">
        <f>IF(F693&gt;0,F693,"")</f>
      </c>
      <c r="Q693" s="55">
        <v>6702212830425</v>
      </c>
      <c r="R693" s="55">
        <v>80036415</v>
      </c>
      <c r="S693" s="53">
        <f>IF(ISNUMBER(M693), EDATE(M693,36)-1, "")</f>
        <v>25569.375</v>
      </c>
      <c r="T693" s="50"/>
      <c r="U693" s="50"/>
      <c r="V693" s="50"/>
      <c r="W693" s="50"/>
      <c r="X693" s="50"/>
      <c r="Y693" s="56"/>
      <c r="Z693" s="56"/>
      <c r="AA693" s="56"/>
      <c r="AB693" s="56"/>
      <c r="AC693" s="56"/>
      <c r="AD693" s="56"/>
    </row>
    <row x14ac:dyDescent="0.25" r="694" customHeight="1" ht="18.75" hidden="1">
      <c r="A694" s="48" t="s">
        <v>152</v>
      </c>
      <c r="B694" s="48"/>
      <c r="C694" s="50" t="s">
        <v>16</v>
      </c>
      <c r="D694" s="50"/>
      <c r="E694" s="50" t="s">
        <v>862</v>
      </c>
      <c r="F694" s="50" t="s">
        <v>2319</v>
      </c>
      <c r="G694" s="55">
        <v>10000000</v>
      </c>
      <c r="H694" s="55"/>
      <c r="I694" s="55"/>
      <c r="J694" s="51">
        <v>800000</v>
      </c>
      <c r="K694" s="51"/>
      <c r="L694" s="52">
        <v>46108</v>
      </c>
      <c r="M694" s="53">
        <v>46049</v>
      </c>
      <c r="N694" s="50" t="s">
        <v>168</v>
      </c>
      <c r="O694" s="50" t="s">
        <v>2320</v>
      </c>
      <c r="P694" s="50" t="s">
        <v>2319</v>
      </c>
      <c r="Q694" s="55" t="s">
        <v>2321</v>
      </c>
      <c r="R694" s="55" t="s">
        <v>2322</v>
      </c>
      <c r="S694" s="53">
        <v>47144</v>
      </c>
      <c r="T694" s="50"/>
      <c r="U694" s="50" t="s">
        <v>166</v>
      </c>
      <c r="V694" s="48" t="s">
        <v>2323</v>
      </c>
      <c r="W694" s="50"/>
      <c r="X694" s="50"/>
      <c r="Y694" s="56"/>
      <c r="Z694" s="56"/>
      <c r="AA694" s="56"/>
      <c r="AB694" s="56"/>
      <c r="AC694" s="56"/>
      <c r="AD694" s="56"/>
    </row>
    <row x14ac:dyDescent="0.25" r="695" customHeight="1" ht="18.75" hidden="1">
      <c r="A695" s="71"/>
      <c r="B695" s="71"/>
      <c r="C695" s="72" t="s">
        <v>16</v>
      </c>
      <c r="D695" s="72"/>
      <c r="E695" s="72" t="s">
        <v>862</v>
      </c>
      <c r="F695" s="72" t="s">
        <v>2319</v>
      </c>
      <c r="G695" s="73">
        <v>10000000</v>
      </c>
      <c r="H695" s="73"/>
      <c r="I695" s="73"/>
      <c r="J695" s="88"/>
      <c r="K695" s="88"/>
      <c r="L695" s="75">
        <v>46138</v>
      </c>
      <c r="M695" s="76">
        <v>46079</v>
      </c>
      <c r="N695" s="72" t="s">
        <v>282</v>
      </c>
      <c r="O695" s="72" t="s">
        <v>2320</v>
      </c>
      <c r="P695" s="72" t="s">
        <v>2319</v>
      </c>
      <c r="Q695" s="73" t="s">
        <v>2321</v>
      </c>
      <c r="R695" s="73" t="s">
        <v>2322</v>
      </c>
      <c r="S695" s="76">
        <v>47174</v>
      </c>
      <c r="T695" s="72"/>
      <c r="U695" s="72" t="s">
        <v>166</v>
      </c>
      <c r="V695" s="71" t="s">
        <v>3330</v>
      </c>
      <c r="W695" s="50"/>
      <c r="X695" s="50"/>
      <c r="Y695" s="56"/>
      <c r="Z695" s="56"/>
      <c r="AA695" s="56"/>
      <c r="AB695" s="56"/>
      <c r="AC695" s="56"/>
      <c r="AD695" s="56"/>
    </row>
    <row x14ac:dyDescent="0.25" r="696" customHeight="1" ht="18.75" hidden="1">
      <c r="A696" s="56"/>
      <c r="B696" s="56"/>
      <c r="C696" s="50" t="s">
        <v>16</v>
      </c>
      <c r="D696" s="50"/>
      <c r="E696" s="50"/>
      <c r="F696" s="50" t="s">
        <v>2325</v>
      </c>
      <c r="G696" s="55">
        <v>10000000</v>
      </c>
      <c r="H696" s="55"/>
      <c r="I696" s="55"/>
      <c r="J696" s="51">
        <v>800000</v>
      </c>
      <c r="K696" s="51"/>
      <c r="L696" s="52">
        <v>46041</v>
      </c>
      <c r="M696" s="53">
        <v>45980</v>
      </c>
      <c r="N696" s="50" t="s">
        <v>155</v>
      </c>
      <c r="O696" s="50" t="s">
        <v>295</v>
      </c>
      <c r="P696" s="50" t="s">
        <v>114</v>
      </c>
      <c r="Q696" s="55" t="s">
        <v>2326</v>
      </c>
      <c r="R696" s="55" t="s">
        <v>297</v>
      </c>
      <c r="S696" s="53">
        <v>47075</v>
      </c>
      <c r="T696" s="50"/>
      <c r="U696" s="50"/>
      <c r="V696" s="56"/>
      <c r="W696" s="50"/>
      <c r="X696" s="50"/>
      <c r="Y696" s="56"/>
      <c r="Z696" s="56"/>
      <c r="AA696" s="56"/>
      <c r="AB696" s="56"/>
      <c r="AC696" s="56"/>
      <c r="AD696" s="56"/>
    </row>
    <row x14ac:dyDescent="0.25" r="697" customHeight="1" ht="18.75">
      <c r="A697" s="63"/>
      <c r="B697" s="63"/>
      <c r="C697" s="49" t="s">
        <v>16</v>
      </c>
      <c r="D697" s="49" t="s">
        <v>454</v>
      </c>
      <c r="E697" s="49" t="s">
        <v>455</v>
      </c>
      <c r="F697" s="49" t="s">
        <v>1400</v>
      </c>
      <c r="G697" s="64">
        <v>10000000</v>
      </c>
      <c r="H697" s="64"/>
      <c r="I697" s="64"/>
      <c r="J697" s="64">
        <v>1200000</v>
      </c>
      <c r="K697" s="64"/>
      <c r="L697" s="66">
        <v>46209</v>
      </c>
      <c r="M697" s="67">
        <f>IF(L697&gt;0,EDATE(L697,-2),"")</f>
        <v>25569.375</v>
      </c>
      <c r="N697" s="49" t="s">
        <v>155</v>
      </c>
      <c r="O697" s="49" t="s">
        <v>1401</v>
      </c>
      <c r="P697" s="68">
        <f>IF(F697&gt;0,F697,"")</f>
      </c>
      <c r="Q697" s="69" t="s">
        <v>1402</v>
      </c>
      <c r="R697" s="69">
        <v>27775293</v>
      </c>
      <c r="S697" s="67">
        <f>IF(ISNUMBER(M697), EDATE(M697,36)-1, "")</f>
        <v>25569.375</v>
      </c>
      <c r="T697" s="49"/>
      <c r="U697" s="49"/>
      <c r="V697" s="63"/>
      <c r="W697" s="50"/>
      <c r="X697" s="50"/>
      <c r="Y697" s="56"/>
      <c r="Z697" s="56"/>
      <c r="AA697" s="56"/>
      <c r="AB697" s="56"/>
      <c r="AC697" s="56"/>
      <c r="AD697" s="56"/>
    </row>
    <row x14ac:dyDescent="0.25" r="698" customHeight="1" ht="18.75" hidden="1">
      <c r="A698" s="56"/>
      <c r="B698" s="56"/>
      <c r="C698" s="50" t="s">
        <v>16</v>
      </c>
      <c r="D698" s="50"/>
      <c r="E698" s="50"/>
      <c r="F698" s="50" t="s">
        <v>2329</v>
      </c>
      <c r="G698" s="55">
        <v>10000000</v>
      </c>
      <c r="H698" s="55"/>
      <c r="I698" s="55"/>
      <c r="J698" s="51">
        <v>800000</v>
      </c>
      <c r="K698" s="51"/>
      <c r="L698" s="52">
        <v>46022</v>
      </c>
      <c r="M698" s="53">
        <v>46022</v>
      </c>
      <c r="N698" s="50" t="s">
        <v>168</v>
      </c>
      <c r="O698" s="50" t="s">
        <v>2330</v>
      </c>
      <c r="P698" s="50" t="s">
        <v>2329</v>
      </c>
      <c r="Q698" s="55" t="s">
        <v>2331</v>
      </c>
      <c r="R698" s="55" t="s">
        <v>2332</v>
      </c>
      <c r="S698" s="53">
        <v>47117</v>
      </c>
      <c r="T698" s="50"/>
      <c r="U698" s="50"/>
      <c r="V698" s="56"/>
      <c r="W698" s="50"/>
      <c r="X698" s="50"/>
      <c r="Y698" s="56"/>
      <c r="Z698" s="56"/>
      <c r="AA698" s="56"/>
      <c r="AB698" s="56"/>
      <c r="AC698" s="56"/>
      <c r="AD698" s="56"/>
    </row>
    <row x14ac:dyDescent="0.25" r="699" customHeight="1" ht="18.75" hidden="1">
      <c r="A699" s="56"/>
      <c r="B699" s="56"/>
      <c r="C699" s="50" t="s">
        <v>16</v>
      </c>
      <c r="D699" s="50"/>
      <c r="E699" s="50"/>
      <c r="F699" s="50" t="s">
        <v>105</v>
      </c>
      <c r="G699" s="55">
        <v>10000000</v>
      </c>
      <c r="H699" s="55"/>
      <c r="I699" s="55"/>
      <c r="J699" s="51">
        <v>800000</v>
      </c>
      <c r="K699" s="51"/>
      <c r="L699" s="52">
        <v>46044</v>
      </c>
      <c r="M699" s="53">
        <v>45983</v>
      </c>
      <c r="N699" s="50" t="s">
        <v>217</v>
      </c>
      <c r="O699" s="50" t="s">
        <v>2333</v>
      </c>
      <c r="P699" s="50" t="s">
        <v>105</v>
      </c>
      <c r="Q699" s="55" t="s">
        <v>2334</v>
      </c>
      <c r="R699" s="55" t="s">
        <v>2335</v>
      </c>
      <c r="S699" s="53">
        <v>47078</v>
      </c>
      <c r="T699" s="50"/>
      <c r="U699" s="50"/>
      <c r="V699" s="56"/>
      <c r="W699" s="50"/>
      <c r="X699" s="50"/>
      <c r="Y699" s="56"/>
      <c r="Z699" s="56"/>
      <c r="AA699" s="56"/>
      <c r="AB699" s="56"/>
      <c r="AC699" s="56"/>
      <c r="AD699" s="56"/>
    </row>
    <row x14ac:dyDescent="0.25" r="700" customHeight="1" ht="18.75">
      <c r="A700" s="63"/>
      <c r="B700" s="63"/>
      <c r="C700" s="49" t="s">
        <v>16</v>
      </c>
      <c r="D700" s="49" t="s">
        <v>153</v>
      </c>
      <c r="E700" s="49" t="s">
        <v>276</v>
      </c>
      <c r="F700" s="49" t="s">
        <v>2036</v>
      </c>
      <c r="G700" s="64">
        <v>30000000</v>
      </c>
      <c r="H700" s="64"/>
      <c r="I700" s="64"/>
      <c r="J700" s="64">
        <v>2400000</v>
      </c>
      <c r="K700" s="64"/>
      <c r="L700" s="66">
        <v>46209</v>
      </c>
      <c r="M700" s="67">
        <f>IF(L700&gt;0,EDATE(L700,-2),"")</f>
        <v>25569.375</v>
      </c>
      <c r="N700" s="49" t="s">
        <v>168</v>
      </c>
      <c r="O700" s="49" t="s">
        <v>2037</v>
      </c>
      <c r="P700" s="68">
        <f>IF(F700&gt;0,F700,"")</f>
      </c>
      <c r="Q700" s="69" t="s">
        <v>2038</v>
      </c>
      <c r="R700" s="69">
        <v>63437949</v>
      </c>
      <c r="S700" s="67">
        <f>IF(ISNUMBER(M700), EDATE(M700,36)-1, "")</f>
        <v>25569.375</v>
      </c>
      <c r="T700" s="49"/>
      <c r="U700" s="49"/>
      <c r="V700" s="63" t="s">
        <v>2039</v>
      </c>
      <c r="W700" s="50"/>
      <c r="X700" s="50"/>
      <c r="Y700" s="56"/>
      <c r="Z700" s="56"/>
      <c r="AA700" s="56"/>
      <c r="AB700" s="56"/>
      <c r="AC700" s="56"/>
      <c r="AD700" s="56"/>
    </row>
    <row x14ac:dyDescent="0.25" r="701" customHeight="1" ht="18.75" hidden="1">
      <c r="A701" s="56" t="s">
        <v>152</v>
      </c>
      <c r="B701" s="56"/>
      <c r="C701" s="50" t="s">
        <v>16</v>
      </c>
      <c r="D701" s="50" t="s">
        <v>454</v>
      </c>
      <c r="E701" s="50" t="s">
        <v>647</v>
      </c>
      <c r="F701" s="50" t="s">
        <v>2341</v>
      </c>
      <c r="G701" s="51">
        <v>10000000</v>
      </c>
      <c r="H701" s="51"/>
      <c r="I701" s="51"/>
      <c r="J701" s="51">
        <v>800000</v>
      </c>
      <c r="K701" s="51"/>
      <c r="L701" s="52">
        <v>46169</v>
      </c>
      <c r="M701" s="53">
        <f>IF(L701&gt;0,EDATE(L701,-2),"")</f>
        <v>25569.375</v>
      </c>
      <c r="N701" s="50" t="s">
        <v>155</v>
      </c>
      <c r="O701" s="50" t="s">
        <v>2342</v>
      </c>
      <c r="P701" s="54">
        <f>IF(F701&gt;0,F701,"")</f>
      </c>
      <c r="Q701" s="55">
        <v>5903051000415</v>
      </c>
      <c r="R701" s="55">
        <v>37264202</v>
      </c>
      <c r="S701" s="53">
        <f>IF(ISNUMBER(M701), EDATE(M701,36)-1, "")</f>
        <v>25569.375</v>
      </c>
      <c r="T701" s="50"/>
      <c r="U701" s="50"/>
      <c r="V701" s="56" t="s">
        <v>2343</v>
      </c>
      <c r="W701" s="50"/>
      <c r="X701" s="50"/>
      <c r="Y701" s="56"/>
      <c r="Z701" s="56"/>
      <c r="AA701" s="56"/>
      <c r="AB701" s="56"/>
      <c r="AC701" s="56"/>
      <c r="AD701" s="56"/>
    </row>
    <row x14ac:dyDescent="0.25" r="702" customHeight="1" ht="18.75" hidden="1">
      <c r="A702" s="56"/>
      <c r="B702" s="56"/>
      <c r="C702" s="50" t="s">
        <v>16</v>
      </c>
      <c r="D702" s="50"/>
      <c r="E702" s="50"/>
      <c r="F702" s="50" t="s">
        <v>2344</v>
      </c>
      <c r="G702" s="55">
        <v>30000000</v>
      </c>
      <c r="H702" s="55"/>
      <c r="I702" s="55"/>
      <c r="J702" s="51">
        <v>2400000</v>
      </c>
      <c r="K702" s="51"/>
      <c r="L702" s="52">
        <v>45948</v>
      </c>
      <c r="M702" s="53">
        <v>45848</v>
      </c>
      <c r="N702" s="50" t="s">
        <v>155</v>
      </c>
      <c r="O702" s="50" t="s">
        <v>2345</v>
      </c>
      <c r="P702" s="50" t="s">
        <v>2344</v>
      </c>
      <c r="Q702" s="55" t="s">
        <v>2346</v>
      </c>
      <c r="R702" s="55" t="s">
        <v>2347</v>
      </c>
      <c r="S702" s="53">
        <v>46982</v>
      </c>
      <c r="T702" s="50"/>
      <c r="U702" s="50"/>
      <c r="V702" s="56"/>
      <c r="W702" s="50"/>
      <c r="X702" s="50"/>
      <c r="Y702" s="56"/>
      <c r="Z702" s="56"/>
      <c r="AA702" s="56"/>
      <c r="AB702" s="56"/>
      <c r="AC702" s="56"/>
      <c r="AD702" s="56"/>
    </row>
    <row x14ac:dyDescent="0.25" r="703" customHeight="1" ht="18.75">
      <c r="A703" s="63"/>
      <c r="B703" s="63"/>
      <c r="C703" s="49" t="s">
        <v>16</v>
      </c>
      <c r="D703" s="49"/>
      <c r="E703" s="49" t="s">
        <v>357</v>
      </c>
      <c r="F703" s="49" t="s">
        <v>2377</v>
      </c>
      <c r="G703" s="64">
        <v>10000000</v>
      </c>
      <c r="H703" s="64"/>
      <c r="I703" s="64"/>
      <c r="J703" s="64">
        <v>1200000</v>
      </c>
      <c r="K703" s="64"/>
      <c r="L703" s="66">
        <v>46209</v>
      </c>
      <c r="M703" s="67">
        <f>IF(L703&gt;0,EDATE(L703,-2),"")</f>
        <v>25569.375</v>
      </c>
      <c r="N703" s="49" t="s">
        <v>217</v>
      </c>
      <c r="O703" s="49" t="s">
        <v>2378</v>
      </c>
      <c r="P703" s="68">
        <f>IF(F703&gt;0,F703,"")</f>
      </c>
      <c r="Q703" s="69" t="s">
        <v>2379</v>
      </c>
      <c r="R703" s="69">
        <v>54453764</v>
      </c>
      <c r="S703" s="67">
        <f>IF(ISNUMBER(M703), EDATE(M703,36)-1, "")</f>
        <v>25569.375</v>
      </c>
      <c r="T703" s="49"/>
      <c r="U703" s="49"/>
      <c r="V703" s="63"/>
      <c r="W703" s="50"/>
      <c r="X703" s="50"/>
      <c r="Y703" s="56"/>
      <c r="Z703" s="56"/>
      <c r="AA703" s="56"/>
      <c r="AB703" s="56"/>
      <c r="AC703" s="56"/>
      <c r="AD703" s="56"/>
    </row>
    <row x14ac:dyDescent="0.25" r="704" customHeight="1" ht="18.75">
      <c r="A704" s="56"/>
      <c r="B704" s="56"/>
      <c r="C704" s="50" t="s">
        <v>16</v>
      </c>
      <c r="D704" s="50" t="s">
        <v>737</v>
      </c>
      <c r="E704" s="50" t="s">
        <v>357</v>
      </c>
      <c r="F704" s="50" t="s">
        <v>3201</v>
      </c>
      <c r="G704" s="55">
        <v>20000000</v>
      </c>
      <c r="H704" s="55"/>
      <c r="I704" s="55"/>
      <c r="J704" s="51">
        <v>1528000</v>
      </c>
      <c r="K704" s="51"/>
      <c r="L704" s="52">
        <v>46209</v>
      </c>
      <c r="M704" s="53">
        <v>46148</v>
      </c>
      <c r="N704" s="50" t="s">
        <v>217</v>
      </c>
      <c r="O704" s="50" t="s">
        <v>3202</v>
      </c>
      <c r="P704" s="50" t="s">
        <v>3201</v>
      </c>
      <c r="Q704" s="55" t="s">
        <v>3203</v>
      </c>
      <c r="R704" s="55" t="s">
        <v>3204</v>
      </c>
      <c r="S704" s="53">
        <v>47243</v>
      </c>
      <c r="T704" s="50"/>
      <c r="U704" s="50"/>
      <c r="V704" s="56"/>
      <c r="W704" s="50"/>
      <c r="X704" s="50"/>
      <c r="Y704" s="56"/>
      <c r="Z704" s="56"/>
      <c r="AA704" s="56"/>
      <c r="AB704" s="56"/>
      <c r="AC704" s="56"/>
      <c r="AD704" s="56"/>
    </row>
    <row x14ac:dyDescent="0.25" r="705" customHeight="1" ht="18.75" hidden="1">
      <c r="A705" s="56"/>
      <c r="B705" s="56"/>
      <c r="C705" s="50" t="s">
        <v>16</v>
      </c>
      <c r="D705" s="50"/>
      <c r="E705" s="50" t="s">
        <v>75</v>
      </c>
      <c r="F705" s="50" t="s">
        <v>2354</v>
      </c>
      <c r="G705" s="55">
        <v>10000000</v>
      </c>
      <c r="H705" s="55"/>
      <c r="I705" s="55"/>
      <c r="J705" s="51">
        <v>500000</v>
      </c>
      <c r="K705" s="51"/>
      <c r="L705" s="52">
        <v>46146</v>
      </c>
      <c r="M705" s="53">
        <v>46085</v>
      </c>
      <c r="N705" s="50" t="s">
        <v>217</v>
      </c>
      <c r="O705" s="50" t="s">
        <v>2355</v>
      </c>
      <c r="P705" s="50" t="s">
        <v>2354</v>
      </c>
      <c r="Q705" s="55" t="s">
        <v>2356</v>
      </c>
      <c r="R705" s="55" t="s">
        <v>2357</v>
      </c>
      <c r="S705" s="53">
        <v>47180</v>
      </c>
      <c r="T705" s="50" t="s">
        <v>2358</v>
      </c>
      <c r="U705" s="50"/>
      <c r="V705" s="48" t="s">
        <v>2359</v>
      </c>
      <c r="W705" s="50"/>
      <c r="X705" s="50"/>
      <c r="Y705" s="56"/>
      <c r="Z705" s="56"/>
      <c r="AA705" s="56"/>
      <c r="AB705" s="56"/>
      <c r="AC705" s="56"/>
      <c r="AD705" s="56"/>
    </row>
    <row x14ac:dyDescent="0.25" r="706" customHeight="1" ht="18.75" hidden="1">
      <c r="A706" s="48" t="s">
        <v>275</v>
      </c>
      <c r="B706" s="48"/>
      <c r="C706" s="50" t="s">
        <v>16</v>
      </c>
      <c r="D706" s="50"/>
      <c r="E706" s="50"/>
      <c r="F706" s="50" t="s">
        <v>106</v>
      </c>
      <c r="G706" s="55">
        <v>60000000</v>
      </c>
      <c r="H706" s="55"/>
      <c r="I706" s="55"/>
      <c r="J706" s="51">
        <v>4800000</v>
      </c>
      <c r="K706" s="51"/>
      <c r="L706" s="52">
        <v>46094</v>
      </c>
      <c r="M706" s="53">
        <v>46022</v>
      </c>
      <c r="N706" s="50" t="s">
        <v>212</v>
      </c>
      <c r="O706" s="50" t="s">
        <v>2360</v>
      </c>
      <c r="P706" s="50" t="s">
        <v>106</v>
      </c>
      <c r="Q706" s="55" t="s">
        <v>2361</v>
      </c>
      <c r="R706" s="55" t="s">
        <v>1823</v>
      </c>
      <c r="S706" s="53">
        <v>47117</v>
      </c>
      <c r="T706" s="50"/>
      <c r="U706" s="50"/>
      <c r="V706" s="56"/>
      <c r="W706" s="50"/>
      <c r="X706" s="50"/>
      <c r="Y706" s="56"/>
      <c r="Z706" s="56"/>
      <c r="AA706" s="56"/>
      <c r="AB706" s="56"/>
      <c r="AC706" s="56"/>
      <c r="AD706" s="56"/>
    </row>
    <row x14ac:dyDescent="0.25" r="707" customHeight="1" ht="18.75" hidden="1">
      <c r="A707" s="56"/>
      <c r="B707" s="56"/>
      <c r="C707" s="50" t="s">
        <v>16</v>
      </c>
      <c r="D707" s="50"/>
      <c r="E707" s="50"/>
      <c r="F707" s="50" t="s">
        <v>2362</v>
      </c>
      <c r="G707" s="55">
        <v>60000000</v>
      </c>
      <c r="H707" s="55"/>
      <c r="I707" s="55"/>
      <c r="J707" s="51">
        <v>4056000</v>
      </c>
      <c r="K707" s="51"/>
      <c r="L707" s="52">
        <v>46001</v>
      </c>
      <c r="M707" s="53">
        <v>45940</v>
      </c>
      <c r="N707" s="50" t="s">
        <v>239</v>
      </c>
      <c r="O707" s="50" t="s">
        <v>2363</v>
      </c>
      <c r="P707" s="50" t="s">
        <v>2362</v>
      </c>
      <c r="Q707" s="55" t="s">
        <v>2364</v>
      </c>
      <c r="R707" s="55" t="s">
        <v>2365</v>
      </c>
      <c r="S707" s="53">
        <v>47035</v>
      </c>
      <c r="T707" s="50"/>
      <c r="U707" s="50"/>
      <c r="V707" s="56"/>
      <c r="W707" s="50"/>
      <c r="X707" s="50"/>
      <c r="Y707" s="56"/>
      <c r="Z707" s="56"/>
      <c r="AA707" s="56"/>
      <c r="AB707" s="56"/>
      <c r="AC707" s="56"/>
      <c r="AD707" s="56"/>
    </row>
    <row x14ac:dyDescent="0.25" r="708" customHeight="1" ht="18.75" hidden="1">
      <c r="A708" s="56"/>
      <c r="B708" s="56"/>
      <c r="C708" s="50" t="s">
        <v>16</v>
      </c>
      <c r="D708" s="50" t="s">
        <v>410</v>
      </c>
      <c r="E708" s="50" t="s">
        <v>1294</v>
      </c>
      <c r="F708" s="50" t="s">
        <v>2362</v>
      </c>
      <c r="G708" s="55">
        <v>30000000</v>
      </c>
      <c r="H708" s="55"/>
      <c r="I708" s="55"/>
      <c r="J708" s="51">
        <v>2028000</v>
      </c>
      <c r="K708" s="51"/>
      <c r="L708" s="52">
        <v>46138</v>
      </c>
      <c r="M708" s="53">
        <v>46079</v>
      </c>
      <c r="N708" s="50" t="s">
        <v>302</v>
      </c>
      <c r="O708" s="50" t="s">
        <v>2366</v>
      </c>
      <c r="P708" s="50" t="s">
        <v>2362</v>
      </c>
      <c r="Q708" s="55" t="s">
        <v>2364</v>
      </c>
      <c r="R708" s="55" t="s">
        <v>1712</v>
      </c>
      <c r="S708" s="53">
        <v>47174</v>
      </c>
      <c r="T708" s="50"/>
      <c r="U708" s="50"/>
      <c r="V708" s="56"/>
      <c r="W708" s="50"/>
      <c r="X708" s="50"/>
      <c r="Y708" s="56"/>
      <c r="Z708" s="56"/>
      <c r="AA708" s="56"/>
      <c r="AB708" s="56"/>
      <c r="AC708" s="56"/>
      <c r="AD708" s="56"/>
    </row>
    <row x14ac:dyDescent="0.25" r="709" customHeight="1" ht="18.75" hidden="1">
      <c r="A709" s="71"/>
      <c r="B709" s="71"/>
      <c r="C709" s="72" t="s">
        <v>16</v>
      </c>
      <c r="D709" s="72" t="s">
        <v>55</v>
      </c>
      <c r="E709" s="72"/>
      <c r="F709" s="72" t="s">
        <v>2367</v>
      </c>
      <c r="G709" s="73">
        <v>10000000</v>
      </c>
      <c r="H709" s="73"/>
      <c r="I709" s="73"/>
      <c r="J709" s="74"/>
      <c r="K709" s="74"/>
      <c r="L709" s="75">
        <v>46156</v>
      </c>
      <c r="M709" s="76">
        <v>46095</v>
      </c>
      <c r="N709" s="72" t="s">
        <v>217</v>
      </c>
      <c r="O709" s="72" t="s">
        <v>2368</v>
      </c>
      <c r="P709" s="72" t="s">
        <v>2367</v>
      </c>
      <c r="Q709" s="73" t="s">
        <v>2369</v>
      </c>
      <c r="R709" s="73" t="s">
        <v>2370</v>
      </c>
      <c r="S709" s="76">
        <v>47190</v>
      </c>
      <c r="T709" s="72" t="s">
        <v>2371</v>
      </c>
      <c r="U709" s="72" t="s">
        <v>293</v>
      </c>
      <c r="V709" s="71"/>
      <c r="W709" s="50"/>
      <c r="X709" s="50"/>
      <c r="Y709" s="56"/>
      <c r="Z709" s="56"/>
      <c r="AA709" s="56"/>
      <c r="AB709" s="56"/>
      <c r="AC709" s="56"/>
      <c r="AD709" s="56"/>
    </row>
    <row x14ac:dyDescent="0.25" r="710" customHeight="1" ht="18.75">
      <c r="A710" s="63"/>
      <c r="B710" s="63"/>
      <c r="C710" s="49" t="s">
        <v>16</v>
      </c>
      <c r="D710" s="49"/>
      <c r="E710" s="49" t="s">
        <v>357</v>
      </c>
      <c r="F710" s="49" t="s">
        <v>1011</v>
      </c>
      <c r="G710" s="64">
        <v>10000000</v>
      </c>
      <c r="H710" s="64"/>
      <c r="I710" s="64"/>
      <c r="J710" s="64">
        <v>1200000</v>
      </c>
      <c r="K710" s="64"/>
      <c r="L710" s="66">
        <v>46210</v>
      </c>
      <c r="M710" s="67">
        <f>IF(L710&gt;0,EDATE(L710,-2),"")</f>
        <v>25569.375</v>
      </c>
      <c r="N710" s="49" t="s">
        <v>212</v>
      </c>
      <c r="O710" s="49" t="s">
        <v>1018</v>
      </c>
      <c r="P710" s="68">
        <f>IF(F710&gt;0,F710,"")</f>
      </c>
      <c r="Q710" s="69" t="s">
        <v>1019</v>
      </c>
      <c r="R710" s="69">
        <v>87680141</v>
      </c>
      <c r="S710" s="67">
        <f>IF(ISNUMBER(M710), EDATE(M710,36)-1, "")</f>
        <v>25569.375</v>
      </c>
      <c r="T710" s="49"/>
      <c r="U710" s="49"/>
      <c r="V710" s="63"/>
      <c r="W710" s="50"/>
      <c r="X710" s="50"/>
      <c r="Y710" s="56"/>
      <c r="Z710" s="56"/>
      <c r="AA710" s="56"/>
      <c r="AB710" s="56"/>
      <c r="AC710" s="56"/>
      <c r="AD710" s="56"/>
    </row>
    <row x14ac:dyDescent="0.25" r="711" customHeight="1" ht="18.75">
      <c r="A711" s="63"/>
      <c r="B711" s="63"/>
      <c r="C711" s="49" t="s">
        <v>16</v>
      </c>
      <c r="D711" s="49" t="s">
        <v>454</v>
      </c>
      <c r="E711" s="49" t="s">
        <v>1325</v>
      </c>
      <c r="F711" s="49" t="s">
        <v>327</v>
      </c>
      <c r="G711" s="64">
        <v>10000000</v>
      </c>
      <c r="H711" s="64"/>
      <c r="I711" s="64"/>
      <c r="J711" s="64">
        <v>1200000</v>
      </c>
      <c r="K711" s="64"/>
      <c r="L711" s="66">
        <v>46210</v>
      </c>
      <c r="M711" s="67">
        <f>IF(L711&gt;0,EDATE(L711,-2),"")</f>
        <v>25569.375</v>
      </c>
      <c r="N711" s="49" t="s">
        <v>155</v>
      </c>
      <c r="O711" s="49" t="s">
        <v>1326</v>
      </c>
      <c r="P711" s="68">
        <f>IF(F711&gt;0,F711,"")</f>
      </c>
      <c r="Q711" s="69" t="s">
        <v>1327</v>
      </c>
      <c r="R711" s="69">
        <v>93125320</v>
      </c>
      <c r="S711" s="67">
        <f>IF(ISNUMBER(M711), EDATE(M711,36)-1, "")</f>
        <v>25569.375</v>
      </c>
      <c r="T711" s="49"/>
      <c r="U711" s="49"/>
      <c r="V711" s="63"/>
      <c r="W711" s="50"/>
      <c r="X711" s="50"/>
      <c r="Y711" s="56"/>
      <c r="Z711" s="56"/>
      <c r="AA711" s="56"/>
      <c r="AB711" s="56"/>
      <c r="AC711" s="56"/>
      <c r="AD711" s="56"/>
    </row>
    <row x14ac:dyDescent="0.25" r="712" customHeight="1" ht="18.75" hidden="1">
      <c r="A712" s="56"/>
      <c r="B712" s="56"/>
      <c r="C712" s="50" t="s">
        <v>13</v>
      </c>
      <c r="D712" s="50"/>
      <c r="E712" s="50"/>
      <c r="F712" s="50" t="s">
        <v>56</v>
      </c>
      <c r="G712" s="55">
        <v>20000000</v>
      </c>
      <c r="H712" s="55"/>
      <c r="I712" s="55"/>
      <c r="J712" s="51">
        <v>1650000</v>
      </c>
      <c r="K712" s="51"/>
      <c r="L712" s="52">
        <v>45778</v>
      </c>
      <c r="M712" s="53">
        <v>45717</v>
      </c>
      <c r="N712" s="50" t="s">
        <v>306</v>
      </c>
      <c r="O712" s="50" t="s">
        <v>2380</v>
      </c>
      <c r="P712" s="50" t="s">
        <v>56</v>
      </c>
      <c r="Q712" s="55" t="s">
        <v>2381</v>
      </c>
      <c r="R712" s="55" t="s">
        <v>2382</v>
      </c>
      <c r="S712" s="53">
        <v>46812</v>
      </c>
      <c r="T712" s="50"/>
      <c r="U712" s="50" t="s">
        <v>2383</v>
      </c>
      <c r="V712" s="56"/>
      <c r="W712" s="50"/>
      <c r="X712" s="50"/>
      <c r="Y712" s="56"/>
      <c r="Z712" s="56"/>
      <c r="AA712" s="56"/>
      <c r="AB712" s="56"/>
      <c r="AC712" s="56"/>
      <c r="AD712" s="56"/>
    </row>
    <row x14ac:dyDescent="0.25" r="713" customHeight="1" ht="18.75" hidden="1">
      <c r="A713" s="56"/>
      <c r="B713" s="56"/>
      <c r="C713" s="50" t="s">
        <v>16</v>
      </c>
      <c r="D713" s="50"/>
      <c r="E713" s="50"/>
      <c r="F713" s="50" t="s">
        <v>56</v>
      </c>
      <c r="G713" s="55">
        <v>10000000</v>
      </c>
      <c r="H713" s="55"/>
      <c r="I713" s="55"/>
      <c r="J713" s="51">
        <v>800000</v>
      </c>
      <c r="K713" s="51"/>
      <c r="L713" s="52">
        <v>45880</v>
      </c>
      <c r="M713" s="53">
        <v>45819</v>
      </c>
      <c r="N713" s="50" t="s">
        <v>306</v>
      </c>
      <c r="O713" s="50" t="s">
        <v>2380</v>
      </c>
      <c r="P713" s="50" t="s">
        <v>56</v>
      </c>
      <c r="Q713" s="55" t="s">
        <v>2381</v>
      </c>
      <c r="R713" s="55" t="s">
        <v>2382</v>
      </c>
      <c r="S713" s="53">
        <v>46914</v>
      </c>
      <c r="T713" s="50"/>
      <c r="U713" s="50"/>
      <c r="V713" s="56"/>
      <c r="W713" s="50"/>
      <c r="X713" s="50"/>
      <c r="Y713" s="56"/>
      <c r="Z713" s="56"/>
      <c r="AA713" s="56"/>
      <c r="AB713" s="56"/>
      <c r="AC713" s="56"/>
      <c r="AD713" s="56"/>
    </row>
    <row x14ac:dyDescent="0.25" r="714" customHeight="1" ht="18.75">
      <c r="A714" s="56"/>
      <c r="B714" s="56"/>
      <c r="C714" s="49" t="s">
        <v>16</v>
      </c>
      <c r="D714" s="50" t="s">
        <v>410</v>
      </c>
      <c r="E714" s="50" t="s">
        <v>534</v>
      </c>
      <c r="F714" s="50" t="s">
        <v>2327</v>
      </c>
      <c r="G714" s="51">
        <v>10000000</v>
      </c>
      <c r="H714" s="51"/>
      <c r="I714" s="51"/>
      <c r="J714" s="87">
        <f>IF(G714&gt;0,_xludf.IFS(G714=10000000,1200000,G714=20000000,1800000,G714=30000000,2400000,G714=60000000,4000000),"")</f>
      </c>
      <c r="K714" s="51"/>
      <c r="L714" s="52">
        <v>46210</v>
      </c>
      <c r="M714" s="53">
        <f>IF(L714&gt;0,EDATE(L714,-2),"")</f>
        <v>25569.375</v>
      </c>
      <c r="N714" s="50" t="s">
        <v>168</v>
      </c>
      <c r="O714" s="50" t="s">
        <v>2328</v>
      </c>
      <c r="P714" s="54">
        <f>IF(F714&gt;0,F714,"")</f>
      </c>
      <c r="Q714" s="55">
        <v>7611071481615</v>
      </c>
      <c r="R714" s="55">
        <v>41950893</v>
      </c>
      <c r="S714" s="53">
        <f>IF(ISNUMBER(M714), EDATE(M714,36)-1, "")</f>
        <v>25569.375</v>
      </c>
      <c r="T714" s="50"/>
      <c r="U714" s="50"/>
      <c r="V714" s="56"/>
      <c r="W714" s="50"/>
      <c r="X714" s="50"/>
      <c r="Y714" s="56"/>
      <c r="Z714" s="56"/>
      <c r="AA714" s="56"/>
      <c r="AB714" s="56"/>
      <c r="AC714" s="56"/>
      <c r="AD714" s="56"/>
    </row>
    <row x14ac:dyDescent="0.25" r="715" customHeight="1" ht="18.75" hidden="1">
      <c r="A715" s="56"/>
      <c r="B715" s="56"/>
      <c r="C715" s="50" t="s">
        <v>27</v>
      </c>
      <c r="D715" s="50"/>
      <c r="E715" s="50"/>
      <c r="F715" s="50" t="s">
        <v>56</v>
      </c>
      <c r="G715" s="51">
        <v>3000000</v>
      </c>
      <c r="H715" s="51"/>
      <c r="I715" s="51"/>
      <c r="J715" s="51">
        <v>300000</v>
      </c>
      <c r="K715" s="51"/>
      <c r="L715" s="52">
        <v>46031</v>
      </c>
      <c r="M715" s="53">
        <v>46000</v>
      </c>
      <c r="N715" s="50" t="s">
        <v>282</v>
      </c>
      <c r="O715" s="50" t="s">
        <v>2389</v>
      </c>
      <c r="P715" s="50" t="s">
        <v>56</v>
      </c>
      <c r="Q715" s="55">
        <v>8503022125812</v>
      </c>
      <c r="R715" s="55">
        <v>33821764</v>
      </c>
      <c r="S715" s="53">
        <f>IF(ISNUMBER(M715), EDATE(M715,36)-1, "")</f>
        <v>25569.375</v>
      </c>
      <c r="T715" s="50"/>
      <c r="U715" s="50"/>
      <c r="V715" s="56"/>
      <c r="W715" s="50"/>
      <c r="X715" s="50"/>
      <c r="Y715" s="56"/>
      <c r="Z715" s="56"/>
      <c r="AA715" s="56"/>
      <c r="AB715" s="56"/>
      <c r="AC715" s="56"/>
      <c r="AD715" s="56"/>
    </row>
    <row x14ac:dyDescent="0.25" r="716" customHeight="1" ht="18.75" hidden="1">
      <c r="A716" s="56"/>
      <c r="B716" s="56"/>
      <c r="C716" s="50" t="s">
        <v>16</v>
      </c>
      <c r="D716" s="50"/>
      <c r="E716" s="50" t="s">
        <v>107</v>
      </c>
      <c r="F716" s="50" t="s">
        <v>108</v>
      </c>
      <c r="G716" s="55">
        <v>1000000</v>
      </c>
      <c r="H716" s="55"/>
      <c r="I716" s="55"/>
      <c r="J716" s="51">
        <v>1528000</v>
      </c>
      <c r="K716" s="51"/>
      <c r="L716" s="52">
        <v>46081</v>
      </c>
      <c r="M716" s="53">
        <v>46022</v>
      </c>
      <c r="N716" s="50" t="s">
        <v>155</v>
      </c>
      <c r="O716" s="50" t="s">
        <v>2390</v>
      </c>
      <c r="P716" s="50" t="s">
        <v>108</v>
      </c>
      <c r="Q716" s="55" t="s">
        <v>2391</v>
      </c>
      <c r="R716" s="55" t="s">
        <v>2392</v>
      </c>
      <c r="S716" s="53">
        <v>47117</v>
      </c>
      <c r="T716" s="50" t="s">
        <v>109</v>
      </c>
      <c r="U716" s="50" t="s">
        <v>166</v>
      </c>
      <c r="V716" s="56"/>
      <c r="W716" s="50"/>
      <c r="X716" s="50"/>
      <c r="Y716" s="56"/>
      <c r="Z716" s="56"/>
      <c r="AA716" s="56"/>
      <c r="AB716" s="56"/>
      <c r="AC716" s="56"/>
      <c r="AD716" s="56"/>
    </row>
    <row x14ac:dyDescent="0.25" r="717" customHeight="1" ht="18.75">
      <c r="A717" s="56"/>
      <c r="B717" s="56"/>
      <c r="C717" s="50" t="s">
        <v>16</v>
      </c>
      <c r="D717" s="50" t="s">
        <v>143</v>
      </c>
      <c r="E717" s="50"/>
      <c r="F717" s="50" t="s">
        <v>2919</v>
      </c>
      <c r="G717" s="55">
        <v>60000000</v>
      </c>
      <c r="H717" s="55"/>
      <c r="I717" s="55"/>
      <c r="J717" s="51">
        <v>4000000</v>
      </c>
      <c r="K717" s="51"/>
      <c r="L717" s="52">
        <v>46210</v>
      </c>
      <c r="M717" s="53">
        <v>46149</v>
      </c>
      <c r="N717" s="50" t="s">
        <v>155</v>
      </c>
      <c r="O717" s="50" t="s">
        <v>2924</v>
      </c>
      <c r="P717" s="50" t="s">
        <v>2919</v>
      </c>
      <c r="Q717" s="55" t="s">
        <v>2925</v>
      </c>
      <c r="R717" s="55" t="s">
        <v>2926</v>
      </c>
      <c r="S717" s="53">
        <v>47244</v>
      </c>
      <c r="T717" s="50"/>
      <c r="U717" s="50"/>
      <c r="V717" s="56"/>
      <c r="W717" s="50"/>
      <c r="X717" s="50"/>
      <c r="Y717" s="56"/>
      <c r="Z717" s="56"/>
      <c r="AA717" s="56"/>
      <c r="AB717" s="56"/>
      <c r="AC717" s="56"/>
      <c r="AD717" s="56"/>
    </row>
    <row x14ac:dyDescent="0.25" r="718" customHeight="1" ht="18.75" hidden="1">
      <c r="A718" s="71"/>
      <c r="B718" s="71"/>
      <c r="C718" s="72" t="s">
        <v>16</v>
      </c>
      <c r="D718" s="72"/>
      <c r="E718" s="72" t="s">
        <v>117</v>
      </c>
      <c r="F718" s="72" t="s">
        <v>521</v>
      </c>
      <c r="G718" s="73">
        <v>10000000</v>
      </c>
      <c r="H718" s="73"/>
      <c r="I718" s="73"/>
      <c r="J718" s="74"/>
      <c r="K718" s="74"/>
      <c r="L718" s="75">
        <v>46140</v>
      </c>
      <c r="M718" s="76">
        <v>46081</v>
      </c>
      <c r="N718" s="72" t="s">
        <v>282</v>
      </c>
      <c r="O718" s="72" t="s">
        <v>2397</v>
      </c>
      <c r="P718" s="72" t="s">
        <v>521</v>
      </c>
      <c r="Q718" s="73" t="s">
        <v>2398</v>
      </c>
      <c r="R718" s="73" t="s">
        <v>2399</v>
      </c>
      <c r="S718" s="76">
        <v>47176</v>
      </c>
      <c r="T718" s="72" t="s">
        <v>2400</v>
      </c>
      <c r="U718" s="72" t="s">
        <v>166</v>
      </c>
      <c r="V718" s="71"/>
      <c r="W718" s="50"/>
      <c r="X718" s="50"/>
      <c r="Y718" s="56"/>
      <c r="Z718" s="56"/>
      <c r="AA718" s="56"/>
      <c r="AB718" s="56"/>
      <c r="AC718" s="56"/>
      <c r="AD718" s="56"/>
    </row>
    <row x14ac:dyDescent="0.25" r="719" customHeight="1" ht="18.75">
      <c r="A719" s="56"/>
      <c r="B719" s="56"/>
      <c r="C719" s="49" t="s">
        <v>16</v>
      </c>
      <c r="D719" s="50"/>
      <c r="E719" s="50"/>
      <c r="F719" s="50" t="s">
        <v>3198</v>
      </c>
      <c r="G719" s="51">
        <v>30000000</v>
      </c>
      <c r="H719" s="51"/>
      <c r="I719" s="51"/>
      <c r="J719" s="51">
        <v>2400000</v>
      </c>
      <c r="K719" s="51"/>
      <c r="L719" s="52">
        <v>46210</v>
      </c>
      <c r="M719" s="53">
        <f>IF(L719&gt;0,EDATE(L719,-2),"")</f>
        <v>25569.375</v>
      </c>
      <c r="N719" s="50" t="s">
        <v>155</v>
      </c>
      <c r="O719" s="50" t="s">
        <v>3199</v>
      </c>
      <c r="P719" s="54">
        <f>IF(F719&gt;0,F719,"")</f>
      </c>
      <c r="Q719" s="55" t="s">
        <v>3200</v>
      </c>
      <c r="R719" s="55">
        <v>28920486</v>
      </c>
      <c r="S719" s="53">
        <f>IF(ISNUMBER(M719), EDATE(M719,36)-1, "")</f>
        <v>25569.375</v>
      </c>
      <c r="T719" s="50"/>
      <c r="U719" s="50"/>
      <c r="V719" s="56"/>
      <c r="W719" s="50"/>
      <c r="X719" s="50"/>
      <c r="Y719" s="56"/>
      <c r="Z719" s="56"/>
      <c r="AA719" s="56"/>
      <c r="AB719" s="56"/>
      <c r="AC719" s="56"/>
      <c r="AD719" s="56"/>
    </row>
    <row x14ac:dyDescent="0.25" r="720" customHeight="1" ht="18.75">
      <c r="A720" s="56"/>
      <c r="B720" s="56"/>
      <c r="C720" s="50" t="s">
        <v>16</v>
      </c>
      <c r="D720" s="50"/>
      <c r="E720" s="50"/>
      <c r="F720" s="50" t="s">
        <v>396</v>
      </c>
      <c r="G720" s="55">
        <v>10000000</v>
      </c>
      <c r="H720" s="55"/>
      <c r="I720" s="55"/>
      <c r="J720" s="51">
        <v>1200000</v>
      </c>
      <c r="K720" s="51"/>
      <c r="L720" s="52">
        <v>46211</v>
      </c>
      <c r="M720" s="53">
        <v>46150</v>
      </c>
      <c r="N720" s="50" t="s">
        <v>302</v>
      </c>
      <c r="O720" s="50" t="s">
        <v>397</v>
      </c>
      <c r="P720" s="50" t="s">
        <v>396</v>
      </c>
      <c r="Q720" s="55" t="s">
        <v>398</v>
      </c>
      <c r="R720" s="55" t="s">
        <v>399</v>
      </c>
      <c r="S720" s="53">
        <v>47245</v>
      </c>
      <c r="T720" s="50"/>
      <c r="U720" s="50"/>
      <c r="V720" s="56"/>
      <c r="W720" s="50"/>
      <c r="X720" s="50"/>
      <c r="Y720" s="56"/>
      <c r="Z720" s="56"/>
      <c r="AA720" s="56"/>
      <c r="AB720" s="56"/>
      <c r="AC720" s="56"/>
      <c r="AD720" s="56"/>
    </row>
    <row x14ac:dyDescent="0.25" r="721" customHeight="1" ht="18.75">
      <c r="A721" s="56"/>
      <c r="B721" s="56"/>
      <c r="C721" s="49" t="s">
        <v>16</v>
      </c>
      <c r="D721" s="50" t="s">
        <v>410</v>
      </c>
      <c r="E721" s="50" t="s">
        <v>411</v>
      </c>
      <c r="F721" s="50" t="s">
        <v>412</v>
      </c>
      <c r="G721" s="51">
        <v>10000000</v>
      </c>
      <c r="H721" s="51"/>
      <c r="I721" s="51"/>
      <c r="J721" s="87">
        <f>IF(G721&gt;0,_xludf.IFS(G721=10000000,1200000,G721=20000000,1800000,G721=30000000,2400000,G721=60000000,4000000),"")</f>
      </c>
      <c r="K721" s="51"/>
      <c r="L721" s="52">
        <v>46211</v>
      </c>
      <c r="M721" s="53">
        <f>IF(L721&gt;0,EDATE(L721,-2),"")</f>
        <v>25569.375</v>
      </c>
      <c r="N721" s="50" t="s">
        <v>168</v>
      </c>
      <c r="O721" s="50" t="s">
        <v>413</v>
      </c>
      <c r="P721" s="54">
        <f>IF(F721&gt;0,F721,"")</f>
      </c>
      <c r="Q721" s="55" t="s">
        <v>414</v>
      </c>
      <c r="R721" s="55">
        <v>5515700</v>
      </c>
      <c r="S721" s="53">
        <f>IF(ISNUMBER(M721), EDATE(M721,36)-1, "")</f>
        <v>25569.375</v>
      </c>
      <c r="T721" s="50"/>
      <c r="U721" s="50"/>
      <c r="V721" s="56"/>
      <c r="W721" s="50"/>
      <c r="X721" s="50"/>
      <c r="Y721" s="56"/>
      <c r="Z721" s="56"/>
      <c r="AA721" s="56"/>
      <c r="AB721" s="56"/>
      <c r="AC721" s="56"/>
      <c r="AD721" s="56"/>
    </row>
    <row x14ac:dyDescent="0.25" r="722" customHeight="1" ht="18.75" hidden="1">
      <c r="A722" s="56"/>
      <c r="B722" s="56"/>
      <c r="C722" s="49" t="s">
        <v>16</v>
      </c>
      <c r="D722" s="50"/>
      <c r="E722" s="50"/>
      <c r="F722" s="50" t="s">
        <v>2408</v>
      </c>
      <c r="G722" s="51">
        <v>10000000</v>
      </c>
      <c r="H722" s="51"/>
      <c r="I722" s="51"/>
      <c r="J722" s="87">
        <f>IF(G722&gt;0,_xludf.IFS(G722=10000000,800000,G722=20000000,1528000,G722=30000000,2028000,G722=60000000,4056000),"")</f>
      </c>
      <c r="K722" s="51"/>
      <c r="L722" s="52">
        <v>46108</v>
      </c>
      <c r="M722" s="53">
        <f>IF(L722&gt;0,EDATE(L722,-2),"")</f>
        <v>25569.375</v>
      </c>
      <c r="N722" s="50" t="s">
        <v>234</v>
      </c>
      <c r="O722" s="50" t="s">
        <v>2409</v>
      </c>
      <c r="P722" s="50" t="s">
        <v>3331</v>
      </c>
      <c r="Q722" s="55" t="s">
        <v>2410</v>
      </c>
      <c r="R722" s="55">
        <v>86121680</v>
      </c>
      <c r="S722" s="53">
        <f>IF(ISNUMBER(M722), EDATE(M722,36)-1, "")</f>
        <v>25569.375</v>
      </c>
      <c r="T722" s="50"/>
      <c r="U722" s="50"/>
      <c r="V722" s="56"/>
      <c r="W722" s="50"/>
      <c r="X722" s="50"/>
      <c r="Y722" s="56"/>
      <c r="Z722" s="56"/>
      <c r="AA722" s="56"/>
      <c r="AB722" s="56"/>
      <c r="AC722" s="56"/>
      <c r="AD722" s="56"/>
    </row>
    <row x14ac:dyDescent="0.25" r="723" customHeight="1" ht="18.75">
      <c r="A723" s="63" t="s">
        <v>708</v>
      </c>
      <c r="B723" s="63"/>
      <c r="C723" s="49" t="s">
        <v>16</v>
      </c>
      <c r="D723" s="49" t="s">
        <v>80</v>
      </c>
      <c r="E723" s="49" t="s">
        <v>596</v>
      </c>
      <c r="F723" s="49" t="s">
        <v>117</v>
      </c>
      <c r="G723" s="64">
        <v>10000000</v>
      </c>
      <c r="H723" s="64"/>
      <c r="I723" s="64"/>
      <c r="J723" s="64">
        <v>1200000</v>
      </c>
      <c r="K723" s="64"/>
      <c r="L723" s="66">
        <v>46211</v>
      </c>
      <c r="M723" s="67">
        <f>IF(L723&gt;0,EDATE(L723,-2),"")</f>
        <v>25569.375</v>
      </c>
      <c r="N723" s="49" t="s">
        <v>217</v>
      </c>
      <c r="O723" s="49" t="s">
        <v>704</v>
      </c>
      <c r="P723" s="68">
        <f>IF(F723&gt;0,F723,"")</f>
      </c>
      <c r="Q723" s="69" t="s">
        <v>705</v>
      </c>
      <c r="R723" s="69">
        <v>94914154</v>
      </c>
      <c r="S723" s="67">
        <f>IF(ISNUMBER(M723), EDATE(M723,36)-1, "")</f>
        <v>25569.375</v>
      </c>
      <c r="T723" s="49"/>
      <c r="U723" s="49"/>
      <c r="V723" s="63" t="s">
        <v>709</v>
      </c>
      <c r="W723" s="50"/>
      <c r="X723" s="50"/>
      <c r="Y723" s="56"/>
      <c r="Z723" s="56"/>
      <c r="AA723" s="56"/>
      <c r="AB723" s="56"/>
      <c r="AC723" s="56"/>
      <c r="AD723" s="56"/>
    </row>
    <row x14ac:dyDescent="0.25" r="724" customHeight="1" ht="18.75">
      <c r="A724" s="56"/>
      <c r="B724" s="56"/>
      <c r="C724" s="50" t="s">
        <v>16</v>
      </c>
      <c r="D724" s="50" t="s">
        <v>143</v>
      </c>
      <c r="E724" s="50" t="s">
        <v>1498</v>
      </c>
      <c r="F724" s="50" t="s">
        <v>1585</v>
      </c>
      <c r="G724" s="55">
        <v>60000000</v>
      </c>
      <c r="H724" s="55"/>
      <c r="I724" s="55"/>
      <c r="J724" s="51">
        <v>4000000</v>
      </c>
      <c r="K724" s="51"/>
      <c r="L724" s="52">
        <v>46211</v>
      </c>
      <c r="M724" s="53">
        <v>46150</v>
      </c>
      <c r="N724" s="50" t="s">
        <v>155</v>
      </c>
      <c r="O724" s="50" t="s">
        <v>1586</v>
      </c>
      <c r="P724" s="50" t="s">
        <v>1585</v>
      </c>
      <c r="Q724" s="55" t="s">
        <v>1587</v>
      </c>
      <c r="R724" s="55" t="s">
        <v>1588</v>
      </c>
      <c r="S724" s="53">
        <v>47245</v>
      </c>
      <c r="T724" s="50"/>
      <c r="U724" s="50"/>
      <c r="V724" s="56"/>
      <c r="W724" s="50"/>
      <c r="X724" s="50"/>
      <c r="Y724" s="56"/>
      <c r="Z724" s="56"/>
      <c r="AA724" s="56"/>
      <c r="AB724" s="56"/>
      <c r="AC724" s="56"/>
      <c r="AD724" s="56"/>
    </row>
    <row x14ac:dyDescent="0.25" r="725" customHeight="1" ht="18.75">
      <c r="A725" s="63"/>
      <c r="B725" s="63"/>
      <c r="C725" s="49" t="s">
        <v>16</v>
      </c>
      <c r="D725" s="49" t="s">
        <v>454</v>
      </c>
      <c r="E725" s="49" t="s">
        <v>647</v>
      </c>
      <c r="F725" s="49" t="s">
        <v>648</v>
      </c>
      <c r="G725" s="64">
        <v>10000000</v>
      </c>
      <c r="H725" s="64"/>
      <c r="I725" s="64"/>
      <c r="J725" s="64">
        <v>1200000</v>
      </c>
      <c r="K725" s="64"/>
      <c r="L725" s="66">
        <v>46212</v>
      </c>
      <c r="M725" s="67">
        <f>IF(L725&gt;0,EDATE(L725,-2),"")</f>
        <v>25569.375</v>
      </c>
      <c r="N725" s="49" t="s">
        <v>155</v>
      </c>
      <c r="O725" s="49" t="s">
        <v>649</v>
      </c>
      <c r="P725" s="68">
        <f>IF(F725&gt;0,F725,"")</f>
      </c>
      <c r="Q725" s="69" t="s">
        <v>650</v>
      </c>
      <c r="R725" s="69">
        <v>56249879</v>
      </c>
      <c r="S725" s="67">
        <f>IF(ISNUMBER(M725), EDATE(M725,36)-1, "")</f>
        <v>25569.375</v>
      </c>
      <c r="T725" s="49"/>
      <c r="U725" s="49"/>
      <c r="V725" s="63"/>
      <c r="W725" s="50"/>
      <c r="X725" s="50"/>
      <c r="Y725" s="56"/>
      <c r="Z725" s="56"/>
      <c r="AA725" s="56"/>
      <c r="AB725" s="56"/>
      <c r="AC725" s="56"/>
      <c r="AD725" s="56"/>
    </row>
    <row x14ac:dyDescent="0.25" r="726" customHeight="1" ht="18.75" hidden="1">
      <c r="A726" s="48" t="s">
        <v>2423</v>
      </c>
      <c r="B726" s="48"/>
      <c r="C726" s="50" t="s">
        <v>16</v>
      </c>
      <c r="D726" s="50"/>
      <c r="E726" s="50"/>
      <c r="F726" s="50" t="s">
        <v>111</v>
      </c>
      <c r="G726" s="55">
        <v>40000000</v>
      </c>
      <c r="H726" s="55"/>
      <c r="I726" s="55"/>
      <c r="J726" s="51">
        <v>2028000</v>
      </c>
      <c r="K726" s="51"/>
      <c r="L726" s="52">
        <v>45974</v>
      </c>
      <c r="M726" s="53">
        <v>45913</v>
      </c>
      <c r="N726" s="50" t="s">
        <v>217</v>
      </c>
      <c r="O726" s="50" t="s">
        <v>2424</v>
      </c>
      <c r="P726" s="50" t="s">
        <v>111</v>
      </c>
      <c r="Q726" s="55" t="s">
        <v>2425</v>
      </c>
      <c r="R726" s="55" t="s">
        <v>2426</v>
      </c>
      <c r="S726" s="53">
        <v>47008</v>
      </c>
      <c r="T726" s="50"/>
      <c r="U726" s="50"/>
      <c r="V726" s="48" t="s">
        <v>3332</v>
      </c>
      <c r="W726" s="50"/>
      <c r="X726" s="50"/>
      <c r="Y726" s="56"/>
      <c r="Z726" s="56"/>
      <c r="AA726" s="56"/>
      <c r="AB726" s="56"/>
      <c r="AC726" s="56"/>
      <c r="AD726" s="56"/>
    </row>
    <row x14ac:dyDescent="0.25" r="727" customHeight="1" ht="18.75" hidden="1">
      <c r="A727" s="48" t="s">
        <v>2423</v>
      </c>
      <c r="B727" s="48"/>
      <c r="C727" s="50" t="s">
        <v>16</v>
      </c>
      <c r="D727" s="50"/>
      <c r="E727" s="50"/>
      <c r="F727" s="50" t="s">
        <v>111</v>
      </c>
      <c r="G727" s="55">
        <v>10000000</v>
      </c>
      <c r="H727" s="55"/>
      <c r="I727" s="55"/>
      <c r="J727" s="51">
        <v>800000</v>
      </c>
      <c r="K727" s="51"/>
      <c r="L727" s="52">
        <v>46050</v>
      </c>
      <c r="M727" s="53">
        <v>45989</v>
      </c>
      <c r="N727" s="50" t="s">
        <v>217</v>
      </c>
      <c r="O727" s="50" t="s">
        <v>2424</v>
      </c>
      <c r="P727" s="50" t="s">
        <v>111</v>
      </c>
      <c r="Q727" s="55" t="s">
        <v>2425</v>
      </c>
      <c r="R727" s="55" t="s">
        <v>2426</v>
      </c>
      <c r="S727" s="53">
        <v>47084</v>
      </c>
      <c r="T727" s="50"/>
      <c r="U727" s="50"/>
      <c r="V727" s="48" t="s">
        <v>3333</v>
      </c>
      <c r="W727" s="50"/>
      <c r="X727" s="50"/>
      <c r="Y727" s="56"/>
      <c r="Z727" s="56"/>
      <c r="AA727" s="56"/>
      <c r="AB727" s="56"/>
      <c r="AC727" s="56"/>
      <c r="AD727" s="56"/>
    </row>
    <row x14ac:dyDescent="0.25" r="728" customHeight="1" ht="18.75" hidden="1">
      <c r="A728" s="56"/>
      <c r="B728" s="56"/>
      <c r="C728" s="50" t="s">
        <v>16</v>
      </c>
      <c r="D728" s="50"/>
      <c r="E728" s="50"/>
      <c r="F728" s="50" t="s">
        <v>476</v>
      </c>
      <c r="G728" s="55">
        <v>10000000</v>
      </c>
      <c r="H728" s="55"/>
      <c r="I728" s="55"/>
      <c r="J728" s="51">
        <v>800000</v>
      </c>
      <c r="K728" s="51"/>
      <c r="L728" s="52">
        <v>46081</v>
      </c>
      <c r="M728" s="53">
        <v>46022</v>
      </c>
      <c r="N728" s="50" t="s">
        <v>234</v>
      </c>
      <c r="O728" s="50" t="s">
        <v>2420</v>
      </c>
      <c r="P728" s="50" t="s">
        <v>2419</v>
      </c>
      <c r="Q728" s="55" t="s">
        <v>2421</v>
      </c>
      <c r="R728" s="55" t="s">
        <v>2422</v>
      </c>
      <c r="S728" s="53">
        <v>47117</v>
      </c>
      <c r="T728" s="50"/>
      <c r="U728" s="50"/>
      <c r="V728" s="56"/>
      <c r="W728" s="50"/>
      <c r="X728" s="50"/>
      <c r="Y728" s="56"/>
      <c r="Z728" s="56"/>
      <c r="AA728" s="56"/>
      <c r="AB728" s="56"/>
      <c r="AC728" s="56"/>
      <c r="AD728" s="56"/>
    </row>
    <row x14ac:dyDescent="0.25" r="729" customHeight="1" ht="18.75" hidden="1">
      <c r="A729" s="56"/>
      <c r="B729" s="56"/>
      <c r="C729" s="50" t="s">
        <v>1527</v>
      </c>
      <c r="D729" s="50"/>
      <c r="E729" s="50"/>
      <c r="F729" s="50" t="s">
        <v>847</v>
      </c>
      <c r="G729" s="55">
        <v>30000000</v>
      </c>
      <c r="H729" s="55"/>
      <c r="I729" s="55"/>
      <c r="J729" s="51">
        <v>1500000</v>
      </c>
      <c r="K729" s="51"/>
      <c r="L729" s="52">
        <v>45755</v>
      </c>
      <c r="M729" s="53">
        <v>45696</v>
      </c>
      <c r="N729" s="50" t="s">
        <v>182</v>
      </c>
      <c r="O729" s="50" t="s">
        <v>2428</v>
      </c>
      <c r="P729" s="50" t="s">
        <v>847</v>
      </c>
      <c r="Q729" s="55" t="s">
        <v>2429</v>
      </c>
      <c r="R729" s="55" t="s">
        <v>2430</v>
      </c>
      <c r="S729" s="53">
        <v>46790</v>
      </c>
      <c r="T729" s="50"/>
      <c r="U729" s="50"/>
      <c r="V729" s="56"/>
      <c r="W729" s="50"/>
      <c r="X729" s="50"/>
      <c r="Y729" s="56"/>
      <c r="Z729" s="56"/>
      <c r="AA729" s="56"/>
      <c r="AB729" s="56"/>
      <c r="AC729" s="56"/>
      <c r="AD729" s="56"/>
    </row>
    <row x14ac:dyDescent="0.25" r="730" customHeight="1" ht="18.75" hidden="1">
      <c r="A730" s="56"/>
      <c r="B730" s="56"/>
      <c r="C730" s="50" t="s">
        <v>16</v>
      </c>
      <c r="D730" s="50"/>
      <c r="E730" s="50"/>
      <c r="F730" s="50" t="s">
        <v>847</v>
      </c>
      <c r="G730" s="55">
        <v>30000000</v>
      </c>
      <c r="H730" s="55"/>
      <c r="I730" s="55"/>
      <c r="J730" s="51">
        <v>2400000</v>
      </c>
      <c r="K730" s="51"/>
      <c r="L730" s="52">
        <v>45897</v>
      </c>
      <c r="M730" s="53">
        <v>45836</v>
      </c>
      <c r="N730" s="50" t="s">
        <v>182</v>
      </c>
      <c r="O730" s="50" t="s">
        <v>2431</v>
      </c>
      <c r="P730" s="50" t="s">
        <v>847</v>
      </c>
      <c r="Q730" s="55" t="s">
        <v>2429</v>
      </c>
      <c r="R730" s="55" t="s">
        <v>2432</v>
      </c>
      <c r="S730" s="53">
        <v>46931</v>
      </c>
      <c r="T730" s="50"/>
      <c r="U730" s="50"/>
      <c r="V730" s="56"/>
      <c r="W730" s="50"/>
      <c r="X730" s="50"/>
      <c r="Y730" s="56"/>
      <c r="Z730" s="56"/>
      <c r="AA730" s="56"/>
      <c r="AB730" s="56"/>
      <c r="AC730" s="56"/>
      <c r="AD730" s="56"/>
    </row>
    <row x14ac:dyDescent="0.25" r="731" customHeight="1" ht="18.75" hidden="1">
      <c r="A731" s="48" t="s">
        <v>2433</v>
      </c>
      <c r="B731" s="48"/>
      <c r="C731" s="50" t="s">
        <v>113</v>
      </c>
      <c r="D731" s="50"/>
      <c r="E731" s="50"/>
      <c r="F731" s="50" t="s">
        <v>18</v>
      </c>
      <c r="G731" s="55">
        <v>30000000</v>
      </c>
      <c r="H731" s="55"/>
      <c r="I731" s="55"/>
      <c r="J731" s="51">
        <v>2400000</v>
      </c>
      <c r="K731" s="51"/>
      <c r="L731" s="52">
        <v>45636</v>
      </c>
      <c r="M731" s="53">
        <v>45575</v>
      </c>
      <c r="N731" s="50" t="s">
        <v>239</v>
      </c>
      <c r="O731" s="50" t="s">
        <v>2434</v>
      </c>
      <c r="P731" s="50" t="s">
        <v>18</v>
      </c>
      <c r="Q731" s="55" t="s">
        <v>2435</v>
      </c>
      <c r="R731" s="55" t="s">
        <v>2170</v>
      </c>
      <c r="S731" s="53">
        <v>46669</v>
      </c>
      <c r="T731" s="50"/>
      <c r="U731" s="50"/>
      <c r="V731" s="56"/>
      <c r="W731" s="50"/>
      <c r="X731" s="50"/>
      <c r="Y731" s="56"/>
      <c r="Z731" s="56"/>
      <c r="AA731" s="56"/>
      <c r="AB731" s="56"/>
      <c r="AC731" s="56"/>
      <c r="AD731" s="56"/>
    </row>
    <row x14ac:dyDescent="0.25" r="732" customHeight="1" ht="18.75" hidden="1">
      <c r="A732" s="48" t="s">
        <v>2436</v>
      </c>
      <c r="B732" s="48"/>
      <c r="C732" s="50" t="s">
        <v>113</v>
      </c>
      <c r="D732" s="50"/>
      <c r="E732" s="50"/>
      <c r="F732" s="50" t="s">
        <v>18</v>
      </c>
      <c r="G732" s="55">
        <v>30000000</v>
      </c>
      <c r="H732" s="55"/>
      <c r="I732" s="55"/>
      <c r="J732" s="51">
        <v>2400000</v>
      </c>
      <c r="K732" s="51"/>
      <c r="L732" s="52">
        <v>45657</v>
      </c>
      <c r="M732" s="53">
        <v>45596</v>
      </c>
      <c r="N732" s="50" t="s">
        <v>217</v>
      </c>
      <c r="O732" s="50" t="s">
        <v>2168</v>
      </c>
      <c r="P732" s="50" t="s">
        <v>18</v>
      </c>
      <c r="Q732" s="55" t="s">
        <v>2435</v>
      </c>
      <c r="R732" s="55" t="s">
        <v>2170</v>
      </c>
      <c r="S732" s="53">
        <v>46690</v>
      </c>
      <c r="T732" s="50"/>
      <c r="U732" s="50"/>
      <c r="V732" s="56"/>
      <c r="W732" s="50"/>
      <c r="X732" s="50"/>
      <c r="Y732" s="56"/>
      <c r="Z732" s="56"/>
      <c r="AA732" s="56"/>
      <c r="AB732" s="56"/>
      <c r="AC732" s="56"/>
      <c r="AD732" s="56"/>
    </row>
    <row x14ac:dyDescent="0.25" r="733" customHeight="1" ht="18.75" hidden="1">
      <c r="A733" s="48" t="s">
        <v>1133</v>
      </c>
      <c r="B733" s="48"/>
      <c r="C733" s="50" t="s">
        <v>16</v>
      </c>
      <c r="D733" s="50"/>
      <c r="E733" s="50"/>
      <c r="F733" s="50" t="s">
        <v>18</v>
      </c>
      <c r="G733" s="55">
        <v>60000000</v>
      </c>
      <c r="H733" s="55"/>
      <c r="I733" s="55"/>
      <c r="J733" s="51">
        <v>4800000</v>
      </c>
      <c r="K733" s="51"/>
      <c r="L733" s="52">
        <v>45901</v>
      </c>
      <c r="M733" s="53">
        <v>45839</v>
      </c>
      <c r="N733" s="50" t="s">
        <v>217</v>
      </c>
      <c r="O733" s="50" t="s">
        <v>2437</v>
      </c>
      <c r="P733" s="50" t="s">
        <v>18</v>
      </c>
      <c r="Q733" s="55" t="s">
        <v>2438</v>
      </c>
      <c r="R733" s="55" t="s">
        <v>2439</v>
      </c>
      <c r="S733" s="53">
        <v>46934</v>
      </c>
      <c r="T733" s="50"/>
      <c r="U733" s="50"/>
      <c r="V733" s="56"/>
      <c r="W733" s="50"/>
      <c r="X733" s="50"/>
      <c r="Y733" s="56"/>
      <c r="Z733" s="56"/>
      <c r="AA733" s="56"/>
      <c r="AB733" s="56"/>
      <c r="AC733" s="56"/>
      <c r="AD733" s="56"/>
    </row>
    <row x14ac:dyDescent="0.25" r="734" customHeight="1" ht="18.75" hidden="1">
      <c r="A734" s="56"/>
      <c r="B734" s="56"/>
      <c r="C734" s="50" t="s">
        <v>16</v>
      </c>
      <c r="D734" s="50"/>
      <c r="E734" s="50"/>
      <c r="F734" s="50" t="s">
        <v>2441</v>
      </c>
      <c r="G734" s="55">
        <v>10000000</v>
      </c>
      <c r="H734" s="55"/>
      <c r="I734" s="55"/>
      <c r="J734" s="51">
        <v>800000</v>
      </c>
      <c r="K734" s="51"/>
      <c r="L734" s="52">
        <v>46081</v>
      </c>
      <c r="M734" s="53">
        <v>46022</v>
      </c>
      <c r="N734" s="50" t="s">
        <v>2442</v>
      </c>
      <c r="O734" s="50" t="s">
        <v>2443</v>
      </c>
      <c r="P734" s="50" t="s">
        <v>2441</v>
      </c>
      <c r="Q734" s="55" t="s">
        <v>2444</v>
      </c>
      <c r="R734" s="55" t="s">
        <v>2445</v>
      </c>
      <c r="S734" s="53">
        <v>47117</v>
      </c>
      <c r="T734" s="50"/>
      <c r="U734" s="50"/>
      <c r="V734" s="56"/>
      <c r="W734" s="50"/>
      <c r="X734" s="50"/>
      <c r="Y734" s="56"/>
      <c r="Z734" s="56"/>
      <c r="AA734" s="56"/>
      <c r="AB734" s="56"/>
      <c r="AC734" s="56"/>
      <c r="AD734" s="56"/>
    </row>
    <row x14ac:dyDescent="0.25" r="735" customHeight="1" ht="18.75">
      <c r="A735" s="56"/>
      <c r="B735" s="56"/>
      <c r="C735" s="50" t="s">
        <v>16</v>
      </c>
      <c r="D735" s="50" t="s">
        <v>1648</v>
      </c>
      <c r="E735" s="50" t="s">
        <v>1649</v>
      </c>
      <c r="F735" s="50" t="s">
        <v>1650</v>
      </c>
      <c r="G735" s="55">
        <v>10000000</v>
      </c>
      <c r="H735" s="55"/>
      <c r="I735" s="55"/>
      <c r="J735" s="51">
        <v>1200000</v>
      </c>
      <c r="K735" s="51"/>
      <c r="L735" s="52">
        <v>46212</v>
      </c>
      <c r="M735" s="53">
        <v>46151</v>
      </c>
      <c r="N735" s="50" t="s">
        <v>302</v>
      </c>
      <c r="O735" s="50" t="s">
        <v>1651</v>
      </c>
      <c r="P735" s="50" t="s">
        <v>1650</v>
      </c>
      <c r="Q735" s="55" t="s">
        <v>1652</v>
      </c>
      <c r="R735" s="55" t="s">
        <v>1653</v>
      </c>
      <c r="S735" s="53">
        <v>47246</v>
      </c>
      <c r="T735" s="50"/>
      <c r="U735" s="50"/>
      <c r="V735" s="56"/>
      <c r="W735" s="50"/>
      <c r="X735" s="50"/>
      <c r="Y735" s="56"/>
      <c r="Z735" s="56"/>
      <c r="AA735" s="56"/>
      <c r="AB735" s="56"/>
      <c r="AC735" s="56"/>
      <c r="AD735" s="56"/>
    </row>
    <row x14ac:dyDescent="0.25" r="736" customHeight="1" ht="18.75" hidden="1">
      <c r="A736" s="71"/>
      <c r="B736" s="71"/>
      <c r="C736" s="72" t="s">
        <v>16</v>
      </c>
      <c r="D736" s="72"/>
      <c r="E736" s="72"/>
      <c r="F736" s="72" t="s">
        <v>2451</v>
      </c>
      <c r="G736" s="73">
        <v>10000000</v>
      </c>
      <c r="H736" s="73"/>
      <c r="I736" s="73"/>
      <c r="J736" s="74"/>
      <c r="K736" s="74"/>
      <c r="L736" s="75">
        <v>46152</v>
      </c>
      <c r="M736" s="76">
        <v>46091</v>
      </c>
      <c r="N736" s="72" t="s">
        <v>217</v>
      </c>
      <c r="O736" s="72" t="s">
        <v>2452</v>
      </c>
      <c r="P736" s="72" t="s">
        <v>2451</v>
      </c>
      <c r="Q736" s="73" t="s">
        <v>2453</v>
      </c>
      <c r="R736" s="73" t="s">
        <v>2454</v>
      </c>
      <c r="S736" s="76">
        <v>47186</v>
      </c>
      <c r="T736" s="72" t="s">
        <v>2455</v>
      </c>
      <c r="U736" s="72" t="s">
        <v>166</v>
      </c>
      <c r="V736" s="71"/>
      <c r="W736" s="50"/>
      <c r="X736" s="50"/>
      <c r="Y736" s="56"/>
      <c r="Z736" s="56"/>
      <c r="AA736" s="56"/>
      <c r="AB736" s="56"/>
      <c r="AC736" s="56"/>
      <c r="AD736" s="56"/>
    </row>
    <row x14ac:dyDescent="0.25" r="737" customHeight="1" ht="18.75" hidden="1">
      <c r="A737" s="48" t="s">
        <v>152</v>
      </c>
      <c r="B737" s="48"/>
      <c r="C737" s="50" t="s">
        <v>16</v>
      </c>
      <c r="D737" s="50" t="s">
        <v>410</v>
      </c>
      <c r="E737" s="50" t="s">
        <v>534</v>
      </c>
      <c r="F737" s="50" t="s">
        <v>2456</v>
      </c>
      <c r="G737" s="55">
        <v>10000000</v>
      </c>
      <c r="H737" s="55"/>
      <c r="I737" s="55"/>
      <c r="J737" s="51">
        <v>800000</v>
      </c>
      <c r="K737" s="51"/>
      <c r="L737" s="52">
        <v>46081</v>
      </c>
      <c r="M737" s="53">
        <v>46022</v>
      </c>
      <c r="N737" s="50" t="s">
        <v>168</v>
      </c>
      <c r="O737" s="50" t="s">
        <v>2457</v>
      </c>
      <c r="P737" s="50" t="s">
        <v>2456</v>
      </c>
      <c r="Q737" s="55" t="s">
        <v>2458</v>
      </c>
      <c r="R737" s="55" t="s">
        <v>2459</v>
      </c>
      <c r="S737" s="53">
        <v>47117</v>
      </c>
      <c r="T737" s="50"/>
      <c r="U737" s="50"/>
      <c r="V737" s="48" t="s">
        <v>2460</v>
      </c>
      <c r="W737" s="50"/>
      <c r="X737" s="50"/>
      <c r="Y737" s="56"/>
      <c r="Z737" s="56"/>
      <c r="AA737" s="56"/>
      <c r="AB737" s="56"/>
      <c r="AC737" s="56"/>
      <c r="AD737" s="56"/>
    </row>
    <row x14ac:dyDescent="0.25" r="738" customHeight="1" ht="18.75" hidden="1">
      <c r="A738" s="48" t="s">
        <v>2433</v>
      </c>
      <c r="B738" s="48"/>
      <c r="C738" s="50" t="s">
        <v>113</v>
      </c>
      <c r="D738" s="50"/>
      <c r="E738" s="50"/>
      <c r="F738" s="50" t="s">
        <v>3334</v>
      </c>
      <c r="G738" s="55">
        <v>30000000</v>
      </c>
      <c r="H738" s="55"/>
      <c r="I738" s="55"/>
      <c r="J738" s="51">
        <v>2400000</v>
      </c>
      <c r="K738" s="51"/>
      <c r="L738" s="52">
        <v>45636</v>
      </c>
      <c r="M738" s="53">
        <v>45575</v>
      </c>
      <c r="N738" s="50" t="s">
        <v>217</v>
      </c>
      <c r="O738" s="50" t="s">
        <v>2168</v>
      </c>
      <c r="P738" s="50" t="s">
        <v>99</v>
      </c>
      <c r="Q738" s="55" t="s">
        <v>2169</v>
      </c>
      <c r="R738" s="55" t="s">
        <v>2170</v>
      </c>
      <c r="S738" s="53">
        <v>46669</v>
      </c>
      <c r="T738" s="50"/>
      <c r="U738" s="50"/>
      <c r="V738" s="56"/>
      <c r="W738" s="50"/>
      <c r="X738" s="50"/>
      <c r="Y738" s="56"/>
      <c r="Z738" s="56"/>
      <c r="AA738" s="56"/>
      <c r="AB738" s="56"/>
      <c r="AC738" s="56"/>
      <c r="AD738" s="56"/>
    </row>
    <row x14ac:dyDescent="0.25" r="739" customHeight="1" ht="18.75" hidden="1">
      <c r="A739" s="56"/>
      <c r="B739" s="56"/>
      <c r="C739" s="50" t="s">
        <v>16</v>
      </c>
      <c r="D739" s="50"/>
      <c r="E739" s="50"/>
      <c r="F739" s="50" t="s">
        <v>2461</v>
      </c>
      <c r="G739" s="55">
        <v>10000000</v>
      </c>
      <c r="H739" s="55"/>
      <c r="I739" s="55"/>
      <c r="J739" s="51">
        <v>500000</v>
      </c>
      <c r="K739" s="51"/>
      <c r="L739" s="52">
        <v>46122</v>
      </c>
      <c r="M739" s="53">
        <v>46063</v>
      </c>
      <c r="N739" s="50" t="s">
        <v>570</v>
      </c>
      <c r="O739" s="50" t="s">
        <v>2462</v>
      </c>
      <c r="P739" s="50" t="s">
        <v>2461</v>
      </c>
      <c r="Q739" s="55" t="s">
        <v>2463</v>
      </c>
      <c r="R739" s="55" t="s">
        <v>2464</v>
      </c>
      <c r="S739" s="53">
        <v>47158</v>
      </c>
      <c r="T739" s="50"/>
      <c r="U739" s="50" t="s">
        <v>166</v>
      </c>
      <c r="V739" s="56"/>
      <c r="W739" s="50"/>
      <c r="X739" s="50"/>
      <c r="Y739" s="56"/>
      <c r="Z739" s="56"/>
      <c r="AA739" s="56"/>
      <c r="AB739" s="56"/>
      <c r="AC739" s="56"/>
      <c r="AD739" s="56"/>
    </row>
    <row x14ac:dyDescent="0.25" r="740" customHeight="1" ht="18.75">
      <c r="A740" s="56"/>
      <c r="B740" s="56"/>
      <c r="C740" s="50" t="s">
        <v>16</v>
      </c>
      <c r="D740" s="50" t="s">
        <v>143</v>
      </c>
      <c r="E740" s="50" t="s">
        <v>1936</v>
      </c>
      <c r="F740" s="50" t="s">
        <v>1937</v>
      </c>
      <c r="G740" s="55">
        <v>10000000</v>
      </c>
      <c r="H740" s="55"/>
      <c r="I740" s="55"/>
      <c r="J740" s="51">
        <v>1200000</v>
      </c>
      <c r="K740" s="51"/>
      <c r="L740" s="52">
        <v>46212</v>
      </c>
      <c r="M740" s="53">
        <v>46151</v>
      </c>
      <c r="N740" s="50" t="s">
        <v>217</v>
      </c>
      <c r="O740" s="50" t="s">
        <v>1938</v>
      </c>
      <c r="P740" s="50" t="s">
        <v>1937</v>
      </c>
      <c r="Q740" s="55" t="s">
        <v>1939</v>
      </c>
      <c r="R740" s="55" t="s">
        <v>1940</v>
      </c>
      <c r="S740" s="53">
        <v>47246</v>
      </c>
      <c r="T740" s="50" t="s">
        <v>1941</v>
      </c>
      <c r="U740" s="50"/>
      <c r="V740" s="56"/>
      <c r="W740" s="50"/>
      <c r="X740" s="50"/>
      <c r="Y740" s="56"/>
      <c r="Z740" s="56"/>
      <c r="AA740" s="56"/>
      <c r="AB740" s="56"/>
      <c r="AC740" s="56"/>
      <c r="AD740" s="56"/>
    </row>
    <row x14ac:dyDescent="0.25" r="741" customHeight="1" ht="18.75">
      <c r="A741" s="56"/>
      <c r="B741" s="56"/>
      <c r="C741" s="50" t="s">
        <v>16</v>
      </c>
      <c r="D741" s="50" t="s">
        <v>55</v>
      </c>
      <c r="E741" s="50" t="s">
        <v>56</v>
      </c>
      <c r="F741" s="50" t="s">
        <v>2021</v>
      </c>
      <c r="G741" s="51">
        <v>10000000</v>
      </c>
      <c r="H741" s="51"/>
      <c r="I741" s="51"/>
      <c r="J741" s="87">
        <f>IF(G741&gt;0,_xludf.IFS(G741=10000000,1200000,G741=20000000,1800000,G741=30000000,2400000,G741=60000000,4000000),"")</f>
      </c>
      <c r="K741" s="51"/>
      <c r="L741" s="52">
        <v>46213</v>
      </c>
      <c r="M741" s="53">
        <v>46151</v>
      </c>
      <c r="N741" s="50" t="s">
        <v>212</v>
      </c>
      <c r="O741" s="50" t="s">
        <v>2022</v>
      </c>
      <c r="P741" s="54">
        <f>IF(F741&gt;0,F741,"")</f>
      </c>
      <c r="Q741" s="55">
        <v>9501161056538</v>
      </c>
      <c r="R741" s="55">
        <v>57802200</v>
      </c>
      <c r="S741" s="53">
        <f>IF(ISNUMBER(M741), EDATE(M741,36)-1, "")</f>
        <v>25569.375</v>
      </c>
      <c r="T741" s="50"/>
      <c r="U741" s="50"/>
      <c r="V741" s="50"/>
      <c r="W741" s="50"/>
      <c r="X741" s="50"/>
      <c r="Y741" s="56"/>
      <c r="Z741" s="56"/>
      <c r="AA741" s="56"/>
      <c r="AB741" s="56"/>
      <c r="AC741" s="56"/>
      <c r="AD741" s="56"/>
    </row>
    <row x14ac:dyDescent="0.25" r="742" customHeight="1" ht="18.75" hidden="1">
      <c r="A742" s="56"/>
      <c r="B742" s="56"/>
      <c r="C742" s="50" t="s">
        <v>16</v>
      </c>
      <c r="D742" s="50"/>
      <c r="E742" s="50"/>
      <c r="F742" s="50" t="s">
        <v>2467</v>
      </c>
      <c r="G742" s="55">
        <v>10000000</v>
      </c>
      <c r="H742" s="55"/>
      <c r="I742" s="55"/>
      <c r="J742" s="51">
        <v>800000</v>
      </c>
      <c r="K742" s="51"/>
      <c r="L742" s="52">
        <v>46159</v>
      </c>
      <c r="M742" s="53">
        <v>46098</v>
      </c>
      <c r="N742" s="50" t="s">
        <v>205</v>
      </c>
      <c r="O742" s="50" t="s">
        <v>2468</v>
      </c>
      <c r="P742" s="50" t="s">
        <v>2467</v>
      </c>
      <c r="Q742" s="55" t="s">
        <v>2469</v>
      </c>
      <c r="R742" s="55" t="s">
        <v>2470</v>
      </c>
      <c r="S742" s="53">
        <v>47193</v>
      </c>
      <c r="T742" s="50" t="s">
        <v>2471</v>
      </c>
      <c r="U742" s="50"/>
      <c r="V742" s="56"/>
      <c r="W742" s="50"/>
      <c r="X742" s="50"/>
      <c r="Y742" s="56"/>
      <c r="Z742" s="56"/>
      <c r="AA742" s="56"/>
      <c r="AB742" s="56"/>
      <c r="AC742" s="56"/>
      <c r="AD742" s="56"/>
    </row>
    <row x14ac:dyDescent="0.25" r="743" customHeight="1" ht="18.75" hidden="1">
      <c r="A743" s="56"/>
      <c r="B743" s="56"/>
      <c r="C743" s="50" t="s">
        <v>16</v>
      </c>
      <c r="D743" s="50"/>
      <c r="E743" s="50"/>
      <c r="F743" s="50" t="s">
        <v>1958</v>
      </c>
      <c r="G743" s="55">
        <v>10000000</v>
      </c>
      <c r="H743" s="55"/>
      <c r="I743" s="55"/>
      <c r="J743" s="51">
        <v>800000</v>
      </c>
      <c r="K743" s="51"/>
      <c r="L743" s="52">
        <v>46081</v>
      </c>
      <c r="M743" s="53">
        <v>46022</v>
      </c>
      <c r="N743" s="50" t="s">
        <v>155</v>
      </c>
      <c r="O743" s="50" t="s">
        <v>2472</v>
      </c>
      <c r="P743" s="50" t="s">
        <v>1958</v>
      </c>
      <c r="Q743" s="55" t="s">
        <v>2473</v>
      </c>
      <c r="R743" s="55" t="s">
        <v>2474</v>
      </c>
      <c r="S743" s="53">
        <v>47117</v>
      </c>
      <c r="T743" s="50"/>
      <c r="U743" s="50"/>
      <c r="V743" s="56"/>
      <c r="W743" s="50"/>
      <c r="X743" s="50"/>
      <c r="Y743" s="56"/>
      <c r="Z743" s="56"/>
      <c r="AA743" s="56"/>
      <c r="AB743" s="56"/>
      <c r="AC743" s="56"/>
      <c r="AD743" s="56"/>
    </row>
    <row x14ac:dyDescent="0.25" r="744" customHeight="1" ht="18.75" hidden="1">
      <c r="A744" s="56"/>
      <c r="B744" s="56"/>
      <c r="C744" s="50" t="s">
        <v>16</v>
      </c>
      <c r="D744" s="50"/>
      <c r="E744" s="50"/>
      <c r="F744" s="50" t="s">
        <v>2475</v>
      </c>
      <c r="G744" s="55">
        <v>120000000</v>
      </c>
      <c r="H744" s="55"/>
      <c r="I744" s="55"/>
      <c r="J744" s="51">
        <v>9600000</v>
      </c>
      <c r="K744" s="51"/>
      <c r="L744" s="52">
        <v>45979</v>
      </c>
      <c r="M744" s="53">
        <v>45918</v>
      </c>
      <c r="N744" s="50" t="s">
        <v>217</v>
      </c>
      <c r="O744" s="50" t="s">
        <v>2476</v>
      </c>
      <c r="P744" s="50" t="s">
        <v>2475</v>
      </c>
      <c r="Q744" s="55" t="s">
        <v>2477</v>
      </c>
      <c r="R744" s="55" t="s">
        <v>2478</v>
      </c>
      <c r="S744" s="53">
        <v>47013</v>
      </c>
      <c r="T744" s="50"/>
      <c r="U744" s="50"/>
      <c r="V744" s="56"/>
      <c r="W744" s="50"/>
      <c r="X744" s="50"/>
      <c r="Y744" s="56"/>
      <c r="Z744" s="56"/>
      <c r="AA744" s="56"/>
      <c r="AB744" s="56"/>
      <c r="AC744" s="56"/>
      <c r="AD744" s="56"/>
    </row>
    <row x14ac:dyDescent="0.25" r="745" customHeight="1" ht="18.75">
      <c r="A745" s="56"/>
      <c r="B745" s="56"/>
      <c r="C745" s="49" t="s">
        <v>16</v>
      </c>
      <c r="D745" s="50" t="s">
        <v>55</v>
      </c>
      <c r="E745" s="50" t="s">
        <v>56</v>
      </c>
      <c r="F745" s="50" t="s">
        <v>726</v>
      </c>
      <c r="G745" s="51">
        <v>10000000</v>
      </c>
      <c r="H745" s="51"/>
      <c r="I745" s="51"/>
      <c r="J745" s="51">
        <v>1200000</v>
      </c>
      <c r="K745" s="51"/>
      <c r="L745" s="52">
        <v>46213</v>
      </c>
      <c r="M745" s="53">
        <v>46151</v>
      </c>
      <c r="N745" s="50" t="s">
        <v>239</v>
      </c>
      <c r="O745" s="50" t="s">
        <v>3046</v>
      </c>
      <c r="P745" s="54">
        <f>IF(F745&gt;0,F745,"")</f>
      </c>
      <c r="Q745" s="55" t="s">
        <v>3047</v>
      </c>
      <c r="R745" s="55">
        <v>63752406</v>
      </c>
      <c r="S745" s="53">
        <f>IF(ISNUMBER(M745), EDATE(M745,36)-1, "")</f>
        <v>25569.375</v>
      </c>
      <c r="T745" s="50"/>
      <c r="U745" s="50"/>
      <c r="V745" s="56"/>
      <c r="W745" s="50"/>
      <c r="X745" s="50"/>
      <c r="Y745" s="56"/>
      <c r="Z745" s="56"/>
      <c r="AA745" s="56"/>
      <c r="AB745" s="56"/>
      <c r="AC745" s="56"/>
      <c r="AD745" s="56"/>
    </row>
    <row x14ac:dyDescent="0.25" r="746" customHeight="1" ht="18.75" hidden="1">
      <c r="A746" s="56"/>
      <c r="B746" s="56"/>
      <c r="C746" s="50" t="s">
        <v>16</v>
      </c>
      <c r="D746" s="50"/>
      <c r="E746" s="50"/>
      <c r="F746" s="50" t="s">
        <v>2484</v>
      </c>
      <c r="G746" s="51">
        <v>20000000</v>
      </c>
      <c r="H746" s="51"/>
      <c r="I746" s="51"/>
      <c r="J746" s="51">
        <v>1528000</v>
      </c>
      <c r="K746" s="51"/>
      <c r="L746" s="52">
        <v>46049</v>
      </c>
      <c r="M746" s="53">
        <f>IF(L746&gt;0,EDATE(L746,-2),"")</f>
        <v>25569.375</v>
      </c>
      <c r="N746" s="50" t="s">
        <v>168</v>
      </c>
      <c r="O746" s="50" t="s">
        <v>2485</v>
      </c>
      <c r="P746" s="54">
        <f>IF(F746&gt;0,F746,"")</f>
      </c>
      <c r="Q746" s="55">
        <v>6910012255914</v>
      </c>
      <c r="R746" s="55">
        <v>24369849</v>
      </c>
      <c r="S746" s="53">
        <f>IF(ISNUMBER(M746), EDATE(M746,36)-1, "")</f>
        <v>25569.375</v>
      </c>
      <c r="T746" s="50"/>
      <c r="U746" s="50"/>
      <c r="V746" s="56"/>
      <c r="W746" s="50"/>
      <c r="X746" s="50"/>
      <c r="Y746" s="56"/>
      <c r="Z746" s="56"/>
      <c r="AA746" s="56"/>
      <c r="AB746" s="56"/>
      <c r="AC746" s="56"/>
      <c r="AD746" s="56"/>
    </row>
    <row x14ac:dyDescent="0.25" r="747" customHeight="1" ht="18.75" hidden="1">
      <c r="A747" s="56"/>
      <c r="B747" s="56"/>
      <c r="C747" s="50" t="s">
        <v>16</v>
      </c>
      <c r="D747" s="50" t="s">
        <v>88</v>
      </c>
      <c r="E747" s="50" t="s">
        <v>14</v>
      </c>
      <c r="F747" s="50" t="s">
        <v>2486</v>
      </c>
      <c r="G747" s="55">
        <v>50000000</v>
      </c>
      <c r="H747" s="55"/>
      <c r="I747" s="55"/>
      <c r="J747" s="51">
        <v>3028000</v>
      </c>
      <c r="K747" s="51"/>
      <c r="L747" s="52">
        <v>46185</v>
      </c>
      <c r="M747" s="53">
        <v>46086</v>
      </c>
      <c r="N747" s="50" t="s">
        <v>155</v>
      </c>
      <c r="O747" s="50" t="s">
        <v>2487</v>
      </c>
      <c r="P747" s="50" t="s">
        <v>2486</v>
      </c>
      <c r="Q747" s="55" t="s">
        <v>2488</v>
      </c>
      <c r="R747" s="55" t="s">
        <v>2489</v>
      </c>
      <c r="S747" s="53">
        <v>47181</v>
      </c>
      <c r="T747" s="50"/>
      <c r="U747" s="50"/>
      <c r="V747" s="56"/>
      <c r="W747" s="50"/>
      <c r="X747" s="50"/>
      <c r="Y747" s="56"/>
      <c r="Z747" s="56"/>
      <c r="AA747" s="56"/>
      <c r="AB747" s="56"/>
      <c r="AC747" s="56"/>
      <c r="AD747" s="56"/>
    </row>
    <row x14ac:dyDescent="0.25" r="748" customHeight="1" ht="18.75" hidden="1">
      <c r="A748" s="56"/>
      <c r="B748" s="56"/>
      <c r="C748" s="50" t="s">
        <v>16</v>
      </c>
      <c r="D748" s="50"/>
      <c r="E748" s="50" t="s">
        <v>14</v>
      </c>
      <c r="F748" s="50" t="s">
        <v>2486</v>
      </c>
      <c r="G748" s="55">
        <v>30000000</v>
      </c>
      <c r="H748" s="55"/>
      <c r="I748" s="55"/>
      <c r="J748" s="51">
        <v>2028000</v>
      </c>
      <c r="K748" s="51"/>
      <c r="L748" s="52">
        <v>46147</v>
      </c>
      <c r="M748" s="53">
        <v>46086</v>
      </c>
      <c r="N748" s="50" t="s">
        <v>161</v>
      </c>
      <c r="O748" s="50" t="s">
        <v>2490</v>
      </c>
      <c r="P748" s="50" t="s">
        <v>2486</v>
      </c>
      <c r="Q748" s="55" t="s">
        <v>2488</v>
      </c>
      <c r="R748" s="55" t="s">
        <v>2489</v>
      </c>
      <c r="S748" s="53">
        <v>47181</v>
      </c>
      <c r="T748" s="50"/>
      <c r="U748" s="50" t="s">
        <v>166</v>
      </c>
      <c r="V748" s="56"/>
      <c r="W748" s="50"/>
      <c r="X748" s="50"/>
      <c r="Y748" s="56"/>
      <c r="Z748" s="56"/>
      <c r="AA748" s="56"/>
      <c r="AB748" s="56"/>
      <c r="AC748" s="56"/>
      <c r="AD748" s="56"/>
    </row>
    <row x14ac:dyDescent="0.25" r="749" customHeight="1" ht="18.75" hidden="1">
      <c r="A749" s="56"/>
      <c r="B749" s="56"/>
      <c r="C749" s="50" t="s">
        <v>16</v>
      </c>
      <c r="D749" s="50"/>
      <c r="E749" s="50" t="s">
        <v>114</v>
      </c>
      <c r="F749" s="50" t="s">
        <v>115</v>
      </c>
      <c r="G749" s="55">
        <v>1000000</v>
      </c>
      <c r="H749" s="55"/>
      <c r="I749" s="55"/>
      <c r="J749" s="51">
        <v>800000</v>
      </c>
      <c r="K749" s="51"/>
      <c r="L749" s="52">
        <v>46064</v>
      </c>
      <c r="M749" s="53">
        <v>46002</v>
      </c>
      <c r="N749" s="50" t="s">
        <v>155</v>
      </c>
      <c r="O749" s="50" t="s">
        <v>1815</v>
      </c>
      <c r="P749" s="50" t="s">
        <v>115</v>
      </c>
      <c r="Q749" s="55" t="s">
        <v>2492</v>
      </c>
      <c r="R749" s="55" t="s">
        <v>2493</v>
      </c>
      <c r="S749" s="53">
        <v>47097</v>
      </c>
      <c r="T749" s="50"/>
      <c r="U749" s="50" t="s">
        <v>166</v>
      </c>
      <c r="V749" s="56"/>
      <c r="W749" s="50"/>
      <c r="X749" s="50"/>
      <c r="Y749" s="56"/>
      <c r="Z749" s="56"/>
      <c r="AA749" s="56"/>
      <c r="AB749" s="56"/>
      <c r="AC749" s="56"/>
      <c r="AD749" s="56"/>
    </row>
    <row x14ac:dyDescent="0.25" r="750" customHeight="1" ht="18.75" hidden="1">
      <c r="A750" s="56"/>
      <c r="B750" s="56"/>
      <c r="C750" s="50" t="s">
        <v>16</v>
      </c>
      <c r="D750" s="50"/>
      <c r="E750" s="50" t="s">
        <v>117</v>
      </c>
      <c r="F750" s="50" t="s">
        <v>118</v>
      </c>
      <c r="G750" s="55">
        <v>10000000</v>
      </c>
      <c r="H750" s="55"/>
      <c r="I750" s="55"/>
      <c r="J750" s="51">
        <v>800000</v>
      </c>
      <c r="K750" s="51"/>
      <c r="L750" s="52">
        <v>46114</v>
      </c>
      <c r="M750" s="53">
        <v>46055</v>
      </c>
      <c r="N750" s="50" t="s">
        <v>306</v>
      </c>
      <c r="O750" s="50" t="s">
        <v>2498</v>
      </c>
      <c r="P750" s="50" t="s">
        <v>118</v>
      </c>
      <c r="Q750" s="55" t="s">
        <v>2499</v>
      </c>
      <c r="R750" s="55" t="s">
        <v>2500</v>
      </c>
      <c r="S750" s="53">
        <v>47150</v>
      </c>
      <c r="T750" s="50"/>
      <c r="U750" s="50" t="s">
        <v>166</v>
      </c>
      <c r="V750" s="56"/>
      <c r="W750" s="50"/>
      <c r="X750" s="50"/>
      <c r="Y750" s="56"/>
      <c r="Z750" s="56"/>
      <c r="AA750" s="56"/>
      <c r="AB750" s="56"/>
      <c r="AC750" s="56"/>
      <c r="AD750" s="56"/>
    </row>
    <row x14ac:dyDescent="0.25" r="751" customHeight="1" ht="18.75">
      <c r="A751" s="56"/>
      <c r="B751" s="56"/>
      <c r="C751" s="50" t="s">
        <v>16</v>
      </c>
      <c r="D751" s="50" t="s">
        <v>55</v>
      </c>
      <c r="E751" s="50" t="s">
        <v>56</v>
      </c>
      <c r="F751" s="50" t="s">
        <v>3085</v>
      </c>
      <c r="G751" s="51">
        <v>10000000</v>
      </c>
      <c r="H751" s="51"/>
      <c r="I751" s="51"/>
      <c r="J751" s="87">
        <f>IF(G751&gt;0,_xludf.IFS(G751=10000000,1200000,G751=20000000,1800000,G751=30000000,2400000,G751=60000000,4000000),"")</f>
      </c>
      <c r="K751" s="51"/>
      <c r="L751" s="52">
        <v>46212</v>
      </c>
      <c r="M751" s="53">
        <f>IF(L751&gt;0,EDATE(L751,-2),"")</f>
        <v>25569.375</v>
      </c>
      <c r="N751" s="50" t="s">
        <v>155</v>
      </c>
      <c r="O751" s="50" t="s">
        <v>3086</v>
      </c>
      <c r="P751" s="54">
        <f>IF(F751&gt;0,F751,"")</f>
      </c>
      <c r="Q751" s="55">
        <v>7906292063142</v>
      </c>
      <c r="R751" s="55">
        <v>20022801</v>
      </c>
      <c r="S751" s="53">
        <f>IF(ISNUMBER(M751), EDATE(M751,36)-1, "")</f>
        <v>25569.375</v>
      </c>
      <c r="T751" s="50"/>
      <c r="U751" s="50"/>
      <c r="V751" s="50"/>
      <c r="W751" s="50"/>
      <c r="X751" s="50"/>
      <c r="Y751" s="56"/>
      <c r="Z751" s="56"/>
      <c r="AA751" s="56"/>
      <c r="AB751" s="56"/>
      <c r="AC751" s="56"/>
      <c r="AD751" s="56"/>
    </row>
    <row x14ac:dyDescent="0.25" r="752" customHeight="1" ht="18.75" hidden="1">
      <c r="A752" s="63" t="s">
        <v>152</v>
      </c>
      <c r="B752" s="63"/>
      <c r="C752" s="49" t="s">
        <v>16</v>
      </c>
      <c r="D752" s="49" t="s">
        <v>116</v>
      </c>
      <c r="E752" s="49" t="s">
        <v>117</v>
      </c>
      <c r="F752" s="49" t="s">
        <v>118</v>
      </c>
      <c r="G752" s="64">
        <v>10000000</v>
      </c>
      <c r="H752" s="64"/>
      <c r="I752" s="64"/>
      <c r="J752" s="65">
        <f>IF(G752&gt;0,_xludf.IFS(G752=10000000,800000,G752=20000000,1528000,G752=30000000,2028000,G752=60000000,4056000),"")</f>
      </c>
      <c r="K752" s="64"/>
      <c r="L752" s="66">
        <v>46154</v>
      </c>
      <c r="M752" s="67">
        <f>IF(L752&gt;0,EDATE(L752,-2),"")</f>
        <v>25569.375</v>
      </c>
      <c r="N752" s="49" t="s">
        <v>217</v>
      </c>
      <c r="O752" s="49" t="s">
        <v>2498</v>
      </c>
      <c r="P752" s="68">
        <f>IF(F752&gt;0,F752,"")</f>
      </c>
      <c r="Q752" s="69" t="s">
        <v>2499</v>
      </c>
      <c r="R752" s="69">
        <v>52298439</v>
      </c>
      <c r="S752" s="67">
        <f>IF(ISNUMBER(M752), EDATE(M752,36)-1, "")</f>
        <v>25569.375</v>
      </c>
      <c r="T752" s="49"/>
      <c r="U752" s="49"/>
      <c r="V752" s="63"/>
      <c r="W752" s="50"/>
      <c r="X752" s="50"/>
      <c r="Y752" s="56"/>
      <c r="Z752" s="56"/>
      <c r="AA752" s="56"/>
      <c r="AB752" s="56"/>
      <c r="AC752" s="56"/>
      <c r="AD752" s="56"/>
    </row>
    <row x14ac:dyDescent="0.25" r="753" customHeight="1" ht="18.75">
      <c r="A753" s="56"/>
      <c r="B753" s="56"/>
      <c r="C753" s="50" t="s">
        <v>16</v>
      </c>
      <c r="D753" s="50" t="s">
        <v>846</v>
      </c>
      <c r="E753" s="50" t="s">
        <v>847</v>
      </c>
      <c r="F753" s="50" t="s">
        <v>848</v>
      </c>
      <c r="G753" s="51">
        <v>20000000</v>
      </c>
      <c r="H753" s="51"/>
      <c r="I753" s="51"/>
      <c r="J753" s="87">
        <f>IF(G753&gt;0,_xludf.IFS(G753=10000000,1200000,G753=20000000,1800000,G753=30000000,2400000,G753=60000000,4000000),"")</f>
      </c>
      <c r="K753" s="51"/>
      <c r="L753" s="52">
        <v>46213</v>
      </c>
      <c r="M753" s="53">
        <f>IF(L753&gt;0,EDATE(L753,-2),"")</f>
        <v>25569.375</v>
      </c>
      <c r="N753" s="50" t="s">
        <v>168</v>
      </c>
      <c r="O753" s="50" t="s">
        <v>849</v>
      </c>
      <c r="P753" s="54">
        <f>IF(F753&gt;0,F753,"")</f>
      </c>
      <c r="Q753" s="55">
        <v>8206252821714</v>
      </c>
      <c r="R753" s="55">
        <v>38553830</v>
      </c>
      <c r="S753" s="53">
        <f>IF(ISNUMBER(M753), EDATE(M753,36)-1, "")</f>
        <v>25569.375</v>
      </c>
      <c r="T753" s="50"/>
      <c r="U753" s="50"/>
      <c r="V753" s="50"/>
      <c r="W753" s="50"/>
      <c r="X753" s="50"/>
      <c r="Y753" s="56"/>
      <c r="Z753" s="56"/>
      <c r="AA753" s="56"/>
      <c r="AB753" s="56"/>
      <c r="AC753" s="56"/>
      <c r="AD753" s="56"/>
    </row>
    <row x14ac:dyDescent="0.25" r="754" customHeight="1" ht="18.75" hidden="1">
      <c r="A754" s="56"/>
      <c r="B754" s="56"/>
      <c r="C754" s="50" t="s">
        <v>16</v>
      </c>
      <c r="D754" s="50"/>
      <c r="E754" s="50"/>
      <c r="F754" s="50" t="s">
        <v>119</v>
      </c>
      <c r="G754" s="55">
        <v>10000000</v>
      </c>
      <c r="H754" s="55"/>
      <c r="I754" s="55"/>
      <c r="J754" s="51">
        <v>500000</v>
      </c>
      <c r="K754" s="51"/>
      <c r="L754" s="52">
        <v>45463</v>
      </c>
      <c r="M754" s="53">
        <v>45402</v>
      </c>
      <c r="N754" s="50" t="s">
        <v>161</v>
      </c>
      <c r="O754" s="50" t="s">
        <v>2503</v>
      </c>
      <c r="P754" s="50" t="s">
        <v>119</v>
      </c>
      <c r="Q754" s="55" t="s">
        <v>2504</v>
      </c>
      <c r="R754" s="55" t="s">
        <v>2505</v>
      </c>
      <c r="S754" s="53">
        <v>46496</v>
      </c>
      <c r="T754" s="50" t="s">
        <v>120</v>
      </c>
      <c r="U754" s="50" t="s">
        <v>166</v>
      </c>
      <c r="V754" s="56"/>
      <c r="W754" s="50"/>
      <c r="X754" s="50"/>
      <c r="Y754" s="56"/>
      <c r="Z754" s="56"/>
      <c r="AA754" s="56"/>
      <c r="AB754" s="56"/>
      <c r="AC754" s="56"/>
      <c r="AD754" s="56"/>
    </row>
    <row x14ac:dyDescent="0.25" r="755" customHeight="1" ht="18.75" hidden="1">
      <c r="A755" s="56"/>
      <c r="B755" s="56"/>
      <c r="C755" s="50" t="s">
        <v>16</v>
      </c>
      <c r="D755" s="50"/>
      <c r="E755" s="50"/>
      <c r="F755" s="50" t="s">
        <v>2506</v>
      </c>
      <c r="G755" s="55">
        <v>30000000</v>
      </c>
      <c r="H755" s="55"/>
      <c r="I755" s="55"/>
      <c r="J755" s="51">
        <v>2028000</v>
      </c>
      <c r="K755" s="51"/>
      <c r="L755" s="52">
        <v>46028</v>
      </c>
      <c r="M755" s="53">
        <v>45952</v>
      </c>
      <c r="N755" s="50" t="s">
        <v>302</v>
      </c>
      <c r="O755" s="50" t="s">
        <v>2507</v>
      </c>
      <c r="P755" s="50" t="s">
        <v>2506</v>
      </c>
      <c r="Q755" s="55" t="s">
        <v>2508</v>
      </c>
      <c r="R755" s="55" t="s">
        <v>2509</v>
      </c>
      <c r="S755" s="53">
        <v>47062</v>
      </c>
      <c r="T755" s="50"/>
      <c r="U755" s="50"/>
      <c r="V755" s="56"/>
      <c r="W755" s="50"/>
      <c r="X755" s="50"/>
      <c r="Y755" s="56"/>
      <c r="Z755" s="56"/>
      <c r="AA755" s="56"/>
      <c r="AB755" s="56"/>
      <c r="AC755" s="56"/>
      <c r="AD755" s="56"/>
    </row>
    <row x14ac:dyDescent="0.25" r="756" customHeight="1" ht="18.75" hidden="1">
      <c r="A756" s="56"/>
      <c r="B756" s="56"/>
      <c r="C756" s="50" t="s">
        <v>16</v>
      </c>
      <c r="D756" s="50"/>
      <c r="E756" s="50"/>
      <c r="F756" s="50" t="s">
        <v>2510</v>
      </c>
      <c r="G756" s="55">
        <v>10000000</v>
      </c>
      <c r="H756" s="55"/>
      <c r="I756" s="55"/>
      <c r="J756" s="51">
        <v>800000</v>
      </c>
      <c r="K756" s="51"/>
      <c r="L756" s="52">
        <v>46170</v>
      </c>
      <c r="M756" s="53">
        <v>46109</v>
      </c>
      <c r="N756" s="50" t="s">
        <v>212</v>
      </c>
      <c r="O756" s="50" t="s">
        <v>2511</v>
      </c>
      <c r="P756" s="50" t="s">
        <v>2510</v>
      </c>
      <c r="Q756" s="55" t="s">
        <v>2512</v>
      </c>
      <c r="R756" s="55" t="s">
        <v>2513</v>
      </c>
      <c r="S756" s="53">
        <v>47204</v>
      </c>
      <c r="T756" s="50" t="s">
        <v>2514</v>
      </c>
      <c r="U756" s="50" t="s">
        <v>166</v>
      </c>
      <c r="V756" s="56"/>
      <c r="W756" s="50"/>
      <c r="X756" s="50"/>
      <c r="Y756" s="56"/>
      <c r="Z756" s="56"/>
      <c r="AA756" s="56"/>
      <c r="AB756" s="56"/>
      <c r="AC756" s="56"/>
      <c r="AD756" s="56"/>
    </row>
    <row x14ac:dyDescent="0.25" r="757" customHeight="1" ht="18.75" hidden="1">
      <c r="A757" s="56"/>
      <c r="B757" s="56"/>
      <c r="C757" s="49" t="s">
        <v>16</v>
      </c>
      <c r="D757" s="50"/>
      <c r="E757" s="50" t="s">
        <v>318</v>
      </c>
      <c r="F757" s="50" t="s">
        <v>2515</v>
      </c>
      <c r="G757" s="51">
        <v>10000000</v>
      </c>
      <c r="H757" s="51"/>
      <c r="I757" s="51"/>
      <c r="J757" s="87">
        <f>IF(G757&gt;0,_xludf.IFS(G757=10000000,800000,G757=20000000,1528000,G757=30000000,2028000,G757=60000000,4056000),"")</f>
      </c>
      <c r="K757" s="51"/>
      <c r="L757" s="52">
        <v>46167</v>
      </c>
      <c r="M757" s="53">
        <f>IF(L757&gt;0,EDATE(L757,-2),"")</f>
        <v>25569.375</v>
      </c>
      <c r="N757" s="50" t="s">
        <v>239</v>
      </c>
      <c r="O757" s="50" t="s">
        <v>2516</v>
      </c>
      <c r="P757" s="54">
        <f>IF(F757&gt;0,F757,"")</f>
      </c>
      <c r="Q757" s="55" t="s">
        <v>2517</v>
      </c>
      <c r="R757" s="55">
        <v>37685870</v>
      </c>
      <c r="S757" s="53">
        <f>IF(ISNUMBER(M757), EDATE(M757,36)-1, "")</f>
        <v>25569.375</v>
      </c>
      <c r="T757" s="50"/>
      <c r="U757" s="50"/>
      <c r="V757" s="56"/>
      <c r="W757" s="50"/>
      <c r="X757" s="50"/>
      <c r="Y757" s="56"/>
      <c r="Z757" s="56"/>
      <c r="AA757" s="56"/>
      <c r="AB757" s="56"/>
      <c r="AC757" s="56"/>
      <c r="AD757" s="56"/>
    </row>
    <row x14ac:dyDescent="0.25" r="758" customHeight="1" ht="18.75">
      <c r="A758" s="56"/>
      <c r="B758" s="56"/>
      <c r="C758" s="49" t="s">
        <v>16</v>
      </c>
      <c r="D758" s="50" t="s">
        <v>153</v>
      </c>
      <c r="E758" s="50" t="s">
        <v>318</v>
      </c>
      <c r="F758" s="50" t="s">
        <v>1942</v>
      </c>
      <c r="G758" s="51">
        <v>30000000</v>
      </c>
      <c r="H758" s="51"/>
      <c r="I758" s="51"/>
      <c r="J758" s="87">
        <f>IF(G758&gt;0,_xludf.IFS(G758=10000000,1200000,G758=20000000,1800000,G758=30000000,2400000,G758=60000000,4000000),"")</f>
      </c>
      <c r="K758" s="51"/>
      <c r="L758" s="52">
        <v>46213</v>
      </c>
      <c r="M758" s="53">
        <f>IF(L758&gt;0,EDATE(L758,-2),"")</f>
        <v>25569.375</v>
      </c>
      <c r="N758" s="50" t="s">
        <v>155</v>
      </c>
      <c r="O758" s="50" t="s">
        <v>1943</v>
      </c>
      <c r="P758" s="54">
        <f>IF(F758&gt;0,F758,"")</f>
      </c>
      <c r="Q758" s="55">
        <v>6203302543617</v>
      </c>
      <c r="R758" s="55">
        <v>77493665</v>
      </c>
      <c r="S758" s="53">
        <f>IF(ISNUMBER(M758), EDATE(M758,36)-1, "")</f>
        <v>25569.375</v>
      </c>
      <c r="T758" s="50"/>
      <c r="U758" s="50"/>
      <c r="V758" s="48" t="s">
        <v>1907</v>
      </c>
      <c r="W758" s="50"/>
      <c r="X758" s="50"/>
      <c r="Y758" s="56"/>
      <c r="Z758" s="56"/>
      <c r="AA758" s="56"/>
      <c r="AB758" s="56"/>
      <c r="AC758" s="56"/>
      <c r="AD758" s="56"/>
    </row>
    <row x14ac:dyDescent="0.25" r="759" customHeight="1" ht="18.75" hidden="1">
      <c r="A759" s="56"/>
      <c r="B759" s="56"/>
      <c r="C759" s="50" t="s">
        <v>13</v>
      </c>
      <c r="D759" s="50"/>
      <c r="E759" s="50"/>
      <c r="F759" s="50" t="s">
        <v>121</v>
      </c>
      <c r="G759" s="55">
        <v>10000000</v>
      </c>
      <c r="H759" s="55"/>
      <c r="I759" s="55"/>
      <c r="J759" s="51">
        <v>900000</v>
      </c>
      <c r="K759" s="51"/>
      <c r="L759" s="52">
        <v>45782</v>
      </c>
      <c r="M759" s="53">
        <v>45721</v>
      </c>
      <c r="N759" s="50" t="s">
        <v>155</v>
      </c>
      <c r="O759" s="50" t="s">
        <v>2520</v>
      </c>
      <c r="P759" s="50" t="s">
        <v>121</v>
      </c>
      <c r="Q759" s="55" t="s">
        <v>2521</v>
      </c>
      <c r="R759" s="55" t="s">
        <v>2522</v>
      </c>
      <c r="S759" s="53">
        <v>46816</v>
      </c>
      <c r="T759" s="50"/>
      <c r="U759" s="50" t="s">
        <v>2523</v>
      </c>
      <c r="V759" s="56"/>
      <c r="W759" s="50"/>
      <c r="X759" s="50"/>
      <c r="Y759" s="56"/>
      <c r="Z759" s="56"/>
      <c r="AA759" s="56"/>
      <c r="AB759" s="56"/>
      <c r="AC759" s="56"/>
      <c r="AD759" s="56"/>
    </row>
    <row x14ac:dyDescent="0.25" r="760" customHeight="1" ht="18.75" hidden="1">
      <c r="A760" s="56"/>
      <c r="B760" s="56"/>
      <c r="C760" s="50" t="s">
        <v>16</v>
      </c>
      <c r="D760" s="50"/>
      <c r="E760" s="50"/>
      <c r="F760" s="50" t="s">
        <v>121</v>
      </c>
      <c r="G760" s="55">
        <v>60000000</v>
      </c>
      <c r="H760" s="55"/>
      <c r="I760" s="55"/>
      <c r="J760" s="51">
        <v>4800000</v>
      </c>
      <c r="K760" s="51"/>
      <c r="L760" s="52">
        <v>45903</v>
      </c>
      <c r="M760" s="53">
        <v>45841</v>
      </c>
      <c r="N760" s="50" t="s">
        <v>155</v>
      </c>
      <c r="O760" s="50" t="s">
        <v>2520</v>
      </c>
      <c r="P760" s="50" t="s">
        <v>121</v>
      </c>
      <c r="Q760" s="55" t="s">
        <v>2521</v>
      </c>
      <c r="R760" s="55" t="s">
        <v>2522</v>
      </c>
      <c r="S760" s="53">
        <v>46936</v>
      </c>
      <c r="T760" s="50"/>
      <c r="U760" s="50"/>
      <c r="V760" s="56"/>
      <c r="W760" s="50"/>
      <c r="X760" s="50"/>
      <c r="Y760" s="56"/>
      <c r="Z760" s="56"/>
      <c r="AA760" s="56"/>
      <c r="AB760" s="56"/>
      <c r="AC760" s="56"/>
      <c r="AD760" s="56"/>
    </row>
    <row x14ac:dyDescent="0.25" r="761" customHeight="1" ht="18.75" hidden="1">
      <c r="A761" s="48" t="s">
        <v>275</v>
      </c>
      <c r="B761" s="48"/>
      <c r="C761" s="50" t="s">
        <v>16</v>
      </c>
      <c r="D761" s="50" t="s">
        <v>3335</v>
      </c>
      <c r="E761" s="50"/>
      <c r="F761" s="50" t="s">
        <v>2524</v>
      </c>
      <c r="G761" s="55">
        <v>20000000</v>
      </c>
      <c r="H761" s="55"/>
      <c r="I761" s="55"/>
      <c r="J761" s="51">
        <v>1600000</v>
      </c>
      <c r="K761" s="51"/>
      <c r="L761" s="52">
        <v>45876</v>
      </c>
      <c r="M761" s="53">
        <v>45796</v>
      </c>
      <c r="N761" s="50" t="s">
        <v>155</v>
      </c>
      <c r="O761" s="50" t="s">
        <v>1786</v>
      </c>
      <c r="P761" s="50" t="s">
        <v>1785</v>
      </c>
      <c r="Q761" s="55" t="s">
        <v>1787</v>
      </c>
      <c r="R761" s="55" t="s">
        <v>1788</v>
      </c>
      <c r="S761" s="53">
        <v>46971</v>
      </c>
      <c r="T761" s="50"/>
      <c r="U761" s="50"/>
      <c r="V761" s="56"/>
      <c r="W761" s="50"/>
      <c r="X761" s="50"/>
      <c r="Y761" s="56"/>
      <c r="Z761" s="56"/>
      <c r="AA761" s="56"/>
      <c r="AB761" s="56"/>
      <c r="AC761" s="56"/>
      <c r="AD761" s="56"/>
    </row>
    <row x14ac:dyDescent="0.25" r="762" customHeight="1" ht="18.75" hidden="1">
      <c r="A762" s="56"/>
      <c r="B762" s="56"/>
      <c r="C762" s="50" t="s">
        <v>16</v>
      </c>
      <c r="D762" s="50"/>
      <c r="E762" s="50"/>
      <c r="F762" s="50" t="s">
        <v>2524</v>
      </c>
      <c r="G762" s="55">
        <v>60000000</v>
      </c>
      <c r="H762" s="55"/>
      <c r="I762" s="55"/>
      <c r="J762" s="51">
        <v>4800000</v>
      </c>
      <c r="K762" s="51"/>
      <c r="L762" s="52">
        <v>45943</v>
      </c>
      <c r="M762" s="53">
        <v>45848</v>
      </c>
      <c r="N762" s="50" t="s">
        <v>239</v>
      </c>
      <c r="O762" s="50" t="s">
        <v>2526</v>
      </c>
      <c r="P762" s="50" t="s">
        <v>2524</v>
      </c>
      <c r="Q762" s="55" t="s">
        <v>2527</v>
      </c>
      <c r="R762" s="55" t="s">
        <v>2528</v>
      </c>
      <c r="S762" s="53">
        <v>46977</v>
      </c>
      <c r="T762" s="50"/>
      <c r="U762" s="50"/>
      <c r="V762" s="56"/>
      <c r="W762" s="50"/>
      <c r="X762" s="50"/>
      <c r="Y762" s="56"/>
      <c r="Z762" s="56"/>
      <c r="AA762" s="56"/>
      <c r="AB762" s="56"/>
      <c r="AC762" s="56"/>
      <c r="AD762" s="56"/>
    </row>
    <row x14ac:dyDescent="0.25" r="763" customHeight="1" ht="18.75" hidden="1">
      <c r="A763" s="63"/>
      <c r="B763" s="63"/>
      <c r="C763" s="49" t="s">
        <v>16</v>
      </c>
      <c r="D763" s="49" t="s">
        <v>454</v>
      </c>
      <c r="E763" s="49" t="s">
        <v>455</v>
      </c>
      <c r="F763" s="49" t="s">
        <v>2529</v>
      </c>
      <c r="G763" s="64">
        <v>10000000</v>
      </c>
      <c r="H763" s="64"/>
      <c r="I763" s="64"/>
      <c r="J763" s="65">
        <f>IF(G763&gt;0,_xludf.IFS(G763=10000000,800000,G763=20000000,1528000,G763=30000000,2028000,G763=60000000,4056000),"")</f>
      </c>
      <c r="K763" s="64"/>
      <c r="L763" s="66">
        <v>46154</v>
      </c>
      <c r="M763" s="67">
        <f>IF(L763&gt;0,EDATE(L763,-2),"")</f>
        <v>25569.375</v>
      </c>
      <c r="N763" s="49" t="s">
        <v>988</v>
      </c>
      <c r="O763" s="49" t="s">
        <v>2530</v>
      </c>
      <c r="P763" s="68">
        <f>IF(F763&gt;0,F763,"")</f>
      </c>
      <c r="Q763" s="69" t="s">
        <v>2531</v>
      </c>
      <c r="R763" s="69">
        <v>51109116</v>
      </c>
      <c r="S763" s="67">
        <f>IF(ISNUMBER(M763), EDATE(M763,36)-1, "")</f>
        <v>25569.375</v>
      </c>
      <c r="T763" s="49"/>
      <c r="U763" s="49"/>
      <c r="V763" s="63"/>
      <c r="W763" s="50"/>
      <c r="X763" s="50"/>
      <c r="Y763" s="56"/>
      <c r="Z763" s="56"/>
      <c r="AA763" s="56"/>
      <c r="AB763" s="56"/>
      <c r="AC763" s="56"/>
      <c r="AD763" s="56"/>
    </row>
    <row x14ac:dyDescent="0.25" r="764" customHeight="1" ht="18.75">
      <c r="A764" s="56"/>
      <c r="B764" s="56"/>
      <c r="C764" s="50" t="s">
        <v>16</v>
      </c>
      <c r="D764" s="50" t="s">
        <v>454</v>
      </c>
      <c r="E764" s="50" t="s">
        <v>585</v>
      </c>
      <c r="F764" s="50" t="s">
        <v>3336</v>
      </c>
      <c r="G764" s="51">
        <v>10000000</v>
      </c>
      <c r="H764" s="51"/>
      <c r="I764" s="51"/>
      <c r="J764" s="87">
        <f>IF(G764&gt;0,_xludf.IFS(G764=10000000,1200000,G764=20000000,1800000,G764=30000000,2400000,G764=60000000,4000000),"")</f>
      </c>
      <c r="K764" s="51"/>
      <c r="L764" s="52">
        <v>46214</v>
      </c>
      <c r="M764" s="53">
        <f>IF(L764&gt;0,EDATE(L764,-2),"")</f>
        <v>25569.375</v>
      </c>
      <c r="N764" s="50" t="s">
        <v>212</v>
      </c>
      <c r="O764" s="50" t="s">
        <v>3337</v>
      </c>
      <c r="P764" s="54">
        <f>IF(F764&gt;0,F764,"")</f>
      </c>
      <c r="Q764" s="55">
        <v>7105062455319</v>
      </c>
      <c r="R764" s="55">
        <v>37504637</v>
      </c>
      <c r="S764" s="53">
        <f>IF(ISNUMBER(M764), EDATE(M764,36)-1, "")</f>
        <v>25569.375</v>
      </c>
      <c r="T764" s="50"/>
      <c r="U764" s="50"/>
      <c r="V764" s="56"/>
      <c r="W764" s="50"/>
      <c r="X764" s="50"/>
      <c r="Y764" s="56"/>
      <c r="Z764" s="56"/>
      <c r="AA764" s="56"/>
      <c r="AB764" s="56"/>
      <c r="AC764" s="56"/>
      <c r="AD764" s="56"/>
    </row>
    <row x14ac:dyDescent="0.25" r="765" customHeight="1" ht="18.75" hidden="1">
      <c r="A765" s="56"/>
      <c r="B765" s="56"/>
      <c r="C765" s="50" t="s">
        <v>16</v>
      </c>
      <c r="D765" s="50"/>
      <c r="E765" s="50" t="s">
        <v>1958</v>
      </c>
      <c r="F765" s="50" t="s">
        <v>2536</v>
      </c>
      <c r="G765" s="55">
        <v>10000000</v>
      </c>
      <c r="H765" s="55"/>
      <c r="I765" s="55"/>
      <c r="J765" s="51">
        <v>800000</v>
      </c>
      <c r="K765" s="51"/>
      <c r="L765" s="52">
        <v>46089</v>
      </c>
      <c r="M765" s="53">
        <v>46030</v>
      </c>
      <c r="N765" s="50" t="s">
        <v>155</v>
      </c>
      <c r="O765" s="50" t="s">
        <v>2260</v>
      </c>
      <c r="P765" s="50" t="s">
        <v>2536</v>
      </c>
      <c r="Q765" s="55" t="s">
        <v>2537</v>
      </c>
      <c r="R765" s="55" t="s">
        <v>2538</v>
      </c>
      <c r="S765" s="53">
        <v>47125</v>
      </c>
      <c r="T765" s="50" t="s">
        <v>2539</v>
      </c>
      <c r="U765" s="50" t="s">
        <v>166</v>
      </c>
      <c r="V765" s="56"/>
      <c r="W765" s="50"/>
      <c r="X765" s="50"/>
      <c r="Y765" s="56"/>
      <c r="Z765" s="56"/>
      <c r="AA765" s="56"/>
      <c r="AB765" s="56"/>
      <c r="AC765" s="56"/>
      <c r="AD765" s="56"/>
    </row>
    <row x14ac:dyDescent="0.25" r="766" customHeight="1" ht="18.75">
      <c r="A766" s="56"/>
      <c r="B766" s="56"/>
      <c r="C766" s="50" t="s">
        <v>16</v>
      </c>
      <c r="D766" s="50" t="s">
        <v>143</v>
      </c>
      <c r="E766" s="50" t="s">
        <v>14</v>
      </c>
      <c r="F766" s="50" t="s">
        <v>1092</v>
      </c>
      <c r="G766" s="55">
        <v>10000000</v>
      </c>
      <c r="H766" s="55"/>
      <c r="I766" s="55"/>
      <c r="J766" s="51">
        <v>1200000</v>
      </c>
      <c r="K766" s="51"/>
      <c r="L766" s="52">
        <v>46214</v>
      </c>
      <c r="M766" s="53">
        <v>46153</v>
      </c>
      <c r="N766" s="50" t="s">
        <v>155</v>
      </c>
      <c r="O766" s="50" t="s">
        <v>1100</v>
      </c>
      <c r="P766" s="50" t="s">
        <v>1092</v>
      </c>
      <c r="Q766" s="55" t="s">
        <v>1101</v>
      </c>
      <c r="R766" s="55" t="s">
        <v>1102</v>
      </c>
      <c r="S766" s="53">
        <v>47248</v>
      </c>
      <c r="T766" s="50"/>
      <c r="U766" s="50"/>
      <c r="V766" s="56"/>
      <c r="W766" s="50"/>
      <c r="X766" s="50"/>
      <c r="Y766" s="56"/>
      <c r="Z766" s="56"/>
      <c r="AA766" s="56"/>
      <c r="AB766" s="56"/>
      <c r="AC766" s="56"/>
      <c r="AD766" s="56"/>
    </row>
    <row x14ac:dyDescent="0.25" r="767" customHeight="1" ht="18.75">
      <c r="A767" s="56"/>
      <c r="B767" s="56"/>
      <c r="C767" s="50" t="s">
        <v>16</v>
      </c>
      <c r="D767" s="50" t="s">
        <v>143</v>
      </c>
      <c r="E767" s="50" t="s">
        <v>14</v>
      </c>
      <c r="F767" s="50" t="s">
        <v>1836</v>
      </c>
      <c r="G767" s="55">
        <v>10000000</v>
      </c>
      <c r="H767" s="55"/>
      <c r="I767" s="55"/>
      <c r="J767" s="51">
        <v>1200000</v>
      </c>
      <c r="K767" s="51"/>
      <c r="L767" s="52">
        <v>46214</v>
      </c>
      <c r="M767" s="53">
        <v>46153</v>
      </c>
      <c r="N767" s="50" t="s">
        <v>168</v>
      </c>
      <c r="O767" s="50" t="s">
        <v>1837</v>
      </c>
      <c r="P767" s="50" t="s">
        <v>1836</v>
      </c>
      <c r="Q767" s="55" t="s">
        <v>1838</v>
      </c>
      <c r="R767" s="55" t="s">
        <v>1839</v>
      </c>
      <c r="S767" s="53">
        <v>47248</v>
      </c>
      <c r="T767" s="50"/>
      <c r="U767" s="50"/>
      <c r="V767" s="56"/>
      <c r="W767" s="50"/>
      <c r="X767" s="50"/>
      <c r="Y767" s="56"/>
      <c r="Z767" s="56"/>
      <c r="AA767" s="56"/>
      <c r="AB767" s="56"/>
      <c r="AC767" s="56"/>
      <c r="AD767" s="56"/>
    </row>
    <row x14ac:dyDescent="0.25" r="768" customHeight="1" ht="18.75">
      <c r="A768" s="56"/>
      <c r="B768" s="56"/>
      <c r="C768" s="50" t="s">
        <v>16</v>
      </c>
      <c r="D768" s="50" t="s">
        <v>143</v>
      </c>
      <c r="E768" s="50" t="s">
        <v>14</v>
      </c>
      <c r="F768" s="50" t="s">
        <v>1985</v>
      </c>
      <c r="G768" s="55">
        <v>30000000</v>
      </c>
      <c r="H768" s="55"/>
      <c r="I768" s="55"/>
      <c r="J768" s="51"/>
      <c r="K768" s="51"/>
      <c r="L768" s="52">
        <v>46214</v>
      </c>
      <c r="M768" s="53">
        <v>46153</v>
      </c>
      <c r="N768" s="50" t="s">
        <v>168</v>
      </c>
      <c r="O768" s="50" t="s">
        <v>1986</v>
      </c>
      <c r="P768" s="50" t="s">
        <v>1985</v>
      </c>
      <c r="Q768" s="55" t="s">
        <v>1987</v>
      </c>
      <c r="R768" s="55" t="s">
        <v>1988</v>
      </c>
      <c r="S768" s="53">
        <v>47248</v>
      </c>
      <c r="T768" s="50"/>
      <c r="U768" s="50"/>
      <c r="V768" s="56" t="s">
        <v>3338</v>
      </c>
      <c r="W768" s="50"/>
      <c r="X768" s="50"/>
      <c r="Y768" s="56"/>
      <c r="Z768" s="56"/>
      <c r="AA768" s="56"/>
      <c r="AB768" s="56"/>
      <c r="AC768" s="56"/>
      <c r="AD768" s="56"/>
    </row>
    <row x14ac:dyDescent="0.25" r="769" customHeight="1" ht="18.75">
      <c r="A769" s="56"/>
      <c r="B769" s="56"/>
      <c r="C769" s="50" t="s">
        <v>16</v>
      </c>
      <c r="D769" s="50" t="s">
        <v>454</v>
      </c>
      <c r="E769" s="50" t="s">
        <v>647</v>
      </c>
      <c r="F769" s="50" t="s">
        <v>538</v>
      </c>
      <c r="G769" s="51">
        <v>10000000</v>
      </c>
      <c r="H769" s="51"/>
      <c r="I769" s="51"/>
      <c r="J769" s="87">
        <f>IF(G769&gt;0,_xludf.IFS(G769=10000000,1200000,G769=20000000,1800000,G769=30000000,2400000,G769=60000000,4000000),"")</f>
      </c>
      <c r="K769" s="51"/>
      <c r="L769" s="52">
        <v>46214</v>
      </c>
      <c r="M769" s="53">
        <f>IF(L769&gt;0,EDATE(L769,-2),"")</f>
        <v>25569.375</v>
      </c>
      <c r="N769" s="50" t="s">
        <v>168</v>
      </c>
      <c r="O769" s="50" t="s">
        <v>1989</v>
      </c>
      <c r="P769" s="54">
        <f>IF(F769&gt;0,F769,"")</f>
      </c>
      <c r="Q769" s="55">
        <v>6510052890527</v>
      </c>
      <c r="R769" s="55">
        <v>41483624</v>
      </c>
      <c r="S769" s="53">
        <f>IF(ISNUMBER(M769), EDATE(M769,36)-1, "")</f>
        <v>25569.375</v>
      </c>
      <c r="T769" s="50"/>
      <c r="U769" s="50"/>
      <c r="V769" s="50"/>
      <c r="W769" s="50"/>
      <c r="X769" s="50"/>
      <c r="Y769" s="56"/>
      <c r="Z769" s="56"/>
      <c r="AA769" s="56"/>
      <c r="AB769" s="56"/>
      <c r="AC769" s="56"/>
      <c r="AD769" s="56"/>
    </row>
    <row x14ac:dyDescent="0.25" r="770" customHeight="1" ht="18.75" hidden="1">
      <c r="A770" s="48" t="s">
        <v>3339</v>
      </c>
      <c r="B770" s="48"/>
      <c r="C770" s="50" t="s">
        <v>16</v>
      </c>
      <c r="D770" s="50"/>
      <c r="E770" s="50"/>
      <c r="F770" s="50" t="s">
        <v>2554</v>
      </c>
      <c r="G770" s="55">
        <v>30000000</v>
      </c>
      <c r="H770" s="55"/>
      <c r="I770" s="55"/>
      <c r="J770" s="51">
        <v>2028000</v>
      </c>
      <c r="K770" s="51"/>
      <c r="L770" s="52">
        <v>46018</v>
      </c>
      <c r="M770" s="53">
        <v>45957</v>
      </c>
      <c r="N770" s="50" t="s">
        <v>212</v>
      </c>
      <c r="O770" s="50" t="s">
        <v>2555</v>
      </c>
      <c r="P770" s="50" t="s">
        <v>2554</v>
      </c>
      <c r="Q770" s="55" t="s">
        <v>2556</v>
      </c>
      <c r="R770" s="55" t="s">
        <v>2557</v>
      </c>
      <c r="S770" s="53">
        <v>47052</v>
      </c>
      <c r="T770" s="50"/>
      <c r="U770" s="50"/>
      <c r="V770" s="56"/>
      <c r="W770" s="50"/>
      <c r="X770" s="50"/>
      <c r="Y770" s="56"/>
      <c r="Z770" s="56"/>
      <c r="AA770" s="56"/>
      <c r="AB770" s="56"/>
      <c r="AC770" s="56"/>
      <c r="AD770" s="56"/>
    </row>
    <row x14ac:dyDescent="0.25" r="771" customHeight="1" ht="18.75" hidden="1">
      <c r="A771" s="63" t="s">
        <v>152</v>
      </c>
      <c r="B771" s="63"/>
      <c r="C771" s="49" t="s">
        <v>16</v>
      </c>
      <c r="D771" s="49" t="s">
        <v>153</v>
      </c>
      <c r="E771" s="49" t="s">
        <v>276</v>
      </c>
      <c r="F771" s="49" t="s">
        <v>2559</v>
      </c>
      <c r="G771" s="64">
        <v>20000000</v>
      </c>
      <c r="H771" s="64"/>
      <c r="I771" s="64"/>
      <c r="J771" s="65">
        <f>IF(G771&gt;0,_xludf.IFS(G771=10000000,800000,G771=20000000,1528000,G771=30000000,2028000,G771=60000000,4056000),"")</f>
      </c>
      <c r="K771" s="64"/>
      <c r="L771" s="66">
        <v>46170</v>
      </c>
      <c r="M771" s="67">
        <f>IF(L771&gt;0,EDATE(L771,-2),"")</f>
        <v>25569.375</v>
      </c>
      <c r="N771" s="49" t="s">
        <v>239</v>
      </c>
      <c r="O771" s="49" t="s">
        <v>278</v>
      </c>
      <c r="P771" s="68">
        <f>IF(F771&gt;0,F771,"")</f>
      </c>
      <c r="Q771" s="69" t="s">
        <v>2560</v>
      </c>
      <c r="R771" s="69">
        <v>95803367</v>
      </c>
      <c r="S771" s="67">
        <f>IF(ISNUMBER(M771), EDATE(M771,36)-1, "")</f>
        <v>25569.375</v>
      </c>
      <c r="T771" s="49"/>
      <c r="U771" s="49"/>
      <c r="V771" s="63" t="s">
        <v>3340</v>
      </c>
      <c r="W771" s="50"/>
      <c r="X771" s="50"/>
      <c r="Y771" s="56"/>
      <c r="Z771" s="56"/>
      <c r="AA771" s="56"/>
      <c r="AB771" s="56"/>
      <c r="AC771" s="56"/>
      <c r="AD771" s="56"/>
    </row>
    <row x14ac:dyDescent="0.25" r="772" customHeight="1" ht="18.75" hidden="1">
      <c r="A772" s="56"/>
      <c r="B772" s="56"/>
      <c r="C772" s="50" t="s">
        <v>16</v>
      </c>
      <c r="D772" s="50"/>
      <c r="E772" s="50"/>
      <c r="F772" s="50" t="s">
        <v>1743</v>
      </c>
      <c r="G772" s="55">
        <v>10000000</v>
      </c>
      <c r="H772" s="55"/>
      <c r="I772" s="55"/>
      <c r="J772" s="51">
        <v>800000</v>
      </c>
      <c r="K772" s="51"/>
      <c r="L772" s="52">
        <v>46039</v>
      </c>
      <c r="M772" s="53">
        <v>45978</v>
      </c>
      <c r="N772" s="50" t="s">
        <v>302</v>
      </c>
      <c r="O772" s="50" t="s">
        <v>2562</v>
      </c>
      <c r="P772" s="50" t="s">
        <v>1743</v>
      </c>
      <c r="Q772" s="55" t="s">
        <v>2563</v>
      </c>
      <c r="R772" s="55" t="s">
        <v>2564</v>
      </c>
      <c r="S772" s="53">
        <v>47073</v>
      </c>
      <c r="T772" s="50"/>
      <c r="U772" s="50"/>
      <c r="V772" s="56"/>
      <c r="W772" s="50"/>
      <c r="X772" s="50"/>
      <c r="Y772" s="56"/>
      <c r="Z772" s="56"/>
      <c r="AA772" s="56"/>
      <c r="AB772" s="56"/>
      <c r="AC772" s="56"/>
      <c r="AD772" s="56"/>
    </row>
    <row x14ac:dyDescent="0.25" r="773" customHeight="1" ht="18.75">
      <c r="A773" s="56"/>
      <c r="B773" s="56"/>
      <c r="C773" s="50" t="s">
        <v>16</v>
      </c>
      <c r="D773" s="50" t="s">
        <v>143</v>
      </c>
      <c r="E773" s="50" t="s">
        <v>14</v>
      </c>
      <c r="F773" s="50" t="s">
        <v>2861</v>
      </c>
      <c r="G773" s="55">
        <v>10000000</v>
      </c>
      <c r="H773" s="55"/>
      <c r="I773" s="55"/>
      <c r="J773" s="51">
        <v>1200000</v>
      </c>
      <c r="K773" s="51"/>
      <c r="L773" s="52">
        <v>46214</v>
      </c>
      <c r="M773" s="53">
        <v>46153</v>
      </c>
      <c r="N773" s="50" t="s">
        <v>234</v>
      </c>
      <c r="O773" s="50" t="s">
        <v>2862</v>
      </c>
      <c r="P773" s="50" t="s">
        <v>2861</v>
      </c>
      <c r="Q773" s="55" t="s">
        <v>2863</v>
      </c>
      <c r="R773" s="55" t="s">
        <v>2864</v>
      </c>
      <c r="S773" s="53">
        <v>47248</v>
      </c>
      <c r="T773" s="50"/>
      <c r="U773" s="50"/>
      <c r="V773" s="56"/>
      <c r="W773" s="50"/>
      <c r="X773" s="50"/>
      <c r="Y773" s="56"/>
      <c r="Z773" s="56"/>
      <c r="AA773" s="56"/>
      <c r="AB773" s="56"/>
      <c r="AC773" s="56"/>
      <c r="AD773" s="56"/>
    </row>
    <row x14ac:dyDescent="0.25" r="774" customHeight="1" ht="18.75">
      <c r="A774" s="56"/>
      <c r="B774" s="56"/>
      <c r="C774" s="50" t="s">
        <v>16</v>
      </c>
      <c r="D774" s="50" t="s">
        <v>143</v>
      </c>
      <c r="E774" s="50" t="s">
        <v>963</v>
      </c>
      <c r="F774" s="50" t="s">
        <v>2882</v>
      </c>
      <c r="G774" s="55">
        <v>30000000</v>
      </c>
      <c r="H774" s="55"/>
      <c r="I774" s="55"/>
      <c r="J774" s="51">
        <v>2400000</v>
      </c>
      <c r="K774" s="51"/>
      <c r="L774" s="52">
        <v>46214</v>
      </c>
      <c r="M774" s="53">
        <v>46153</v>
      </c>
      <c r="N774" s="50" t="s">
        <v>168</v>
      </c>
      <c r="O774" s="50" t="s">
        <v>2883</v>
      </c>
      <c r="P774" s="50" t="s">
        <v>2882</v>
      </c>
      <c r="Q774" s="55" t="s">
        <v>2884</v>
      </c>
      <c r="R774" s="55" t="s">
        <v>2885</v>
      </c>
      <c r="S774" s="53">
        <v>47248</v>
      </c>
      <c r="T774" s="50"/>
      <c r="U774" s="50"/>
      <c r="V774" s="56"/>
      <c r="W774" s="50"/>
      <c r="X774" s="50"/>
      <c r="Y774" s="56"/>
      <c r="Z774" s="56"/>
      <c r="AA774" s="56"/>
      <c r="AB774" s="56"/>
      <c r="AC774" s="56"/>
      <c r="AD774" s="56"/>
    </row>
    <row x14ac:dyDescent="0.25" r="775" customHeight="1" ht="18.75">
      <c r="A775" s="56"/>
      <c r="B775" s="56"/>
      <c r="C775" s="50" t="s">
        <v>16</v>
      </c>
      <c r="D775" s="50" t="s">
        <v>116</v>
      </c>
      <c r="E775" s="50" t="s">
        <v>117</v>
      </c>
      <c r="F775" s="50" t="s">
        <v>334</v>
      </c>
      <c r="G775" s="51">
        <v>10000000</v>
      </c>
      <c r="H775" s="51"/>
      <c r="I775" s="51"/>
      <c r="J775" s="87">
        <f>IF(G775&gt;0,_xludf.IFS(G775=10000000,1200000,G775=20000000,1800000,G775=30000000,2400000,G775=60000000,4000000),"")</f>
      </c>
      <c r="K775" s="51"/>
      <c r="L775" s="52">
        <v>46215</v>
      </c>
      <c r="M775" s="53">
        <f>IF(L775&gt;0,EDATE(L775,-2),"")</f>
        <v>25569.375</v>
      </c>
      <c r="N775" s="50" t="s">
        <v>168</v>
      </c>
      <c r="O775" s="50" t="s">
        <v>335</v>
      </c>
      <c r="P775" s="54">
        <f>IF(F775&gt;0,F775,"")</f>
      </c>
      <c r="Q775" s="55">
        <v>6806152380015</v>
      </c>
      <c r="R775" s="55">
        <v>27108234</v>
      </c>
      <c r="S775" s="53">
        <f>IF(ISNUMBER(M775), EDATE(M775,36)-1, "")</f>
        <v>25569.375</v>
      </c>
      <c r="T775" s="50"/>
      <c r="U775" s="50"/>
      <c r="V775" s="56"/>
      <c r="W775" s="50"/>
      <c r="X775" s="50"/>
      <c r="Y775" s="56"/>
      <c r="Z775" s="56"/>
      <c r="AA775" s="56"/>
      <c r="AB775" s="56"/>
      <c r="AC775" s="56"/>
      <c r="AD775" s="56"/>
    </row>
    <row x14ac:dyDescent="0.25" r="776" customHeight="1" ht="18.75">
      <c r="A776" s="56"/>
      <c r="B776" s="56"/>
      <c r="C776" s="49" t="s">
        <v>16</v>
      </c>
      <c r="D776" s="50" t="s">
        <v>627</v>
      </c>
      <c r="E776" s="50" t="s">
        <v>373</v>
      </c>
      <c r="F776" s="50" t="s">
        <v>1403</v>
      </c>
      <c r="G776" s="51">
        <v>20000000</v>
      </c>
      <c r="H776" s="51"/>
      <c r="I776" s="51"/>
      <c r="J776" s="51">
        <v>1800000</v>
      </c>
      <c r="K776" s="51"/>
      <c r="L776" s="52">
        <v>46216</v>
      </c>
      <c r="M776" s="53">
        <f>IF(L776&gt;0,EDATE(L776,-2),"")</f>
        <v>25569.375</v>
      </c>
      <c r="N776" s="50" t="s">
        <v>205</v>
      </c>
      <c r="O776" s="50" t="s">
        <v>1411</v>
      </c>
      <c r="P776" s="54">
        <f>IF(F776&gt;0,F776,"")</f>
      </c>
      <c r="Q776" s="55" t="s">
        <v>1408</v>
      </c>
      <c r="R776" s="55">
        <v>77492434</v>
      </c>
      <c r="S776" s="53">
        <f>IF(ISNUMBER(M776), EDATE(M776,36)-1, "")</f>
        <v>25569.375</v>
      </c>
      <c r="T776" s="50"/>
      <c r="U776" s="50"/>
      <c r="V776" s="56"/>
      <c r="W776" s="50"/>
      <c r="X776" s="50"/>
      <c r="Y776" s="56"/>
      <c r="Z776" s="56"/>
      <c r="AA776" s="56"/>
      <c r="AB776" s="56"/>
      <c r="AC776" s="56"/>
      <c r="AD776" s="56"/>
    </row>
    <row x14ac:dyDescent="0.25" r="777" customHeight="1" ht="18.75">
      <c r="A777" s="63" t="s">
        <v>63</v>
      </c>
      <c r="B777" s="63"/>
      <c r="C777" s="49" t="s">
        <v>16</v>
      </c>
      <c r="D777" s="49" t="s">
        <v>80</v>
      </c>
      <c r="E777" s="49" t="s">
        <v>97</v>
      </c>
      <c r="F777" s="49" t="s">
        <v>3136</v>
      </c>
      <c r="G777" s="64">
        <v>20000000</v>
      </c>
      <c r="H777" s="64"/>
      <c r="I777" s="64"/>
      <c r="J777" s="64">
        <v>1800000</v>
      </c>
      <c r="K777" s="64"/>
      <c r="L777" s="66">
        <v>46213</v>
      </c>
      <c r="M777" s="67">
        <v>46155</v>
      </c>
      <c r="N777" s="49" t="s">
        <v>168</v>
      </c>
      <c r="O777" s="49" t="s">
        <v>3143</v>
      </c>
      <c r="P777" s="68">
        <f>IF(F777&gt;0,F777,"")</f>
      </c>
      <c r="Q777" s="69" t="s">
        <v>3139</v>
      </c>
      <c r="R777" s="69">
        <v>37418446</v>
      </c>
      <c r="S777" s="53">
        <f>IF(M777&gt;0,EDATE(M777,36)-1,"")</f>
        <v>25569.375</v>
      </c>
      <c r="T777" s="49"/>
      <c r="U777" s="49"/>
      <c r="V777" s="63" t="s">
        <v>3144</v>
      </c>
      <c r="W777" s="50"/>
      <c r="X777" s="50"/>
      <c r="Y777" s="56"/>
      <c r="Z777" s="56"/>
      <c r="AA777" s="56"/>
      <c r="AB777" s="56"/>
      <c r="AC777" s="56"/>
      <c r="AD777" s="56"/>
    </row>
    <row x14ac:dyDescent="0.25" r="778" customHeight="1" ht="18.75" hidden="1">
      <c r="A778" s="56"/>
      <c r="B778" s="56"/>
      <c r="C778" s="50" t="s">
        <v>16</v>
      </c>
      <c r="D778" s="50"/>
      <c r="E778" s="50"/>
      <c r="F778" s="50" t="s">
        <v>2579</v>
      </c>
      <c r="G778" s="55">
        <v>10000000</v>
      </c>
      <c r="H778" s="55"/>
      <c r="I778" s="55"/>
      <c r="J778" s="51">
        <v>800000</v>
      </c>
      <c r="K778" s="51"/>
      <c r="L778" s="52">
        <v>45910</v>
      </c>
      <c r="M778" s="53">
        <v>45848</v>
      </c>
      <c r="N778" s="50" t="s">
        <v>155</v>
      </c>
      <c r="O778" s="50" t="s">
        <v>2580</v>
      </c>
      <c r="P778" s="50" t="s">
        <v>2579</v>
      </c>
      <c r="Q778" s="55" t="s">
        <v>2581</v>
      </c>
      <c r="R778" s="55" t="s">
        <v>2582</v>
      </c>
      <c r="S778" s="53">
        <v>46943</v>
      </c>
      <c r="T778" s="50"/>
      <c r="U778" s="50"/>
      <c r="V778" s="56"/>
      <c r="W778" s="50"/>
      <c r="X778" s="50"/>
      <c r="Y778" s="56"/>
      <c r="Z778" s="56"/>
      <c r="AA778" s="56"/>
      <c r="AB778" s="56"/>
      <c r="AC778" s="56"/>
      <c r="AD778" s="56"/>
    </row>
    <row x14ac:dyDescent="0.25" r="779" customHeight="1" ht="18.75" hidden="1">
      <c r="A779" s="48" t="s">
        <v>2583</v>
      </c>
      <c r="B779" s="48"/>
      <c r="C779" s="50" t="s">
        <v>16</v>
      </c>
      <c r="D779" s="50"/>
      <c r="E779" s="50"/>
      <c r="F779" s="50" t="s">
        <v>2584</v>
      </c>
      <c r="G779" s="55">
        <v>30000000</v>
      </c>
      <c r="H779" s="55"/>
      <c r="I779" s="55"/>
      <c r="J779" s="51">
        <v>2400000</v>
      </c>
      <c r="K779" s="51"/>
      <c r="L779" s="52">
        <v>45899</v>
      </c>
      <c r="M779" s="53">
        <v>45838</v>
      </c>
      <c r="N779" s="50" t="s">
        <v>182</v>
      </c>
      <c r="O779" s="50" t="s">
        <v>2585</v>
      </c>
      <c r="P779" s="50" t="s">
        <v>2584</v>
      </c>
      <c r="Q779" s="55" t="s">
        <v>2586</v>
      </c>
      <c r="R779" s="55" t="s">
        <v>2587</v>
      </c>
      <c r="S779" s="53">
        <v>46933</v>
      </c>
      <c r="T779" s="50"/>
      <c r="U779" s="50"/>
      <c r="V779" s="56"/>
      <c r="W779" s="50"/>
      <c r="X779" s="50"/>
      <c r="Y779" s="56"/>
      <c r="Z779" s="56"/>
      <c r="AA779" s="56"/>
      <c r="AB779" s="56"/>
      <c r="AC779" s="56"/>
      <c r="AD779" s="56"/>
    </row>
    <row x14ac:dyDescent="0.25" r="780" customHeight="1" ht="18.75" hidden="1">
      <c r="A780" s="48" t="s">
        <v>152</v>
      </c>
      <c r="B780" s="48"/>
      <c r="C780" s="50" t="s">
        <v>16</v>
      </c>
      <c r="D780" s="50" t="s">
        <v>143</v>
      </c>
      <c r="E780" s="50" t="s">
        <v>14</v>
      </c>
      <c r="F780" s="50" t="s">
        <v>2588</v>
      </c>
      <c r="G780" s="55">
        <v>20000000</v>
      </c>
      <c r="H780" s="55"/>
      <c r="I780" s="55"/>
      <c r="J780" s="51">
        <v>1800000</v>
      </c>
      <c r="K780" s="51"/>
      <c r="L780" s="52">
        <v>46165</v>
      </c>
      <c r="M780" s="53">
        <v>46104</v>
      </c>
      <c r="N780" s="50" t="s">
        <v>155</v>
      </c>
      <c r="O780" s="50" t="s">
        <v>2589</v>
      </c>
      <c r="P780" s="50" t="s">
        <v>2588</v>
      </c>
      <c r="Q780" s="55" t="s">
        <v>2590</v>
      </c>
      <c r="R780" s="55" t="s">
        <v>2591</v>
      </c>
      <c r="S780" s="53">
        <v>47199</v>
      </c>
      <c r="T780" s="50"/>
      <c r="U780" s="50"/>
      <c r="V780" s="56"/>
      <c r="W780" s="50"/>
      <c r="X780" s="50"/>
      <c r="Y780" s="56"/>
      <c r="Z780" s="56"/>
      <c r="AA780" s="56"/>
      <c r="AB780" s="56"/>
      <c r="AC780" s="56"/>
      <c r="AD780" s="56"/>
    </row>
    <row x14ac:dyDescent="0.25" r="781" customHeight="1" ht="18.75">
      <c r="A781" s="56"/>
      <c r="B781" s="56"/>
      <c r="C781" s="49" t="s">
        <v>16</v>
      </c>
      <c r="D781" s="50"/>
      <c r="E781" s="50"/>
      <c r="F781" s="50" t="s">
        <v>1030</v>
      </c>
      <c r="G781" s="51">
        <v>10000000</v>
      </c>
      <c r="H781" s="51"/>
      <c r="I781" s="51"/>
      <c r="J781" s="87">
        <f>IF(G781&gt;0,_xludf.IFS(G781=10000000,1200000,G781=20000000,1800000,G781=30000000,2400000,G781=60000000,4000000),"")</f>
      </c>
      <c r="K781" s="51"/>
      <c r="L781" s="52">
        <v>46221</v>
      </c>
      <c r="M781" s="53">
        <v>46156</v>
      </c>
      <c r="N781" s="50" t="s">
        <v>205</v>
      </c>
      <c r="O781" s="50" t="s">
        <v>1031</v>
      </c>
      <c r="P781" s="54">
        <f>IF(F781&gt;0,F781,"")</f>
      </c>
      <c r="Q781" s="55">
        <v>6602282182710</v>
      </c>
      <c r="R781" s="55">
        <v>22464909</v>
      </c>
      <c r="S781" s="53">
        <f>IF(ISNUMBER(M781), EDATE(M781,36)-1, "")</f>
        <v>25569.375</v>
      </c>
      <c r="T781" s="50"/>
      <c r="U781" s="50"/>
      <c r="V781" s="56"/>
      <c r="W781" s="50"/>
      <c r="X781" s="50"/>
      <c r="Y781" s="56"/>
      <c r="Z781" s="56"/>
      <c r="AA781" s="56"/>
      <c r="AB781" s="56"/>
      <c r="AC781" s="56"/>
      <c r="AD781" s="56"/>
    </row>
    <row x14ac:dyDescent="0.25" r="782" customHeight="1" ht="18.75" hidden="1">
      <c r="A782" s="56"/>
      <c r="B782" s="56"/>
      <c r="C782" s="50" t="s">
        <v>16</v>
      </c>
      <c r="D782" s="50"/>
      <c r="E782" s="50"/>
      <c r="F782" s="50" t="s">
        <v>2594</v>
      </c>
      <c r="G782" s="55">
        <v>10000000</v>
      </c>
      <c r="H782" s="55"/>
      <c r="I782" s="55"/>
      <c r="J782" s="51">
        <v>800000</v>
      </c>
      <c r="K782" s="51"/>
      <c r="L782" s="52">
        <v>46154</v>
      </c>
      <c r="M782" s="53">
        <v>46093</v>
      </c>
      <c r="N782" s="50" t="s">
        <v>217</v>
      </c>
      <c r="O782" s="50" t="s">
        <v>2595</v>
      </c>
      <c r="P782" s="50" t="s">
        <v>2594</v>
      </c>
      <c r="Q782" s="55" t="s">
        <v>2596</v>
      </c>
      <c r="R782" s="55" t="s">
        <v>2597</v>
      </c>
      <c r="S782" s="53">
        <v>47188</v>
      </c>
      <c r="T782" s="50" t="s">
        <v>2598</v>
      </c>
      <c r="U782" s="50" t="s">
        <v>166</v>
      </c>
      <c r="V782" s="56"/>
      <c r="W782" s="50"/>
      <c r="X782" s="50"/>
      <c r="Y782" s="56"/>
      <c r="Z782" s="56"/>
      <c r="AA782" s="56"/>
      <c r="AB782" s="56"/>
      <c r="AC782" s="56"/>
      <c r="AD782" s="56"/>
    </row>
    <row x14ac:dyDescent="0.25" r="783" customHeight="1" ht="18.75">
      <c r="A783" s="63"/>
      <c r="B783" s="63"/>
      <c r="C783" s="49" t="s">
        <v>16</v>
      </c>
      <c r="D783" s="49" t="s">
        <v>816</v>
      </c>
      <c r="E783" s="49" t="s">
        <v>114</v>
      </c>
      <c r="F783" s="49" t="s">
        <v>1291</v>
      </c>
      <c r="G783" s="64">
        <v>30000000</v>
      </c>
      <c r="H783" s="64"/>
      <c r="I783" s="64"/>
      <c r="J783" s="64">
        <v>2400000</v>
      </c>
      <c r="K783" s="64"/>
      <c r="L783" s="66">
        <v>46217</v>
      </c>
      <c r="M783" s="67">
        <f>IF(L783&gt;0,EDATE(L783,-2),"")</f>
        <v>25569.375</v>
      </c>
      <c r="N783" s="49" t="s">
        <v>239</v>
      </c>
      <c r="O783" s="49" t="s">
        <v>1292</v>
      </c>
      <c r="P783" s="68">
        <f>IF(F783&gt;0,F783,"")</f>
      </c>
      <c r="Q783" s="69" t="s">
        <v>1293</v>
      </c>
      <c r="R783" s="69">
        <v>64956019</v>
      </c>
      <c r="S783" s="67">
        <f>IF(ISNUMBER(M783), EDATE(M783,36)-1, "")</f>
        <v>25569.375</v>
      </c>
      <c r="T783" s="49"/>
      <c r="U783" s="49"/>
      <c r="V783" s="63"/>
      <c r="W783" s="50"/>
      <c r="X783" s="50"/>
      <c r="Y783" s="56"/>
      <c r="Z783" s="56"/>
      <c r="AA783" s="56"/>
      <c r="AB783" s="56"/>
      <c r="AC783" s="56"/>
      <c r="AD783" s="56"/>
    </row>
    <row x14ac:dyDescent="0.25" r="784" customHeight="1" ht="18.75" hidden="1">
      <c r="A784" s="56"/>
      <c r="B784" s="56"/>
      <c r="C784" s="50" t="s">
        <v>16</v>
      </c>
      <c r="D784" s="50"/>
      <c r="E784" s="50" t="s">
        <v>75</v>
      </c>
      <c r="F784" s="50" t="s">
        <v>124</v>
      </c>
      <c r="G784" s="55">
        <v>60000000</v>
      </c>
      <c r="H784" s="55"/>
      <c r="I784" s="55"/>
      <c r="J784" s="51">
        <v>3000000</v>
      </c>
      <c r="K784" s="51"/>
      <c r="L784" s="52">
        <v>46140</v>
      </c>
      <c r="M784" s="53">
        <v>46081</v>
      </c>
      <c r="N784" s="50" t="s">
        <v>570</v>
      </c>
      <c r="O784" s="50" t="s">
        <v>2604</v>
      </c>
      <c r="P784" s="50" t="s">
        <v>124</v>
      </c>
      <c r="Q784" s="55" t="s">
        <v>2605</v>
      </c>
      <c r="R784" s="55" t="s">
        <v>2606</v>
      </c>
      <c r="S784" s="53">
        <v>47176</v>
      </c>
      <c r="T784" s="50" t="s">
        <v>125</v>
      </c>
      <c r="U784" s="50" t="s">
        <v>2607</v>
      </c>
      <c r="V784" s="56"/>
      <c r="W784" s="50"/>
      <c r="X784" s="50"/>
      <c r="Y784" s="56"/>
      <c r="Z784" s="56"/>
      <c r="AA784" s="56"/>
      <c r="AB784" s="56"/>
      <c r="AC784" s="56"/>
      <c r="AD784" s="56"/>
    </row>
    <row x14ac:dyDescent="0.25" r="785" customHeight="1" ht="18.75">
      <c r="A785" s="48" t="s">
        <v>152</v>
      </c>
      <c r="B785" s="48"/>
      <c r="C785" s="49" t="s">
        <v>16</v>
      </c>
      <c r="D785" s="50" t="s">
        <v>48</v>
      </c>
      <c r="E785" s="50" t="s">
        <v>521</v>
      </c>
      <c r="F785" s="50" t="s">
        <v>2225</v>
      </c>
      <c r="G785" s="51">
        <v>10000000</v>
      </c>
      <c r="H785" s="51"/>
      <c r="I785" s="51"/>
      <c r="J785" s="51">
        <v>1200000</v>
      </c>
      <c r="K785" s="51"/>
      <c r="L785" s="52">
        <v>46217</v>
      </c>
      <c r="M785" s="53">
        <f>IF(L785&gt;0,EDATE(L785,-2),"")</f>
        <v>25569.375</v>
      </c>
      <c r="N785" s="50" t="s">
        <v>239</v>
      </c>
      <c r="O785" s="50" t="s">
        <v>2226</v>
      </c>
      <c r="P785" s="54">
        <f>IF(F785&gt;0,F785,"")</f>
      </c>
      <c r="Q785" s="55" t="s">
        <v>2227</v>
      </c>
      <c r="R785" s="55">
        <v>30600788</v>
      </c>
      <c r="S785" s="53">
        <f>IF(ISNUMBER(M785), EDATE(M785,36)-1, "")</f>
        <v>25569.375</v>
      </c>
      <c r="T785" s="50"/>
      <c r="U785" s="50"/>
      <c r="V785" s="48" t="s">
        <v>2228</v>
      </c>
      <c r="W785" s="50"/>
      <c r="X785" s="50"/>
      <c r="Y785" s="56"/>
      <c r="Z785" s="56"/>
      <c r="AA785" s="56"/>
      <c r="AB785" s="56"/>
      <c r="AC785" s="56"/>
      <c r="AD785" s="56"/>
    </row>
    <row x14ac:dyDescent="0.25" r="786" customHeight="1" ht="18.75" hidden="1">
      <c r="A786" s="56"/>
      <c r="B786" s="56"/>
      <c r="C786" s="50" t="s">
        <v>16</v>
      </c>
      <c r="D786" s="50"/>
      <c r="E786" s="50"/>
      <c r="F786" s="50" t="s">
        <v>420</v>
      </c>
      <c r="G786" s="55">
        <v>10000000</v>
      </c>
      <c r="H786" s="55"/>
      <c r="I786" s="55"/>
      <c r="J786" s="51">
        <v>800000</v>
      </c>
      <c r="K786" s="51"/>
      <c r="L786" s="52">
        <v>46091</v>
      </c>
      <c r="M786" s="53">
        <v>46022</v>
      </c>
      <c r="N786" s="50" t="s">
        <v>217</v>
      </c>
      <c r="O786" s="50" t="s">
        <v>2613</v>
      </c>
      <c r="P786" s="50" t="s">
        <v>420</v>
      </c>
      <c r="Q786" s="55" t="s">
        <v>2614</v>
      </c>
      <c r="R786" s="55" t="s">
        <v>424</v>
      </c>
      <c r="S786" s="53">
        <v>47127</v>
      </c>
      <c r="T786" s="50"/>
      <c r="U786" s="50"/>
      <c r="V786" s="56"/>
      <c r="W786" s="50"/>
      <c r="X786" s="50"/>
      <c r="Y786" s="56"/>
      <c r="Z786" s="56"/>
      <c r="AA786" s="56"/>
      <c r="AB786" s="56"/>
      <c r="AC786" s="56"/>
      <c r="AD786" s="56"/>
    </row>
    <row x14ac:dyDescent="0.25" r="787" customHeight="1" ht="18.75" hidden="1">
      <c r="A787" s="56"/>
      <c r="B787" s="56"/>
      <c r="C787" s="50" t="s">
        <v>16</v>
      </c>
      <c r="D787" s="50"/>
      <c r="E787" s="50"/>
      <c r="F787" s="50" t="s">
        <v>2615</v>
      </c>
      <c r="G787" s="55">
        <v>20000000</v>
      </c>
      <c r="H787" s="55"/>
      <c r="I787" s="55"/>
      <c r="J787" s="51">
        <v>1528000</v>
      </c>
      <c r="K787" s="51"/>
      <c r="L787" s="52">
        <v>45976</v>
      </c>
      <c r="M787" s="53">
        <v>45915</v>
      </c>
      <c r="N787" s="50" t="s">
        <v>2616</v>
      </c>
      <c r="O787" s="50" t="s">
        <v>2617</v>
      </c>
      <c r="P787" s="50" t="s">
        <v>2615</v>
      </c>
      <c r="Q787" s="55" t="s">
        <v>2618</v>
      </c>
      <c r="R787" s="55" t="s">
        <v>2619</v>
      </c>
      <c r="S787" s="53">
        <v>47010</v>
      </c>
      <c r="T787" s="50"/>
      <c r="U787" s="50"/>
      <c r="V787" s="56"/>
      <c r="W787" s="50"/>
      <c r="X787" s="50"/>
      <c r="Y787" s="56"/>
      <c r="Z787" s="56"/>
      <c r="AA787" s="56"/>
      <c r="AB787" s="56"/>
      <c r="AC787" s="56"/>
      <c r="AD787" s="56"/>
    </row>
    <row x14ac:dyDescent="0.25" r="788" customHeight="1" ht="18.75">
      <c r="A788" s="56"/>
      <c r="B788" s="56"/>
      <c r="C788" s="50" t="s">
        <v>16</v>
      </c>
      <c r="D788" s="50" t="s">
        <v>419</v>
      </c>
      <c r="E788" s="50" t="s">
        <v>420</v>
      </c>
      <c r="F788" s="50" t="s">
        <v>2280</v>
      </c>
      <c r="G788" s="51">
        <v>30000000</v>
      </c>
      <c r="H788" s="51"/>
      <c r="I788" s="51"/>
      <c r="J788" s="87">
        <f>IF(G788&gt;0,_xludf.IFS(G788=10000000,1200000,G788=20000000,1800000,G788=30000000,2400000,G788=60000000,4000000),"")</f>
      </c>
      <c r="K788" s="51"/>
      <c r="L788" s="52">
        <v>46217</v>
      </c>
      <c r="M788" s="53">
        <f>IF(L788&gt;0,EDATE(L788,-2),"")</f>
        <v>25569.375</v>
      </c>
      <c r="N788" s="50" t="s">
        <v>168</v>
      </c>
      <c r="O788" s="50" t="s">
        <v>2284</v>
      </c>
      <c r="P788" s="54">
        <f>IF(F788&gt;0,F788,"")</f>
      </c>
      <c r="Q788" s="55">
        <v>9412042143321</v>
      </c>
      <c r="R788" s="55">
        <v>75685643</v>
      </c>
      <c r="S788" s="53">
        <f>IF(ISNUMBER(M788), EDATE(M788,36)-1, "")</f>
        <v>25569.375</v>
      </c>
      <c r="T788" s="50"/>
      <c r="U788" s="50"/>
      <c r="V788" s="56"/>
      <c r="W788" s="50"/>
      <c r="X788" s="50"/>
      <c r="Y788" s="56"/>
      <c r="Z788" s="56"/>
      <c r="AA788" s="56"/>
      <c r="AB788" s="56"/>
      <c r="AC788" s="56"/>
      <c r="AD788" s="56"/>
    </row>
    <row x14ac:dyDescent="0.25" r="789" customHeight="1" ht="18.75" hidden="1">
      <c r="A789" s="56"/>
      <c r="B789" s="56"/>
      <c r="C789" s="50" t="s">
        <v>16</v>
      </c>
      <c r="D789" s="50"/>
      <c r="E789" s="50"/>
      <c r="F789" s="50" t="s">
        <v>2623</v>
      </c>
      <c r="G789" s="55">
        <v>20000000</v>
      </c>
      <c r="H789" s="55"/>
      <c r="I789" s="55"/>
      <c r="J789" s="51">
        <v>1528000</v>
      </c>
      <c r="K789" s="51"/>
      <c r="L789" s="52">
        <v>46064</v>
      </c>
      <c r="M789" s="53">
        <v>46002</v>
      </c>
      <c r="N789" s="50" t="s">
        <v>217</v>
      </c>
      <c r="O789" s="50" t="s">
        <v>2624</v>
      </c>
      <c r="P789" s="50" t="s">
        <v>2623</v>
      </c>
      <c r="Q789" s="55" t="s">
        <v>2625</v>
      </c>
      <c r="R789" s="55" t="s">
        <v>2626</v>
      </c>
      <c r="S789" s="53">
        <v>47097</v>
      </c>
      <c r="T789" s="50"/>
      <c r="U789" s="50"/>
      <c r="V789" s="56"/>
      <c r="W789" s="50"/>
      <c r="X789" s="50"/>
      <c r="Y789" s="56"/>
      <c r="Z789" s="56"/>
      <c r="AA789" s="56"/>
      <c r="AB789" s="56"/>
      <c r="AC789" s="56"/>
      <c r="AD789" s="56"/>
    </row>
    <row x14ac:dyDescent="0.25" r="790" customHeight="1" ht="18.75" hidden="1">
      <c r="A790" s="56"/>
      <c r="B790" s="56"/>
      <c r="C790" s="50" t="s">
        <v>16</v>
      </c>
      <c r="D790" s="50"/>
      <c r="E790" s="50"/>
      <c r="F790" s="50" t="s">
        <v>2627</v>
      </c>
      <c r="G790" s="55">
        <v>120000000</v>
      </c>
      <c r="H790" s="55"/>
      <c r="I790" s="55"/>
      <c r="J790" s="51">
        <v>7056000</v>
      </c>
      <c r="K790" s="51"/>
      <c r="L790" s="52">
        <v>46091</v>
      </c>
      <c r="M790" s="53">
        <v>46032</v>
      </c>
      <c r="N790" s="50" t="s">
        <v>174</v>
      </c>
      <c r="O790" s="50" t="s">
        <v>2628</v>
      </c>
      <c r="P790" s="50" t="s">
        <v>2627</v>
      </c>
      <c r="Q790" s="55" t="s">
        <v>2629</v>
      </c>
      <c r="R790" s="55" t="s">
        <v>2630</v>
      </c>
      <c r="S790" s="53">
        <v>47127</v>
      </c>
      <c r="T790" s="50" t="s">
        <v>2631</v>
      </c>
      <c r="U790" s="50"/>
      <c r="V790" s="56"/>
      <c r="W790" s="50"/>
      <c r="X790" s="50"/>
      <c r="Y790" s="56"/>
      <c r="Z790" s="56"/>
      <c r="AA790" s="56"/>
      <c r="AB790" s="56"/>
      <c r="AC790" s="56"/>
      <c r="AD790" s="56"/>
    </row>
    <row x14ac:dyDescent="0.25" r="791" customHeight="1" ht="18.75" hidden="1">
      <c r="A791" s="56"/>
      <c r="B791" s="56"/>
      <c r="C791" s="50" t="s">
        <v>2033</v>
      </c>
      <c r="D791" s="50"/>
      <c r="E791" s="50"/>
      <c r="F791" s="50" t="s">
        <v>2632</v>
      </c>
      <c r="G791" s="55">
        <v>10000000</v>
      </c>
      <c r="H791" s="55"/>
      <c r="I791" s="55"/>
      <c r="J791" s="51">
        <v>900000</v>
      </c>
      <c r="K791" s="51"/>
      <c r="L791" s="52">
        <v>45820</v>
      </c>
      <c r="M791" s="53">
        <v>45759</v>
      </c>
      <c r="N791" s="50" t="s">
        <v>168</v>
      </c>
      <c r="O791" s="50" t="s">
        <v>2633</v>
      </c>
      <c r="P791" s="50" t="s">
        <v>2632</v>
      </c>
      <c r="Q791" s="55" t="s">
        <v>2634</v>
      </c>
      <c r="R791" s="55" t="s">
        <v>2635</v>
      </c>
      <c r="S791" s="53">
        <v>46854</v>
      </c>
      <c r="T791" s="50"/>
      <c r="U791" s="50"/>
      <c r="V791" s="56"/>
      <c r="W791" s="50"/>
      <c r="X791" s="50"/>
      <c r="Y791" s="56"/>
      <c r="Z791" s="56"/>
      <c r="AA791" s="56"/>
      <c r="AB791" s="56"/>
      <c r="AC791" s="56"/>
      <c r="AD791" s="56"/>
    </row>
    <row x14ac:dyDescent="0.25" r="792" customHeight="1" ht="18.75" hidden="1">
      <c r="A792" s="71"/>
      <c r="B792" s="71"/>
      <c r="C792" s="72" t="s">
        <v>16</v>
      </c>
      <c r="D792" s="72"/>
      <c r="E792" s="72"/>
      <c r="F792" s="72" t="s">
        <v>2632</v>
      </c>
      <c r="G792" s="73">
        <v>170000000</v>
      </c>
      <c r="H792" s="73"/>
      <c r="I792" s="73"/>
      <c r="J792" s="74"/>
      <c r="K792" s="74"/>
      <c r="L792" s="75">
        <v>45912</v>
      </c>
      <c r="M792" s="76">
        <v>45850</v>
      </c>
      <c r="N792" s="72" t="s">
        <v>282</v>
      </c>
      <c r="O792" s="72" t="s">
        <v>2637</v>
      </c>
      <c r="P792" s="72" t="s">
        <v>2632</v>
      </c>
      <c r="Q792" s="73" t="s">
        <v>2638</v>
      </c>
      <c r="R792" s="73" t="s">
        <v>2635</v>
      </c>
      <c r="S792" s="76">
        <v>46945</v>
      </c>
      <c r="T792" s="72"/>
      <c r="U792" s="72"/>
      <c r="V792" s="71"/>
      <c r="W792" s="50"/>
      <c r="X792" s="50"/>
      <c r="Y792" s="56"/>
      <c r="Z792" s="56"/>
      <c r="AA792" s="56"/>
      <c r="AB792" s="56"/>
      <c r="AC792" s="56"/>
      <c r="AD792" s="56"/>
    </row>
    <row x14ac:dyDescent="0.25" r="793" customHeight="1" ht="18.75">
      <c r="A793" s="56"/>
      <c r="B793" s="56"/>
      <c r="C793" s="50" t="s">
        <v>16</v>
      </c>
      <c r="D793" s="50" t="s">
        <v>55</v>
      </c>
      <c r="E793" s="50" t="s">
        <v>56</v>
      </c>
      <c r="F793" s="50" t="s">
        <v>1212</v>
      </c>
      <c r="G793" s="51">
        <v>30000000</v>
      </c>
      <c r="H793" s="51"/>
      <c r="I793" s="51"/>
      <c r="J793" s="87">
        <f>IF(G793&gt;0,_xludf.IFS(G793=10000000,1200000,G793=20000000,1800000,G793=30000000,2400000,G793=60000000,4000000),"")</f>
      </c>
      <c r="K793" s="51"/>
      <c r="L793" s="52">
        <v>46218</v>
      </c>
      <c r="M793" s="53">
        <f>IF(L793&gt;0,EDATE(L793,-2),"")</f>
        <v>25569.375</v>
      </c>
      <c r="N793" s="50" t="s">
        <v>239</v>
      </c>
      <c r="O793" s="50" t="s">
        <v>1213</v>
      </c>
      <c r="P793" s="54">
        <f>IF(F793&gt;0,F793,"")</f>
      </c>
      <c r="Q793" s="55">
        <v>7107022058011</v>
      </c>
      <c r="R793" s="55">
        <v>50926282</v>
      </c>
      <c r="S793" s="53">
        <f>IF(ISNUMBER(M793), EDATE(M793,36)-1, "")</f>
        <v>25569.375</v>
      </c>
      <c r="T793" s="50"/>
      <c r="U793" s="50"/>
      <c r="V793" s="56"/>
      <c r="W793" s="50"/>
      <c r="X793" s="50"/>
      <c r="Y793" s="56"/>
      <c r="Z793" s="56"/>
      <c r="AA793" s="56"/>
      <c r="AB793" s="56"/>
      <c r="AC793" s="56"/>
      <c r="AD793" s="56"/>
    </row>
    <row x14ac:dyDescent="0.25" r="794" customHeight="1" ht="18.75" hidden="1">
      <c r="A794" s="63"/>
      <c r="B794" s="63"/>
      <c r="C794" s="49" t="s">
        <v>16</v>
      </c>
      <c r="D794" s="49" t="s">
        <v>454</v>
      </c>
      <c r="E794" s="49" t="s">
        <v>647</v>
      </c>
      <c r="F794" s="49" t="s">
        <v>2641</v>
      </c>
      <c r="G794" s="64">
        <v>10000000</v>
      </c>
      <c r="H794" s="64"/>
      <c r="I794" s="64"/>
      <c r="J794" s="65">
        <f>IF(G794&gt;0,_xludf.IFS(G794=10000000,800000,G794=20000000,1528000,G794=30000000,2028000,G794=60000000,4056000),"")</f>
      </c>
      <c r="K794" s="64"/>
      <c r="L794" s="66">
        <v>46148</v>
      </c>
      <c r="M794" s="67">
        <f>IF(L794&gt;0,EDATE(L794,-2),"")</f>
        <v>25569.375</v>
      </c>
      <c r="N794" s="49" t="s">
        <v>155</v>
      </c>
      <c r="O794" s="49" t="s">
        <v>2642</v>
      </c>
      <c r="P794" s="68">
        <f>IF(F794&gt;0,F794,"")</f>
      </c>
      <c r="Q794" s="69" t="s">
        <v>2643</v>
      </c>
      <c r="R794" s="69">
        <v>87417489</v>
      </c>
      <c r="S794" s="67">
        <f>IF(ISNUMBER(M794), EDATE(M794,36)-1, "")</f>
        <v>25569.375</v>
      </c>
      <c r="T794" s="49"/>
      <c r="U794" s="49"/>
      <c r="V794" s="63"/>
      <c r="W794" s="50"/>
      <c r="X794" s="50"/>
      <c r="Y794" s="56"/>
      <c r="Z794" s="56"/>
      <c r="AA794" s="56"/>
      <c r="AB794" s="56"/>
      <c r="AC794" s="56"/>
      <c r="AD794" s="56"/>
    </row>
    <row x14ac:dyDescent="0.25" r="795" customHeight="1" ht="18.75" hidden="1">
      <c r="A795" s="56"/>
      <c r="B795" s="56"/>
      <c r="C795" s="50" t="s">
        <v>16</v>
      </c>
      <c r="D795" s="50"/>
      <c r="E795" s="50"/>
      <c r="F795" s="50" t="s">
        <v>2644</v>
      </c>
      <c r="G795" s="55">
        <v>60000000</v>
      </c>
      <c r="H795" s="55"/>
      <c r="I795" s="55"/>
      <c r="J795" s="51">
        <v>4056000</v>
      </c>
      <c r="K795" s="51"/>
      <c r="L795" s="52">
        <v>45994</v>
      </c>
      <c r="M795" s="53">
        <v>45933</v>
      </c>
      <c r="N795" s="50" t="s">
        <v>302</v>
      </c>
      <c r="O795" s="50" t="s">
        <v>2645</v>
      </c>
      <c r="P795" s="50" t="s">
        <v>2644</v>
      </c>
      <c r="Q795" s="55" t="s">
        <v>2646</v>
      </c>
      <c r="R795" s="55" t="s">
        <v>2647</v>
      </c>
      <c r="S795" s="53">
        <v>47064</v>
      </c>
      <c r="T795" s="50"/>
      <c r="U795" s="50"/>
      <c r="V795" s="56"/>
      <c r="W795" s="50"/>
      <c r="X795" s="50"/>
      <c r="Y795" s="56"/>
      <c r="Z795" s="56"/>
      <c r="AA795" s="56"/>
      <c r="AB795" s="56"/>
      <c r="AC795" s="56"/>
      <c r="AD795" s="56"/>
    </row>
    <row x14ac:dyDescent="0.25" r="796" customHeight="1" ht="18.75" hidden="1">
      <c r="A796" s="48" t="s">
        <v>2433</v>
      </c>
      <c r="B796" s="48"/>
      <c r="C796" s="50" t="s">
        <v>113</v>
      </c>
      <c r="D796" s="50"/>
      <c r="E796" s="50"/>
      <c r="F796" s="50" t="s">
        <v>126</v>
      </c>
      <c r="G796" s="55">
        <v>30000000</v>
      </c>
      <c r="H796" s="55"/>
      <c r="I796" s="55"/>
      <c r="J796" s="51">
        <v>2400000</v>
      </c>
      <c r="K796" s="51"/>
      <c r="L796" s="52">
        <v>45593</v>
      </c>
      <c r="M796" s="53">
        <v>45532</v>
      </c>
      <c r="N796" s="50" t="s">
        <v>205</v>
      </c>
      <c r="O796" s="50" t="s">
        <v>2648</v>
      </c>
      <c r="P796" s="50" t="s">
        <v>126</v>
      </c>
      <c r="Q796" s="55" t="s">
        <v>2649</v>
      </c>
      <c r="R796" s="55" t="s">
        <v>2650</v>
      </c>
      <c r="S796" s="53">
        <v>46626</v>
      </c>
      <c r="T796" s="50"/>
      <c r="U796" s="50"/>
      <c r="V796" s="56"/>
      <c r="W796" s="50"/>
      <c r="X796" s="50"/>
      <c r="Y796" s="56"/>
      <c r="Z796" s="56"/>
      <c r="AA796" s="56"/>
      <c r="AB796" s="56"/>
      <c r="AC796" s="56"/>
      <c r="AD796" s="56"/>
    </row>
    <row x14ac:dyDescent="0.25" r="797" customHeight="1" ht="18.75" hidden="1">
      <c r="A797" s="48" t="s">
        <v>1133</v>
      </c>
      <c r="B797" s="48"/>
      <c r="C797" s="50" t="s">
        <v>16</v>
      </c>
      <c r="D797" s="50"/>
      <c r="E797" s="50"/>
      <c r="F797" s="50" t="s">
        <v>126</v>
      </c>
      <c r="G797" s="55">
        <v>60000000</v>
      </c>
      <c r="H797" s="55"/>
      <c r="I797" s="55"/>
      <c r="J797" s="51">
        <v>4800000</v>
      </c>
      <c r="K797" s="51"/>
      <c r="L797" s="52">
        <v>45894</v>
      </c>
      <c r="M797" s="53">
        <v>45831</v>
      </c>
      <c r="N797" s="50" t="s">
        <v>205</v>
      </c>
      <c r="O797" s="50" t="s">
        <v>2651</v>
      </c>
      <c r="P797" s="50" t="s">
        <v>126</v>
      </c>
      <c r="Q797" s="55" t="s">
        <v>2649</v>
      </c>
      <c r="R797" s="55" t="s">
        <v>2650</v>
      </c>
      <c r="S797" s="53">
        <v>46926</v>
      </c>
      <c r="T797" s="50"/>
      <c r="U797" s="50"/>
      <c r="V797" s="56"/>
      <c r="W797" s="50"/>
      <c r="X797" s="50"/>
      <c r="Y797" s="56"/>
      <c r="Z797" s="56"/>
      <c r="AA797" s="56"/>
      <c r="AB797" s="56"/>
      <c r="AC797" s="56"/>
      <c r="AD797" s="56"/>
    </row>
    <row x14ac:dyDescent="0.25" r="798" customHeight="1" ht="18.75" hidden="1">
      <c r="A798" s="56"/>
      <c r="B798" s="56"/>
      <c r="C798" s="50" t="s">
        <v>16</v>
      </c>
      <c r="D798" s="50"/>
      <c r="E798" s="50"/>
      <c r="F798" s="50" t="s">
        <v>126</v>
      </c>
      <c r="G798" s="55">
        <v>60000000</v>
      </c>
      <c r="H798" s="55"/>
      <c r="I798" s="55"/>
      <c r="J798" s="51">
        <v>4800000</v>
      </c>
      <c r="K798" s="51"/>
      <c r="L798" s="52">
        <v>45966</v>
      </c>
      <c r="M798" s="53">
        <v>45848</v>
      </c>
      <c r="N798" s="50" t="s">
        <v>205</v>
      </c>
      <c r="O798" s="50" t="s">
        <v>2651</v>
      </c>
      <c r="P798" s="50" t="s">
        <v>126</v>
      </c>
      <c r="Q798" s="55" t="s">
        <v>2649</v>
      </c>
      <c r="R798" s="55" t="s">
        <v>2650</v>
      </c>
      <c r="S798" s="53">
        <v>47000</v>
      </c>
      <c r="T798" s="50"/>
      <c r="U798" s="50"/>
      <c r="V798" s="56"/>
      <c r="W798" s="50"/>
      <c r="X798" s="50"/>
      <c r="Y798" s="56"/>
      <c r="Z798" s="56"/>
      <c r="AA798" s="56"/>
      <c r="AB798" s="56"/>
      <c r="AC798" s="56"/>
      <c r="AD798" s="56"/>
    </row>
    <row x14ac:dyDescent="0.25" r="799" customHeight="1" ht="18.75">
      <c r="A799" s="56"/>
      <c r="B799" s="56"/>
      <c r="C799" s="49" t="s">
        <v>16</v>
      </c>
      <c r="D799" s="50" t="s">
        <v>627</v>
      </c>
      <c r="E799" s="50" t="s">
        <v>1978</v>
      </c>
      <c r="F799" s="50" t="s">
        <v>1979</v>
      </c>
      <c r="G799" s="51">
        <v>10000000</v>
      </c>
      <c r="H799" s="51"/>
      <c r="I799" s="51"/>
      <c r="J799" s="51">
        <v>1200000</v>
      </c>
      <c r="K799" s="51"/>
      <c r="L799" s="52">
        <v>46214</v>
      </c>
      <c r="M799" s="53">
        <v>46157</v>
      </c>
      <c r="N799" s="50" t="s">
        <v>168</v>
      </c>
      <c r="O799" s="50" t="s">
        <v>1980</v>
      </c>
      <c r="P799" s="54">
        <f>IF(F799&gt;0,F799,"")</f>
      </c>
      <c r="Q799" s="55" t="s">
        <v>1981</v>
      </c>
      <c r="R799" s="55">
        <v>36853458</v>
      </c>
      <c r="S799" s="53">
        <v>47252</v>
      </c>
      <c r="T799" s="50"/>
      <c r="U799" s="50"/>
      <c r="V799" s="56"/>
      <c r="W799" s="50"/>
      <c r="X799" s="50"/>
      <c r="Y799" s="56"/>
      <c r="Z799" s="56"/>
      <c r="AA799" s="56"/>
      <c r="AB799" s="56"/>
      <c r="AC799" s="56"/>
      <c r="AD799" s="56"/>
    </row>
    <row x14ac:dyDescent="0.25" r="800" customHeight="1" ht="18.75" hidden="1">
      <c r="A800" s="56"/>
      <c r="B800" s="56"/>
      <c r="C800" s="50" t="s">
        <v>16</v>
      </c>
      <c r="D800" s="50"/>
      <c r="E800" s="50" t="s">
        <v>596</v>
      </c>
      <c r="F800" s="50" t="s">
        <v>172</v>
      </c>
      <c r="G800" s="55">
        <v>10000000</v>
      </c>
      <c r="H800" s="55"/>
      <c r="I800" s="55"/>
      <c r="J800" s="51">
        <v>800000</v>
      </c>
      <c r="K800" s="51"/>
      <c r="L800" s="52">
        <v>46131</v>
      </c>
      <c r="M800" s="53">
        <v>46072</v>
      </c>
      <c r="N800" s="50" t="s">
        <v>155</v>
      </c>
      <c r="O800" s="50" t="s">
        <v>2658</v>
      </c>
      <c r="P800" s="50" t="s">
        <v>172</v>
      </c>
      <c r="Q800" s="55" t="s">
        <v>2659</v>
      </c>
      <c r="R800" s="55" t="s">
        <v>2660</v>
      </c>
      <c r="S800" s="53">
        <v>47167</v>
      </c>
      <c r="T800" s="50" t="s">
        <v>2661</v>
      </c>
      <c r="U800" s="50" t="s">
        <v>166</v>
      </c>
      <c r="V800" s="56"/>
      <c r="W800" s="50"/>
      <c r="X800" s="50"/>
      <c r="Y800" s="56"/>
      <c r="Z800" s="56"/>
      <c r="AA800" s="56"/>
      <c r="AB800" s="56"/>
      <c r="AC800" s="56"/>
      <c r="AD800" s="56"/>
    </row>
    <row x14ac:dyDescent="0.25" r="801" customHeight="1" ht="18.75" hidden="1">
      <c r="A801" s="56"/>
      <c r="B801" s="56"/>
      <c r="C801" s="50" t="s">
        <v>16</v>
      </c>
      <c r="D801" s="50"/>
      <c r="E801" s="50"/>
      <c r="F801" s="50" t="s">
        <v>2662</v>
      </c>
      <c r="G801" s="55">
        <v>30000000</v>
      </c>
      <c r="H801" s="55"/>
      <c r="I801" s="55"/>
      <c r="J801" s="51">
        <v>2400000</v>
      </c>
      <c r="K801" s="51"/>
      <c r="L801" s="52">
        <v>45914</v>
      </c>
      <c r="M801" s="53">
        <v>45852</v>
      </c>
      <c r="N801" s="50" t="s">
        <v>282</v>
      </c>
      <c r="O801" s="50" t="s">
        <v>2663</v>
      </c>
      <c r="P801" s="50" t="s">
        <v>2662</v>
      </c>
      <c r="Q801" s="55" t="s">
        <v>2664</v>
      </c>
      <c r="R801" s="55" t="s">
        <v>2665</v>
      </c>
      <c r="S801" s="53">
        <v>46947</v>
      </c>
      <c r="T801" s="50"/>
      <c r="U801" s="50"/>
      <c r="V801" s="56"/>
      <c r="W801" s="50"/>
      <c r="X801" s="50"/>
      <c r="Y801" s="56"/>
      <c r="Z801" s="56"/>
      <c r="AA801" s="56"/>
      <c r="AB801" s="56"/>
      <c r="AC801" s="56"/>
      <c r="AD801" s="56"/>
    </row>
    <row x14ac:dyDescent="0.25" r="802" customHeight="1" ht="18.75" hidden="1">
      <c r="A802" s="56"/>
      <c r="B802" s="56"/>
      <c r="C802" s="50" t="s">
        <v>16</v>
      </c>
      <c r="D802" s="50"/>
      <c r="E802" s="50"/>
      <c r="F802" s="50" t="s">
        <v>2666</v>
      </c>
      <c r="G802" s="55">
        <v>20000000</v>
      </c>
      <c r="H802" s="55"/>
      <c r="I802" s="55"/>
      <c r="J802" s="51">
        <v>1528000</v>
      </c>
      <c r="K802" s="51"/>
      <c r="L802" s="52">
        <v>45980</v>
      </c>
      <c r="M802" s="53">
        <v>45919</v>
      </c>
      <c r="N802" s="50" t="s">
        <v>155</v>
      </c>
      <c r="O802" s="50" t="s">
        <v>2667</v>
      </c>
      <c r="P802" s="50" t="s">
        <v>2666</v>
      </c>
      <c r="Q802" s="55" t="s">
        <v>2668</v>
      </c>
      <c r="R802" s="55" t="s">
        <v>2669</v>
      </c>
      <c r="S802" s="53">
        <v>47014</v>
      </c>
      <c r="T802" s="50"/>
      <c r="U802" s="50"/>
      <c r="V802" s="56"/>
      <c r="W802" s="50"/>
      <c r="X802" s="50"/>
      <c r="Y802" s="56"/>
      <c r="Z802" s="56"/>
      <c r="AA802" s="56"/>
      <c r="AB802" s="56"/>
      <c r="AC802" s="56"/>
      <c r="AD802" s="56"/>
    </row>
    <row x14ac:dyDescent="0.25" r="803" customHeight="1" ht="18.75">
      <c r="A803" s="48" t="s">
        <v>63</v>
      </c>
      <c r="B803" s="48"/>
      <c r="C803" s="49" t="s">
        <v>16</v>
      </c>
      <c r="D803" s="50" t="s">
        <v>88</v>
      </c>
      <c r="E803" s="50" t="s">
        <v>14</v>
      </c>
      <c r="F803" s="50" t="s">
        <v>2348</v>
      </c>
      <c r="G803" s="51">
        <v>20000000</v>
      </c>
      <c r="H803" s="51"/>
      <c r="I803" s="51"/>
      <c r="J803" s="87">
        <f>IF(G803&gt;0,_xludf.IFS(G803=10000000,1200000,G803=20000000,1800000,G803=30000000,2400000,G803=60000000,4000000),"")</f>
      </c>
      <c r="K803" s="51"/>
      <c r="L803" s="52">
        <v>46219</v>
      </c>
      <c r="M803" s="53">
        <f>IF(L803&gt;0,EDATE(L803,-2),"")</f>
        <v>25569.375</v>
      </c>
      <c r="N803" s="50" t="s">
        <v>168</v>
      </c>
      <c r="O803" s="50" t="s">
        <v>2349</v>
      </c>
      <c r="P803" s="54">
        <f>IF(F803&gt;0,F803,"")</f>
      </c>
      <c r="Q803" s="55">
        <v>6304192538312</v>
      </c>
      <c r="R803" s="55">
        <v>37329807</v>
      </c>
      <c r="S803" s="53">
        <f>IF(ISNUMBER(M803), EDATE(M803,36)-1, "")</f>
        <v>25569.375</v>
      </c>
      <c r="T803" s="50"/>
      <c r="U803" s="50"/>
      <c r="V803" s="56"/>
      <c r="W803" s="50"/>
      <c r="X803" s="50"/>
      <c r="Y803" s="56"/>
      <c r="Z803" s="56"/>
      <c r="AA803" s="56"/>
      <c r="AB803" s="56"/>
      <c r="AC803" s="56"/>
      <c r="AD803" s="56"/>
    </row>
    <row x14ac:dyDescent="0.25" r="804" customHeight="1" ht="18.75">
      <c r="A804" s="56"/>
      <c r="B804" s="56"/>
      <c r="C804" s="49" t="s">
        <v>16</v>
      </c>
      <c r="D804" s="50" t="s">
        <v>627</v>
      </c>
      <c r="E804" s="50" t="s">
        <v>373</v>
      </c>
      <c r="F804" s="50" t="s">
        <v>628</v>
      </c>
      <c r="G804" s="51">
        <v>10000000</v>
      </c>
      <c r="H804" s="51"/>
      <c r="I804" s="51"/>
      <c r="J804" s="51">
        <v>400000</v>
      </c>
      <c r="K804" s="51"/>
      <c r="L804" s="52">
        <v>46221</v>
      </c>
      <c r="M804" s="53">
        <f>IF(L804&gt;0,EDATE(L804,-2),"")</f>
        <v>25569.375</v>
      </c>
      <c r="N804" s="50" t="s">
        <v>205</v>
      </c>
      <c r="O804" s="50" t="s">
        <v>629</v>
      </c>
      <c r="P804" s="54">
        <f>IF(F804&gt;0,F804,"")</f>
      </c>
      <c r="Q804" s="55">
        <v>6612272566510</v>
      </c>
      <c r="R804" s="55">
        <v>82946699</v>
      </c>
      <c r="S804" s="53">
        <f>IF(ISNUMBER(M804), EDATE(M804,36)-1, "")</f>
        <v>25569.375</v>
      </c>
      <c r="T804" s="50"/>
      <c r="U804" s="50"/>
      <c r="V804" s="56"/>
      <c r="W804" s="50"/>
      <c r="X804" s="50"/>
      <c r="Y804" s="56"/>
      <c r="Z804" s="56"/>
      <c r="AA804" s="56"/>
      <c r="AB804" s="56"/>
      <c r="AC804" s="56"/>
      <c r="AD804" s="56"/>
    </row>
    <row x14ac:dyDescent="0.25" r="805" customHeight="1" ht="18.75">
      <c r="A805" s="63" t="s">
        <v>252</v>
      </c>
      <c r="B805" s="63"/>
      <c r="C805" s="49" t="s">
        <v>16</v>
      </c>
      <c r="D805" s="49" t="s">
        <v>80</v>
      </c>
      <c r="E805" s="49" t="s">
        <v>596</v>
      </c>
      <c r="F805" s="49" t="s">
        <v>117</v>
      </c>
      <c r="G805" s="64">
        <v>10000000</v>
      </c>
      <c r="H805" s="64"/>
      <c r="I805" s="64"/>
      <c r="J805" s="65">
        <f>IF(G805&gt;0,_xludf.IFS(G805=10000000,800000,G805=20000000,1528000,G805=30000000,2028000,G805=60000000,4056000),"")</f>
      </c>
      <c r="K805" s="64"/>
      <c r="L805" s="66">
        <v>46221</v>
      </c>
      <c r="M805" s="67">
        <f>IF(L805&gt;0,EDATE(L805,-2),"")</f>
        <v>25569.375</v>
      </c>
      <c r="N805" s="49" t="s">
        <v>217</v>
      </c>
      <c r="O805" s="49" t="s">
        <v>704</v>
      </c>
      <c r="P805" s="68">
        <f>IF(F805&gt;0,F805,"")</f>
      </c>
      <c r="Q805" s="69" t="s">
        <v>705</v>
      </c>
      <c r="R805" s="69">
        <v>94914154</v>
      </c>
      <c r="S805" s="67">
        <f>IF(ISNUMBER(M805), EDATE(M805,36)-1, "")</f>
        <v>25569.375</v>
      </c>
      <c r="T805" s="49"/>
      <c r="U805" s="49"/>
      <c r="V805" s="63"/>
      <c r="W805" s="50"/>
      <c r="X805" s="50"/>
      <c r="Y805" s="56"/>
      <c r="Z805" s="56"/>
      <c r="AA805" s="56"/>
      <c r="AB805" s="56"/>
      <c r="AC805" s="56"/>
      <c r="AD805" s="56"/>
    </row>
    <row x14ac:dyDescent="0.25" r="806" customHeight="1" ht="18.75" hidden="1">
      <c r="A806" s="63" t="s">
        <v>275</v>
      </c>
      <c r="B806" s="63"/>
      <c r="C806" s="49" t="s">
        <v>16</v>
      </c>
      <c r="D806" s="49"/>
      <c r="E806" s="49"/>
      <c r="F806" s="49" t="s">
        <v>2682</v>
      </c>
      <c r="G806" s="64">
        <v>10000000</v>
      </c>
      <c r="H806" s="64"/>
      <c r="I806" s="64"/>
      <c r="J806" s="65">
        <f>IF(G806&gt;0,_xludf.IFS(G806=10000000,800000,G806=20000000,1528000,G806=30000000,2028000,G806=60000000,4056000),"")</f>
      </c>
      <c r="K806" s="64"/>
      <c r="L806" s="66">
        <v>46031</v>
      </c>
      <c r="M806" s="67">
        <f>IF(L806&gt;0,EDATE(L806,-2),"")</f>
        <v>25569.375</v>
      </c>
      <c r="N806" s="49" t="s">
        <v>168</v>
      </c>
      <c r="O806" s="49" t="s">
        <v>2683</v>
      </c>
      <c r="P806" s="68">
        <f>IF(F806&gt;0,F806,"")</f>
      </c>
      <c r="Q806" s="69" t="s">
        <v>2684</v>
      </c>
      <c r="R806" s="69">
        <v>32404004</v>
      </c>
      <c r="S806" s="67">
        <f>IF(ISNUMBER(M806), EDATE(M806,36)-1, "")</f>
        <v>25569.375</v>
      </c>
      <c r="T806" s="49"/>
      <c r="U806" s="49"/>
      <c r="V806" s="63" t="s">
        <v>3341</v>
      </c>
      <c r="W806" s="50"/>
      <c r="X806" s="50"/>
      <c r="Y806" s="56"/>
      <c r="Z806" s="56"/>
      <c r="AA806" s="56"/>
      <c r="AB806" s="56"/>
      <c r="AC806" s="56"/>
      <c r="AD806" s="56"/>
    </row>
    <row x14ac:dyDescent="0.25" r="807" customHeight="1" ht="18.75">
      <c r="A807" s="56"/>
      <c r="B807" s="56"/>
      <c r="C807" s="49" t="s">
        <v>16</v>
      </c>
      <c r="D807" s="50" t="s">
        <v>627</v>
      </c>
      <c r="E807" s="50" t="s">
        <v>373</v>
      </c>
      <c r="F807" s="50" t="s">
        <v>952</v>
      </c>
      <c r="G807" s="51">
        <v>20000000</v>
      </c>
      <c r="H807" s="51"/>
      <c r="I807" s="51"/>
      <c r="J807" s="51">
        <v>800000</v>
      </c>
      <c r="K807" s="51"/>
      <c r="L807" s="52">
        <v>46221</v>
      </c>
      <c r="M807" s="53">
        <v>46162</v>
      </c>
      <c r="N807" s="50" t="s">
        <v>205</v>
      </c>
      <c r="O807" s="50" t="s">
        <v>956</v>
      </c>
      <c r="P807" s="54">
        <f>IF(F807&gt;0,F807,"")</f>
      </c>
      <c r="Q807" s="55" t="s">
        <v>957</v>
      </c>
      <c r="R807" s="55">
        <v>77119650</v>
      </c>
      <c r="S807" s="53">
        <v>47255</v>
      </c>
      <c r="T807" s="50"/>
      <c r="U807" s="50"/>
      <c r="V807" s="56"/>
      <c r="W807" s="50"/>
      <c r="X807" s="50"/>
      <c r="Y807" s="56"/>
      <c r="Z807" s="56"/>
      <c r="AA807" s="56"/>
      <c r="AB807" s="56"/>
      <c r="AC807" s="56"/>
      <c r="AD807" s="56"/>
    </row>
    <row x14ac:dyDescent="0.25" r="808" customHeight="1" ht="18.75">
      <c r="A808" s="56"/>
      <c r="B808" s="56"/>
      <c r="C808" s="50" t="s">
        <v>16</v>
      </c>
      <c r="D808" s="50" t="s">
        <v>55</v>
      </c>
      <c r="E808" s="50" t="s">
        <v>56</v>
      </c>
      <c r="F808" s="50" t="s">
        <v>2592</v>
      </c>
      <c r="G808" s="51">
        <v>10000000</v>
      </c>
      <c r="H808" s="51"/>
      <c r="I808" s="51"/>
      <c r="J808" s="87">
        <f>IF(G808&gt;0,_xludf.IFS(G808=10000000,1200000,G808=20000000,1800000,G808=30000000,2400000,G808=60000000,4000000),"")</f>
      </c>
      <c r="K808" s="51"/>
      <c r="L808" s="52">
        <v>46223</v>
      </c>
      <c r="M808" s="53">
        <f>IF(L808&gt;0,EDATE(L808,-2),"")</f>
        <v>25569.375</v>
      </c>
      <c r="N808" s="50" t="s">
        <v>239</v>
      </c>
      <c r="O808" s="50" t="s">
        <v>2593</v>
      </c>
      <c r="P808" s="54">
        <f>IF(F808&gt;0,F808,"")</f>
      </c>
      <c r="Q808" s="55">
        <v>8211202124212</v>
      </c>
      <c r="R808" s="55">
        <v>25169201</v>
      </c>
      <c r="S808" s="53">
        <f>IF(ISNUMBER(M808), EDATE(M808,36)-1, "")</f>
        <v>25569.375</v>
      </c>
      <c r="T808" s="50"/>
      <c r="U808" s="50"/>
      <c r="V808" s="56"/>
      <c r="W808" s="50"/>
      <c r="X808" s="50"/>
      <c r="Y808" s="56"/>
      <c r="Z808" s="56"/>
      <c r="AA808" s="56"/>
      <c r="AB808" s="56"/>
      <c r="AC808" s="56"/>
      <c r="AD808" s="56"/>
    </row>
    <row x14ac:dyDescent="0.25" r="809" customHeight="1" ht="18.75" hidden="1">
      <c r="A809" s="56"/>
      <c r="B809" s="56"/>
      <c r="C809" s="50" t="s">
        <v>16</v>
      </c>
      <c r="D809" s="50" t="s">
        <v>2693</v>
      </c>
      <c r="E809" s="50" t="s">
        <v>111</v>
      </c>
      <c r="F809" s="50" t="s">
        <v>2694</v>
      </c>
      <c r="G809" s="55">
        <v>10000000</v>
      </c>
      <c r="H809" s="55"/>
      <c r="I809" s="55"/>
      <c r="J809" s="51">
        <v>800000</v>
      </c>
      <c r="K809" s="51"/>
      <c r="L809" s="52">
        <v>46111</v>
      </c>
      <c r="M809" s="53">
        <v>46052</v>
      </c>
      <c r="N809" s="50" t="s">
        <v>570</v>
      </c>
      <c r="O809" s="50" t="s">
        <v>2695</v>
      </c>
      <c r="P809" s="50" t="s">
        <v>2694</v>
      </c>
      <c r="Q809" s="55" t="s">
        <v>2696</v>
      </c>
      <c r="R809" s="55" t="s">
        <v>2697</v>
      </c>
      <c r="S809" s="53">
        <v>47147</v>
      </c>
      <c r="T809" s="50" t="s">
        <v>2698</v>
      </c>
      <c r="U809" s="50" t="s">
        <v>166</v>
      </c>
      <c r="V809" s="56"/>
      <c r="W809" s="50"/>
      <c r="X809" s="50"/>
      <c r="Y809" s="56"/>
      <c r="Z809" s="56"/>
      <c r="AA809" s="56"/>
      <c r="AB809" s="56"/>
      <c r="AC809" s="56"/>
      <c r="AD809" s="56"/>
    </row>
    <row x14ac:dyDescent="0.25" r="810" customHeight="1" ht="18.75" hidden="1">
      <c r="A810" s="48" t="s">
        <v>152</v>
      </c>
      <c r="B810" s="48"/>
      <c r="C810" s="50" t="s">
        <v>16</v>
      </c>
      <c r="D810" s="50"/>
      <c r="E810" s="50"/>
      <c r="F810" s="50" t="s">
        <v>2699</v>
      </c>
      <c r="G810" s="55">
        <v>20000000</v>
      </c>
      <c r="H810" s="55"/>
      <c r="I810" s="55"/>
      <c r="J810" s="51">
        <v>1528000</v>
      </c>
      <c r="K810" s="51"/>
      <c r="L810" s="52">
        <v>45981</v>
      </c>
      <c r="M810" s="53">
        <v>45930</v>
      </c>
      <c r="N810" s="50" t="s">
        <v>306</v>
      </c>
      <c r="O810" s="50" t="s">
        <v>1568</v>
      </c>
      <c r="P810" s="50" t="s">
        <v>2699</v>
      </c>
      <c r="Q810" s="55" t="s">
        <v>2700</v>
      </c>
      <c r="R810" s="55" t="s">
        <v>2701</v>
      </c>
      <c r="S810" s="53">
        <v>47015</v>
      </c>
      <c r="T810" s="50"/>
      <c r="U810" s="50"/>
      <c r="V810" s="56"/>
      <c r="W810" s="50"/>
      <c r="X810" s="50"/>
      <c r="Y810" s="56"/>
      <c r="Z810" s="56"/>
      <c r="AA810" s="56"/>
      <c r="AB810" s="56"/>
      <c r="AC810" s="56"/>
      <c r="AD810" s="56"/>
    </row>
    <row x14ac:dyDescent="0.25" r="811" customHeight="1" ht="18.75">
      <c r="A811" s="56"/>
      <c r="B811" s="56"/>
      <c r="C811" s="50" t="s">
        <v>16</v>
      </c>
      <c r="D811" s="50" t="s">
        <v>153</v>
      </c>
      <c r="E811" s="50" t="s">
        <v>862</v>
      </c>
      <c r="F811" s="50" t="s">
        <v>2898</v>
      </c>
      <c r="G811" s="51">
        <v>10000000</v>
      </c>
      <c r="H811" s="51"/>
      <c r="I811" s="51"/>
      <c r="J811" s="87">
        <f>IF(G811&gt;0,_xludf.IFS(G811=10000000,1200000,G811=20000000,1800000,G811=30000000,2400000,G811=60000000,4000000),"")</f>
      </c>
      <c r="K811" s="51"/>
      <c r="L811" s="52">
        <v>46223</v>
      </c>
      <c r="M811" s="53">
        <f>IF(L811&gt;0,EDATE(L811,-2),"")</f>
        <v>25569.375</v>
      </c>
      <c r="N811" s="50" t="s">
        <v>155</v>
      </c>
      <c r="O811" s="50" t="s">
        <v>2899</v>
      </c>
      <c r="P811" s="54">
        <f>IF(F811&gt;0,F811,"")</f>
      </c>
      <c r="Q811" s="55">
        <v>6904112340612</v>
      </c>
      <c r="R811" s="55">
        <v>23972319</v>
      </c>
      <c r="S811" s="53">
        <f>IF(ISNUMBER(M811), EDATE(M811,36)-1, "")</f>
        <v>25569.375</v>
      </c>
      <c r="T811" s="50"/>
      <c r="U811" s="50"/>
      <c r="V811" s="50"/>
      <c r="W811" s="50"/>
      <c r="X811" s="50"/>
      <c r="Y811" s="56"/>
      <c r="Z811" s="56"/>
      <c r="AA811" s="56"/>
      <c r="AB811" s="56"/>
      <c r="AC811" s="56"/>
      <c r="AD811" s="56"/>
    </row>
    <row x14ac:dyDescent="0.25" r="812" customHeight="1" ht="18.75" hidden="1">
      <c r="A812" s="56"/>
      <c r="B812" s="56"/>
      <c r="C812" s="50" t="s">
        <v>16</v>
      </c>
      <c r="D812" s="50" t="s">
        <v>454</v>
      </c>
      <c r="E812" s="50"/>
      <c r="F812" s="50" t="s">
        <v>2707</v>
      </c>
      <c r="G812" s="55">
        <v>10000000</v>
      </c>
      <c r="H812" s="55"/>
      <c r="I812" s="55"/>
      <c r="J812" s="51">
        <v>800000</v>
      </c>
      <c r="K812" s="51"/>
      <c r="L812" s="52">
        <v>46154</v>
      </c>
      <c r="M812" s="53">
        <v>46093</v>
      </c>
      <c r="N812" s="50" t="s">
        <v>282</v>
      </c>
      <c r="O812" s="50" t="s">
        <v>2708</v>
      </c>
      <c r="P812" s="50" t="s">
        <v>2707</v>
      </c>
      <c r="Q812" s="55" t="s">
        <v>2709</v>
      </c>
      <c r="R812" s="55" t="s">
        <v>2710</v>
      </c>
      <c r="S812" s="53">
        <v>47188</v>
      </c>
      <c r="T812" s="50"/>
      <c r="U812" s="50"/>
      <c r="V812" s="56"/>
      <c r="W812" s="50"/>
      <c r="X812" s="50"/>
      <c r="Y812" s="56"/>
      <c r="Z812" s="56"/>
      <c r="AA812" s="56"/>
      <c r="AB812" s="56"/>
      <c r="AC812" s="56"/>
      <c r="AD812" s="56"/>
    </row>
    <row x14ac:dyDescent="0.25" r="813" customHeight="1" ht="18.75">
      <c r="A813" s="56"/>
      <c r="B813" s="56"/>
      <c r="C813" s="49" t="s">
        <v>16</v>
      </c>
      <c r="D813" s="50" t="s">
        <v>627</v>
      </c>
      <c r="E813" s="50" t="s">
        <v>373</v>
      </c>
      <c r="F813" s="50" t="s">
        <v>742</v>
      </c>
      <c r="G813" s="51">
        <v>30000000</v>
      </c>
      <c r="H813" s="51"/>
      <c r="I813" s="51"/>
      <c r="J813" s="51">
        <v>1200000</v>
      </c>
      <c r="K813" s="51"/>
      <c r="L813" s="52">
        <v>46224</v>
      </c>
      <c r="M813" s="53">
        <f>IF(L813&gt;0,EDATE(L813,-2),"")</f>
        <v>25569.375</v>
      </c>
      <c r="N813" s="50" t="s">
        <v>217</v>
      </c>
      <c r="O813" s="50" t="s">
        <v>743</v>
      </c>
      <c r="P813" s="54">
        <f>IF(F813&gt;0,F813,"")</f>
      </c>
      <c r="Q813" s="55">
        <v>6607192566513</v>
      </c>
      <c r="R813" s="55">
        <v>23399650</v>
      </c>
      <c r="S813" s="53">
        <f>IF(ISNUMBER(M813), EDATE(M813,36)-1, "")</f>
        <v>25569.375</v>
      </c>
      <c r="T813" s="50"/>
      <c r="U813" s="50"/>
      <c r="V813" s="56"/>
      <c r="W813" s="50"/>
      <c r="X813" s="50"/>
      <c r="Y813" s="56"/>
      <c r="Z813" s="56"/>
      <c r="AA813" s="56"/>
      <c r="AB813" s="56"/>
      <c r="AC813" s="56"/>
      <c r="AD813" s="56"/>
    </row>
    <row x14ac:dyDescent="0.25" r="814" customHeight="1" ht="18.75" hidden="1">
      <c r="A814" s="56"/>
      <c r="B814" s="56"/>
      <c r="C814" s="50" t="s">
        <v>16</v>
      </c>
      <c r="D814" s="50" t="s">
        <v>55</v>
      </c>
      <c r="E814" s="50" t="s">
        <v>726</v>
      </c>
      <c r="F814" s="50" t="s">
        <v>2716</v>
      </c>
      <c r="G814" s="55">
        <v>20000000</v>
      </c>
      <c r="H814" s="55"/>
      <c r="I814" s="55"/>
      <c r="J814" s="51">
        <v>1528000</v>
      </c>
      <c r="K814" s="51"/>
      <c r="L814" s="52">
        <v>46173</v>
      </c>
      <c r="M814" s="53">
        <v>46112</v>
      </c>
      <c r="N814" s="50" t="s">
        <v>217</v>
      </c>
      <c r="O814" s="50" t="s">
        <v>802</v>
      </c>
      <c r="P814" s="50" t="s">
        <v>2716</v>
      </c>
      <c r="Q814" s="55" t="s">
        <v>2717</v>
      </c>
      <c r="R814" s="55" t="s">
        <v>804</v>
      </c>
      <c r="S814" s="53">
        <v>47207</v>
      </c>
      <c r="T814" s="50" t="s">
        <v>2718</v>
      </c>
      <c r="U814" s="50" t="s">
        <v>166</v>
      </c>
      <c r="V814" s="56"/>
      <c r="W814" s="50"/>
      <c r="X814" s="50"/>
      <c r="Y814" s="56"/>
      <c r="Z814" s="56"/>
      <c r="AA814" s="56"/>
      <c r="AB814" s="56"/>
      <c r="AC814" s="56"/>
      <c r="AD814" s="56"/>
    </row>
    <row x14ac:dyDescent="0.25" r="815" customHeight="1" ht="18.75" hidden="1">
      <c r="A815" s="48" t="s">
        <v>152</v>
      </c>
      <c r="B815" s="48"/>
      <c r="C815" s="49" t="s">
        <v>16</v>
      </c>
      <c r="D815" s="50" t="s">
        <v>816</v>
      </c>
      <c r="E815" s="50" t="s">
        <v>2203</v>
      </c>
      <c r="F815" s="50" t="s">
        <v>2720</v>
      </c>
      <c r="G815" s="51">
        <v>60000000</v>
      </c>
      <c r="H815" s="51"/>
      <c r="I815" s="51"/>
      <c r="J815" s="87">
        <f>IF(G815&gt;0,_xludf.IFS(G815=10000000,800000,G815=20000000,1528000,G815=30000000,2028000,G815=60000000,4056000),"")</f>
      </c>
      <c r="K815" s="51"/>
      <c r="L815" s="52">
        <v>46161</v>
      </c>
      <c r="M815" s="53">
        <f>IF(L815&gt;0,EDATE(L815,-2),"")</f>
        <v>25569.375</v>
      </c>
      <c r="N815" s="50" t="s">
        <v>212</v>
      </c>
      <c r="O815" s="50" t="s">
        <v>2721</v>
      </c>
      <c r="P815" s="54">
        <f>IF(F815&gt;0,F815,"")</f>
      </c>
      <c r="Q815" s="55" t="s">
        <v>2722</v>
      </c>
      <c r="R815" s="55">
        <v>50637844</v>
      </c>
      <c r="S815" s="53">
        <f>IF(ISNUMBER(M815), EDATE(M815,36)-1, "")</f>
        <v>25569.375</v>
      </c>
      <c r="T815" s="50"/>
      <c r="U815" s="50"/>
      <c r="V815" s="48" t="s">
        <v>3342</v>
      </c>
      <c r="W815" s="50"/>
      <c r="X815" s="50"/>
      <c r="Y815" s="56"/>
      <c r="Z815" s="56"/>
      <c r="AA815" s="56"/>
      <c r="AB815" s="56"/>
      <c r="AC815" s="56"/>
      <c r="AD815" s="56"/>
    </row>
    <row x14ac:dyDescent="0.25" r="816" customHeight="1" ht="18.75">
      <c r="A816" s="56"/>
      <c r="B816" s="56"/>
      <c r="C816" s="50" t="s">
        <v>16</v>
      </c>
      <c r="D816" s="50" t="s">
        <v>143</v>
      </c>
      <c r="E816" s="50" t="s">
        <v>14</v>
      </c>
      <c r="F816" s="50" t="s">
        <v>1214</v>
      </c>
      <c r="G816" s="51">
        <v>10000000</v>
      </c>
      <c r="H816" s="51"/>
      <c r="I816" s="51"/>
      <c r="J816" s="87">
        <f>IF(G816&gt;0,_xludf.IFS(G816=10000000,1200000,G816=20000000,1800000,G816=30000000,2400000,G816=60000000,4000000),"")</f>
      </c>
      <c r="K816" s="51"/>
      <c r="L816" s="52">
        <v>46224</v>
      </c>
      <c r="M816" s="53">
        <f>IF(L816&gt;0,EDATE(L816,-2),"")</f>
        <v>25569.375</v>
      </c>
      <c r="N816" s="50" t="s">
        <v>155</v>
      </c>
      <c r="O816" s="50" t="s">
        <v>1215</v>
      </c>
      <c r="P816" s="54">
        <f>IF(F816&gt;0,F816,"")</f>
      </c>
      <c r="Q816" s="55">
        <v>7108241815212</v>
      </c>
      <c r="R816" s="55">
        <v>39949774</v>
      </c>
      <c r="S816" s="53">
        <f>IF(ISNUMBER(M816), EDATE(M816,36)-1, "")</f>
        <v>25569.375</v>
      </c>
      <c r="T816" s="50"/>
      <c r="U816" s="50"/>
      <c r="V816" s="56" t="s">
        <v>3343</v>
      </c>
      <c r="W816" s="50"/>
      <c r="X816" s="50"/>
      <c r="Y816" s="56"/>
      <c r="Z816" s="56"/>
      <c r="AA816" s="56"/>
      <c r="AB816" s="56"/>
      <c r="AC816" s="56"/>
      <c r="AD816" s="56"/>
    </row>
    <row x14ac:dyDescent="0.25" r="817" customHeight="1" ht="18.75" hidden="1">
      <c r="A817" s="56"/>
      <c r="B817" s="56"/>
      <c r="C817" s="50" t="s">
        <v>16</v>
      </c>
      <c r="D817" s="50"/>
      <c r="E817" s="50"/>
      <c r="F817" s="50" t="s">
        <v>2729</v>
      </c>
      <c r="G817" s="51">
        <v>10000000</v>
      </c>
      <c r="H817" s="51"/>
      <c r="I817" s="51"/>
      <c r="J817" s="51">
        <v>800000</v>
      </c>
      <c r="K817" s="51"/>
      <c r="L817" s="52">
        <v>46081</v>
      </c>
      <c r="M817" s="53">
        <v>46022</v>
      </c>
      <c r="N817" s="50" t="s">
        <v>1487</v>
      </c>
      <c r="O817" s="50" t="s">
        <v>2730</v>
      </c>
      <c r="P817" s="54">
        <f>IF(F817&gt;0,F817,"")</f>
      </c>
      <c r="Q817" s="55">
        <v>7502272247824</v>
      </c>
      <c r="R817" s="55">
        <v>33495943</v>
      </c>
      <c r="S817" s="53">
        <f>IF(ISNUMBER(M817), EDATE(M817,36)-1, "")</f>
        <v>25569.375</v>
      </c>
      <c r="T817" s="50"/>
      <c r="U817" s="50"/>
      <c r="V817" s="56"/>
      <c r="W817" s="50"/>
      <c r="X817" s="50"/>
      <c r="Y817" s="56"/>
      <c r="Z817" s="56"/>
      <c r="AA817" s="56"/>
      <c r="AB817" s="56"/>
      <c r="AC817" s="56"/>
      <c r="AD817" s="56"/>
    </row>
    <row x14ac:dyDescent="0.25" r="818" customHeight="1" ht="18.75" hidden="1">
      <c r="A818" s="56"/>
      <c r="B818" s="56"/>
      <c r="C818" s="50" t="s">
        <v>16</v>
      </c>
      <c r="D818" s="50"/>
      <c r="E818" s="50"/>
      <c r="F818" s="50" t="s">
        <v>2731</v>
      </c>
      <c r="G818" s="55">
        <v>10000000</v>
      </c>
      <c r="H818" s="55"/>
      <c r="I818" s="55"/>
      <c r="J818" s="51">
        <v>800000</v>
      </c>
      <c r="K818" s="51"/>
      <c r="L818" s="52">
        <v>46094</v>
      </c>
      <c r="M818" s="53">
        <v>46035</v>
      </c>
      <c r="N818" s="50" t="s">
        <v>940</v>
      </c>
      <c r="O818" s="50" t="s">
        <v>2732</v>
      </c>
      <c r="P818" s="50" t="s">
        <v>2731</v>
      </c>
      <c r="Q818" s="55" t="s">
        <v>2733</v>
      </c>
      <c r="R818" s="55" t="s">
        <v>2734</v>
      </c>
      <c r="S818" s="53">
        <v>47130</v>
      </c>
      <c r="T818" s="50"/>
      <c r="U818" s="50" t="s">
        <v>166</v>
      </c>
      <c r="V818" s="56"/>
      <c r="W818" s="50"/>
      <c r="X818" s="50"/>
      <c r="Y818" s="56"/>
      <c r="Z818" s="56"/>
      <c r="AA818" s="56"/>
      <c r="AB818" s="56"/>
      <c r="AC818" s="56"/>
      <c r="AD818" s="56"/>
    </row>
    <row x14ac:dyDescent="0.25" r="819" customHeight="1" ht="18.75" hidden="1">
      <c r="A819" s="56"/>
      <c r="B819" s="56"/>
      <c r="C819" s="50" t="s">
        <v>16</v>
      </c>
      <c r="D819" s="50"/>
      <c r="E819" s="50"/>
      <c r="F819" s="50" t="s">
        <v>2735</v>
      </c>
      <c r="G819" s="55">
        <v>30000000</v>
      </c>
      <c r="H819" s="55"/>
      <c r="I819" s="55"/>
      <c r="J819" s="51">
        <v>2400000</v>
      </c>
      <c r="K819" s="51"/>
      <c r="L819" s="52">
        <v>45869</v>
      </c>
      <c r="M819" s="53">
        <v>45808</v>
      </c>
      <c r="N819" s="50" t="s">
        <v>212</v>
      </c>
      <c r="O819" s="50" t="s">
        <v>2736</v>
      </c>
      <c r="P819" s="50" t="s">
        <v>2735</v>
      </c>
      <c r="Q819" s="55" t="s">
        <v>2737</v>
      </c>
      <c r="R819" s="55" t="s">
        <v>2738</v>
      </c>
      <c r="S819" s="53">
        <v>46903</v>
      </c>
      <c r="T819" s="50"/>
      <c r="U819" s="50"/>
      <c r="V819" s="56"/>
      <c r="W819" s="50"/>
      <c r="X819" s="50"/>
      <c r="Y819" s="56"/>
      <c r="Z819" s="56"/>
      <c r="AA819" s="56"/>
      <c r="AB819" s="56"/>
      <c r="AC819" s="56"/>
      <c r="AD819" s="56"/>
    </row>
    <row x14ac:dyDescent="0.25" r="820" customHeight="1" ht="18.75" hidden="1">
      <c r="A820" s="56"/>
      <c r="B820" s="56"/>
      <c r="C820" s="50" t="s">
        <v>16</v>
      </c>
      <c r="D820" s="50"/>
      <c r="E820" s="50"/>
      <c r="F820" s="50" t="s">
        <v>2735</v>
      </c>
      <c r="G820" s="55">
        <v>30000000</v>
      </c>
      <c r="H820" s="55"/>
      <c r="I820" s="55"/>
      <c r="J820" s="51">
        <v>2400000</v>
      </c>
      <c r="K820" s="51"/>
      <c r="L820" s="52">
        <v>45879</v>
      </c>
      <c r="M820" s="53">
        <v>45818</v>
      </c>
      <c r="N820" s="50" t="s">
        <v>212</v>
      </c>
      <c r="O820" s="50" t="s">
        <v>2736</v>
      </c>
      <c r="P820" s="50" t="s">
        <v>2735</v>
      </c>
      <c r="Q820" s="55" t="s">
        <v>2737</v>
      </c>
      <c r="R820" s="55" t="s">
        <v>2738</v>
      </c>
      <c r="S820" s="53">
        <v>46913</v>
      </c>
      <c r="T820" s="50"/>
      <c r="U820" s="50"/>
      <c r="V820" s="56"/>
      <c r="W820" s="50"/>
      <c r="X820" s="50"/>
      <c r="Y820" s="56"/>
      <c r="Z820" s="56"/>
      <c r="AA820" s="56"/>
      <c r="AB820" s="56"/>
      <c r="AC820" s="56"/>
      <c r="AD820" s="56"/>
    </row>
    <row x14ac:dyDescent="0.25" r="821" customHeight="1" ht="18.75" hidden="1">
      <c r="A821" s="56"/>
      <c r="B821" s="56"/>
      <c r="C821" s="50" t="s">
        <v>16</v>
      </c>
      <c r="D821" s="50"/>
      <c r="E821" s="50"/>
      <c r="F821" s="50" t="s">
        <v>2739</v>
      </c>
      <c r="G821" s="55">
        <v>10000000</v>
      </c>
      <c r="H821" s="55"/>
      <c r="I821" s="55"/>
      <c r="J821" s="51">
        <v>800000</v>
      </c>
      <c r="K821" s="51"/>
      <c r="L821" s="52">
        <v>45887</v>
      </c>
      <c r="M821" s="53">
        <v>45835</v>
      </c>
      <c r="N821" s="50" t="s">
        <v>212</v>
      </c>
      <c r="O821" s="50" t="s">
        <v>2740</v>
      </c>
      <c r="P821" s="50" t="s">
        <v>2739</v>
      </c>
      <c r="Q821" s="55" t="s">
        <v>2741</v>
      </c>
      <c r="R821" s="55" t="s">
        <v>1542</v>
      </c>
      <c r="S821" s="53">
        <v>46921</v>
      </c>
      <c r="T821" s="50"/>
      <c r="U821" s="50"/>
      <c r="V821" s="56"/>
      <c r="W821" s="50"/>
      <c r="X821" s="50"/>
      <c r="Y821" s="56"/>
      <c r="Z821" s="56"/>
      <c r="AA821" s="56"/>
      <c r="AB821" s="56"/>
      <c r="AC821" s="56"/>
      <c r="AD821" s="56"/>
    </row>
    <row x14ac:dyDescent="0.25" r="822" customHeight="1" ht="18.75" hidden="1">
      <c r="A822" s="56"/>
      <c r="B822" s="56"/>
      <c r="C822" s="50" t="s">
        <v>16</v>
      </c>
      <c r="D822" s="50"/>
      <c r="E822" s="50"/>
      <c r="F822" s="50" t="s">
        <v>2739</v>
      </c>
      <c r="G822" s="55">
        <v>60000000</v>
      </c>
      <c r="H822" s="55"/>
      <c r="I822" s="55"/>
      <c r="J822" s="51">
        <v>3000000</v>
      </c>
      <c r="K822" s="51"/>
      <c r="L822" s="52" t="s">
        <v>2743</v>
      </c>
      <c r="M822" s="53">
        <v>45848</v>
      </c>
      <c r="N822" s="50" t="s">
        <v>306</v>
      </c>
      <c r="O822" s="50" t="s">
        <v>2744</v>
      </c>
      <c r="P822" s="50" t="s">
        <v>2739</v>
      </c>
      <c r="Q822" s="55" t="s">
        <v>2741</v>
      </c>
      <c r="R822" s="55" t="s">
        <v>1542</v>
      </c>
      <c r="S822" s="53">
        <v>46943</v>
      </c>
      <c r="T822" s="50"/>
      <c r="U822" s="50"/>
      <c r="V822" s="56"/>
      <c r="W822" s="50"/>
      <c r="X822" s="50"/>
      <c r="Y822" s="56"/>
      <c r="Z822" s="56"/>
      <c r="AA822" s="56"/>
      <c r="AB822" s="56"/>
      <c r="AC822" s="56"/>
      <c r="AD822" s="56"/>
    </row>
    <row x14ac:dyDescent="0.25" r="823" customHeight="1" ht="18.75" hidden="1">
      <c r="A823" s="56"/>
      <c r="B823" s="56"/>
      <c r="C823" s="50" t="s">
        <v>16</v>
      </c>
      <c r="D823" s="50"/>
      <c r="E823" s="50"/>
      <c r="F823" s="50" t="s">
        <v>2745</v>
      </c>
      <c r="G823" s="55">
        <v>10000000</v>
      </c>
      <c r="H823" s="55"/>
      <c r="I823" s="55"/>
      <c r="J823" s="51">
        <v>800000</v>
      </c>
      <c r="K823" s="51"/>
      <c r="L823" s="52">
        <v>45993</v>
      </c>
      <c r="M823" s="53">
        <v>45932</v>
      </c>
      <c r="N823" s="50" t="s">
        <v>306</v>
      </c>
      <c r="O823" s="50" t="s">
        <v>2746</v>
      </c>
      <c r="P823" s="50" t="s">
        <v>2745</v>
      </c>
      <c r="Q823" s="55" t="s">
        <v>2747</v>
      </c>
      <c r="R823" s="55" t="s">
        <v>2748</v>
      </c>
      <c r="S823" s="53">
        <v>47027</v>
      </c>
      <c r="T823" s="50"/>
      <c r="U823" s="50"/>
      <c r="V823" s="56"/>
      <c r="W823" s="50"/>
      <c r="X823" s="50"/>
      <c r="Y823" s="56"/>
      <c r="Z823" s="56"/>
      <c r="AA823" s="56"/>
      <c r="AB823" s="56"/>
      <c r="AC823" s="56"/>
      <c r="AD823" s="56"/>
    </row>
    <row x14ac:dyDescent="0.25" r="824" customHeight="1" ht="18.75" hidden="1">
      <c r="A824" s="71"/>
      <c r="B824" s="71"/>
      <c r="C824" s="72" t="s">
        <v>16</v>
      </c>
      <c r="D824" s="72"/>
      <c r="E824" s="72" t="s">
        <v>97</v>
      </c>
      <c r="F824" s="72" t="s">
        <v>2749</v>
      </c>
      <c r="G824" s="73">
        <v>10000000</v>
      </c>
      <c r="H824" s="73"/>
      <c r="I824" s="73"/>
      <c r="J824" s="88"/>
      <c r="K824" s="88"/>
      <c r="L824" s="75">
        <v>46137</v>
      </c>
      <c r="M824" s="76">
        <v>46078</v>
      </c>
      <c r="N824" s="72" t="s">
        <v>212</v>
      </c>
      <c r="O824" s="72" t="s">
        <v>2750</v>
      </c>
      <c r="P824" s="72" t="s">
        <v>2749</v>
      </c>
      <c r="Q824" s="73" t="s">
        <v>2751</v>
      </c>
      <c r="R824" s="73" t="s">
        <v>2752</v>
      </c>
      <c r="S824" s="76">
        <v>47173</v>
      </c>
      <c r="T824" s="72" t="s">
        <v>2753</v>
      </c>
      <c r="U824" s="72" t="s">
        <v>166</v>
      </c>
      <c r="V824" s="71"/>
      <c r="W824" s="50"/>
      <c r="X824" s="50"/>
      <c r="Y824" s="56"/>
      <c r="Z824" s="56"/>
      <c r="AA824" s="56"/>
      <c r="AB824" s="56"/>
      <c r="AC824" s="56"/>
      <c r="AD824" s="56"/>
    </row>
    <row x14ac:dyDescent="0.25" r="825" customHeight="1" ht="18.75" hidden="1">
      <c r="A825" s="56"/>
      <c r="B825" s="56"/>
      <c r="C825" s="50" t="s">
        <v>16</v>
      </c>
      <c r="D825" s="50"/>
      <c r="E825" s="50" t="s">
        <v>574</v>
      </c>
      <c r="F825" s="50" t="s">
        <v>2754</v>
      </c>
      <c r="G825" s="55">
        <v>10000000</v>
      </c>
      <c r="H825" s="55"/>
      <c r="I825" s="55"/>
      <c r="J825" s="51">
        <v>500000</v>
      </c>
      <c r="K825" s="51"/>
      <c r="L825" s="52">
        <v>46123</v>
      </c>
      <c r="M825" s="53">
        <v>46064</v>
      </c>
      <c r="N825" s="50" t="s">
        <v>155</v>
      </c>
      <c r="O825" s="50" t="s">
        <v>789</v>
      </c>
      <c r="P825" s="50" t="s">
        <v>2754</v>
      </c>
      <c r="Q825" s="55" t="s">
        <v>2755</v>
      </c>
      <c r="R825" s="55" t="s">
        <v>2756</v>
      </c>
      <c r="S825" s="53">
        <v>47159</v>
      </c>
      <c r="T825" s="50" t="s">
        <v>2757</v>
      </c>
      <c r="U825" s="50" t="s">
        <v>166</v>
      </c>
      <c r="V825" s="56"/>
      <c r="W825" s="50"/>
      <c r="X825" s="50"/>
      <c r="Y825" s="56"/>
      <c r="Z825" s="56"/>
      <c r="AA825" s="56"/>
      <c r="AB825" s="56"/>
      <c r="AC825" s="56"/>
      <c r="AD825" s="56"/>
    </row>
    <row x14ac:dyDescent="0.25" r="826" customHeight="1" ht="18.75" hidden="1">
      <c r="A826" s="56"/>
      <c r="B826" s="56"/>
      <c r="C826" s="50" t="s">
        <v>16</v>
      </c>
      <c r="D826" s="50"/>
      <c r="E826" s="50" t="s">
        <v>574</v>
      </c>
      <c r="F826" s="50" t="s">
        <v>2758</v>
      </c>
      <c r="G826" s="55">
        <v>10000000</v>
      </c>
      <c r="H826" s="55"/>
      <c r="I826" s="55"/>
      <c r="J826" s="51">
        <v>500000</v>
      </c>
      <c r="K826" s="51"/>
      <c r="L826" s="52">
        <v>46123</v>
      </c>
      <c r="M826" s="53">
        <v>46064</v>
      </c>
      <c r="N826" s="50" t="s">
        <v>155</v>
      </c>
      <c r="O826" s="50" t="s">
        <v>789</v>
      </c>
      <c r="P826" s="50" t="s">
        <v>2758</v>
      </c>
      <c r="Q826" s="55" t="s">
        <v>2759</v>
      </c>
      <c r="R826" s="55" t="s">
        <v>2760</v>
      </c>
      <c r="S826" s="53">
        <v>47159</v>
      </c>
      <c r="T826" s="50" t="s">
        <v>2761</v>
      </c>
      <c r="U826" s="50" t="s">
        <v>166</v>
      </c>
      <c r="V826" s="56"/>
      <c r="W826" s="50"/>
      <c r="X826" s="50"/>
      <c r="Y826" s="56"/>
      <c r="Z826" s="56"/>
      <c r="AA826" s="56"/>
      <c r="AB826" s="56"/>
      <c r="AC826" s="56"/>
      <c r="AD826" s="56"/>
    </row>
    <row x14ac:dyDescent="0.25" r="827" customHeight="1" ht="18.75" hidden="1">
      <c r="A827" s="56"/>
      <c r="B827" s="56"/>
      <c r="C827" s="50" t="s">
        <v>16</v>
      </c>
      <c r="D827" s="50"/>
      <c r="E827" s="50" t="s">
        <v>1121</v>
      </c>
      <c r="F827" s="50" t="s">
        <v>2762</v>
      </c>
      <c r="G827" s="55">
        <v>10000000</v>
      </c>
      <c r="H827" s="55"/>
      <c r="I827" s="55"/>
      <c r="J827" s="51">
        <v>800000</v>
      </c>
      <c r="K827" s="51"/>
      <c r="L827" s="52">
        <v>46139</v>
      </c>
      <c r="M827" s="53">
        <v>46080</v>
      </c>
      <c r="N827" s="50" t="s">
        <v>182</v>
      </c>
      <c r="O827" s="50" t="s">
        <v>2763</v>
      </c>
      <c r="P827" s="50" t="s">
        <v>2762</v>
      </c>
      <c r="Q827" s="55" t="s">
        <v>2764</v>
      </c>
      <c r="R827" s="55" t="s">
        <v>2765</v>
      </c>
      <c r="S827" s="53">
        <v>47175</v>
      </c>
      <c r="T827" s="50" t="s">
        <v>2766</v>
      </c>
      <c r="U827" s="50" t="s">
        <v>166</v>
      </c>
      <c r="V827" s="56"/>
      <c r="W827" s="50"/>
      <c r="X827" s="50"/>
      <c r="Y827" s="56"/>
      <c r="Z827" s="56"/>
      <c r="AA827" s="56"/>
      <c r="AB827" s="56"/>
      <c r="AC827" s="56"/>
      <c r="AD827" s="56"/>
    </row>
    <row x14ac:dyDescent="0.25" r="828" customHeight="1" ht="18.75">
      <c r="A828" s="56"/>
      <c r="B828" s="56"/>
      <c r="C828" s="50" t="s">
        <v>16</v>
      </c>
      <c r="D828" s="50" t="s">
        <v>153</v>
      </c>
      <c r="E828" s="50" t="s">
        <v>318</v>
      </c>
      <c r="F828" s="50" t="s">
        <v>1968</v>
      </c>
      <c r="G828" s="51">
        <v>30000000</v>
      </c>
      <c r="H828" s="51"/>
      <c r="I828" s="51"/>
      <c r="J828" s="87">
        <f>IF(G828&gt;0,_xludf.IFS(G828=10000000,1200000,G828=20000000,1800000,G828=30000000,2400000,G828=60000000,4000000),"")</f>
      </c>
      <c r="K828" s="51"/>
      <c r="L828" s="52">
        <v>46224</v>
      </c>
      <c r="M828" s="53">
        <f>IF(L828&gt;0,EDATE(L828,-2),"")</f>
        <v>25569.375</v>
      </c>
      <c r="N828" s="50" t="s">
        <v>234</v>
      </c>
      <c r="O828" s="50" t="s">
        <v>1969</v>
      </c>
      <c r="P828" s="54">
        <f>IF(F828&gt;0,F828,"")</f>
      </c>
      <c r="Q828" s="55" t="s">
        <v>1970</v>
      </c>
      <c r="R828" s="55">
        <v>57503377</v>
      </c>
      <c r="S828" s="53">
        <f>IF(ISNUMBER(M828), EDATE(M828,36)-1, "")</f>
        <v>25569.375</v>
      </c>
      <c r="T828" s="50"/>
      <c r="U828" s="50"/>
      <c r="V828" s="50"/>
      <c r="W828" s="50"/>
      <c r="X828" s="50"/>
      <c r="Y828" s="56"/>
      <c r="Z828" s="56"/>
      <c r="AA828" s="56"/>
      <c r="AB828" s="56"/>
      <c r="AC828" s="56"/>
      <c r="AD828" s="56"/>
    </row>
    <row x14ac:dyDescent="0.25" r="829" customHeight="1" ht="18.75" hidden="1">
      <c r="A829" s="56"/>
      <c r="B829" s="56"/>
      <c r="C829" s="50" t="s">
        <v>16</v>
      </c>
      <c r="D829" s="50"/>
      <c r="E829" s="50" t="s">
        <v>1547</v>
      </c>
      <c r="F829" s="50" t="s">
        <v>2770</v>
      </c>
      <c r="G829" s="55">
        <v>10000000</v>
      </c>
      <c r="H829" s="55"/>
      <c r="I829" s="55"/>
      <c r="J829" s="51">
        <v>800000</v>
      </c>
      <c r="K829" s="51"/>
      <c r="L829" s="52">
        <v>46126</v>
      </c>
      <c r="M829" s="53">
        <v>46067</v>
      </c>
      <c r="N829" s="50" t="s">
        <v>234</v>
      </c>
      <c r="O829" s="50" t="s">
        <v>2771</v>
      </c>
      <c r="P829" s="50" t="s">
        <v>2770</v>
      </c>
      <c r="Q829" s="55" t="s">
        <v>2772</v>
      </c>
      <c r="R829" s="55" t="s">
        <v>2773</v>
      </c>
      <c r="S829" s="53">
        <v>47162</v>
      </c>
      <c r="T829" s="50" t="s">
        <v>2774</v>
      </c>
      <c r="U829" s="50" t="s">
        <v>151</v>
      </c>
      <c r="V829" s="56"/>
      <c r="W829" s="50"/>
      <c r="X829" s="50"/>
      <c r="Y829" s="56"/>
      <c r="Z829" s="56"/>
      <c r="AA829" s="56"/>
      <c r="AB829" s="56"/>
      <c r="AC829" s="56"/>
      <c r="AD829" s="56"/>
    </row>
    <row x14ac:dyDescent="0.25" r="830" customHeight="1" ht="18.75">
      <c r="A830" s="56"/>
      <c r="B830" s="56"/>
      <c r="C830" s="50" t="s">
        <v>16</v>
      </c>
      <c r="D830" s="50" t="s">
        <v>55</v>
      </c>
      <c r="E830" s="50" t="s">
        <v>726</v>
      </c>
      <c r="F830" s="50" t="s">
        <v>2784</v>
      </c>
      <c r="G830" s="51">
        <v>30000000</v>
      </c>
      <c r="H830" s="51"/>
      <c r="I830" s="51"/>
      <c r="J830" s="87">
        <f>IF(G830&gt;0,_xludf.IFS(G830=10000000,1200000,G830=20000000,1800000,G830=30000000,2400000,G830=60000000,4000000),"")</f>
      </c>
      <c r="K830" s="51"/>
      <c r="L830" s="52">
        <v>46228</v>
      </c>
      <c r="M830" s="53">
        <v>46163</v>
      </c>
      <c r="N830" s="50" t="s">
        <v>580</v>
      </c>
      <c r="O830" s="50" t="s">
        <v>2785</v>
      </c>
      <c r="P830" s="54">
        <f>IF(F830&gt;0,F830,"")</f>
      </c>
      <c r="Q830" s="55">
        <v>9804211185030</v>
      </c>
      <c r="R830" s="55">
        <v>90540583</v>
      </c>
      <c r="S830" s="53">
        <f>IF(ISNUMBER(M830), EDATE(M830,36)-1, "")</f>
        <v>25569.375</v>
      </c>
      <c r="T830" s="50"/>
      <c r="U830" s="50"/>
      <c r="V830" s="56"/>
      <c r="W830" s="50"/>
      <c r="X830" s="50"/>
      <c r="Y830" s="56"/>
      <c r="Z830" s="56"/>
      <c r="AA830" s="56"/>
      <c r="AB830" s="56"/>
      <c r="AC830" s="56"/>
      <c r="AD830" s="56"/>
    </row>
    <row x14ac:dyDescent="0.25" r="831" customHeight="1" ht="18.75" hidden="1">
      <c r="A831" s="56"/>
      <c r="B831" s="56"/>
      <c r="C831" s="50" t="s">
        <v>16</v>
      </c>
      <c r="D831" s="50"/>
      <c r="E831" s="50"/>
      <c r="F831" s="50" t="s">
        <v>2778</v>
      </c>
      <c r="G831" s="55">
        <v>30000000</v>
      </c>
      <c r="H831" s="55"/>
      <c r="I831" s="55"/>
      <c r="J831" s="51">
        <v>2028000</v>
      </c>
      <c r="K831" s="51"/>
      <c r="L831" s="52">
        <v>46107</v>
      </c>
      <c r="M831" s="53">
        <v>46048</v>
      </c>
      <c r="N831" s="50" t="s">
        <v>155</v>
      </c>
      <c r="O831" s="50" t="s">
        <v>2779</v>
      </c>
      <c r="P831" s="50" t="s">
        <v>2778</v>
      </c>
      <c r="Q831" s="55" t="s">
        <v>2780</v>
      </c>
      <c r="R831" s="55" t="s">
        <v>2781</v>
      </c>
      <c r="S831" s="53">
        <v>47143</v>
      </c>
      <c r="T831" s="50" t="s">
        <v>2782</v>
      </c>
      <c r="U831" s="50" t="s">
        <v>2783</v>
      </c>
      <c r="V831" s="56"/>
      <c r="W831" s="50"/>
      <c r="X831" s="50"/>
      <c r="Y831" s="56"/>
      <c r="Z831" s="56"/>
      <c r="AA831" s="56"/>
      <c r="AB831" s="56"/>
      <c r="AC831" s="56"/>
      <c r="AD831" s="56"/>
    </row>
    <row x14ac:dyDescent="0.25" r="832" customHeight="1" ht="18.75">
      <c r="A832" s="56"/>
      <c r="B832" s="56"/>
      <c r="C832" s="50" t="s">
        <v>16</v>
      </c>
      <c r="D832" s="50" t="s">
        <v>454</v>
      </c>
      <c r="E832" s="50" t="s">
        <v>647</v>
      </c>
      <c r="F832" s="50" t="s">
        <v>3344</v>
      </c>
      <c r="G832" s="51">
        <v>10000000</v>
      </c>
      <c r="H832" s="51"/>
      <c r="I832" s="51"/>
      <c r="J832" s="87">
        <f>IF(G832&gt;0,_xludf.IFS(G832=10000000,1200000,G832=20000000,1800000,G832=30000000,2400000,G832=60000000,4000000),"")</f>
      </c>
      <c r="K832" s="51"/>
      <c r="L832" s="52">
        <v>46225</v>
      </c>
      <c r="M832" s="53">
        <f>IF(L832&gt;0,EDATE(L832,-2),"")</f>
        <v>25569.375</v>
      </c>
      <c r="N832" s="50" t="s">
        <v>168</v>
      </c>
      <c r="O832" s="50" t="s">
        <v>3345</v>
      </c>
      <c r="P832" s="54">
        <f>IF(F832&gt;0,F832,"")</f>
      </c>
      <c r="Q832" s="55">
        <v>6207241380111</v>
      </c>
      <c r="R832" s="55">
        <v>22078178</v>
      </c>
      <c r="S832" s="53">
        <f>IF(ISNUMBER(M832), EDATE(M832,36)-1, "")</f>
        <v>25569.375</v>
      </c>
      <c r="T832" s="50"/>
      <c r="U832" s="50"/>
      <c r="V832" s="56"/>
      <c r="W832" s="50"/>
      <c r="X832" s="50"/>
      <c r="Y832" s="56"/>
      <c r="Z832" s="56"/>
      <c r="AA832" s="56"/>
      <c r="AB832" s="56"/>
      <c r="AC832" s="56"/>
      <c r="AD832" s="56"/>
    </row>
    <row x14ac:dyDescent="0.25" r="833" customHeight="1" ht="18.75">
      <c r="A833" s="56"/>
      <c r="B833" s="56"/>
      <c r="C833" s="50" t="s">
        <v>16</v>
      </c>
      <c r="D833" s="50" t="s">
        <v>143</v>
      </c>
      <c r="E833" s="50" t="s">
        <v>14</v>
      </c>
      <c r="F833" s="50" t="s">
        <v>2034</v>
      </c>
      <c r="G833" s="51">
        <v>10000000</v>
      </c>
      <c r="H833" s="51"/>
      <c r="I833" s="51"/>
      <c r="J833" s="87">
        <f>IF(G833&gt;0,_xludf.IFS(G833=10000000,1200000,G833=20000000,1800000,G833=30000000,2400000,G833=60000000,4000000),"")</f>
      </c>
      <c r="K833" s="51"/>
      <c r="L833" s="52">
        <v>46228</v>
      </c>
      <c r="M833" s="53">
        <f>IF(L833&gt;0,EDATE(L833,-2),"")</f>
        <v>25569.375</v>
      </c>
      <c r="N833" s="50" t="s">
        <v>155</v>
      </c>
      <c r="O833" s="50" t="s">
        <v>2035</v>
      </c>
      <c r="P833" s="54">
        <f>IF(F833&gt;0,F833,"")</f>
      </c>
      <c r="Q833" s="55">
        <v>5308161466311</v>
      </c>
      <c r="R833" s="55">
        <v>40770600</v>
      </c>
      <c r="S833" s="53">
        <f>IF(ISNUMBER(M833), EDATE(M833,36)-1, "")</f>
        <v>25569.375</v>
      </c>
      <c r="T833" s="50"/>
      <c r="U833" s="50"/>
      <c r="V833" s="50"/>
      <c r="W833" s="50"/>
      <c r="X833" s="50"/>
      <c r="Y833" s="56"/>
      <c r="Z833" s="56"/>
      <c r="AA833" s="56"/>
      <c r="AB833" s="56"/>
      <c r="AC833" s="56"/>
      <c r="AD833" s="56"/>
    </row>
    <row x14ac:dyDescent="0.25" r="834" customHeight="1" ht="18.75" hidden="1">
      <c r="A834" s="63" t="s">
        <v>152</v>
      </c>
      <c r="B834" s="63"/>
      <c r="C834" s="49" t="s">
        <v>16</v>
      </c>
      <c r="D834" s="49" t="s">
        <v>153</v>
      </c>
      <c r="E834" s="49" t="s">
        <v>318</v>
      </c>
      <c r="F834" s="49" t="s">
        <v>2786</v>
      </c>
      <c r="G834" s="64">
        <v>10000000</v>
      </c>
      <c r="H834" s="64"/>
      <c r="I834" s="64"/>
      <c r="J834" s="64">
        <v>800000</v>
      </c>
      <c r="K834" s="64"/>
      <c r="L834" s="66">
        <v>46152</v>
      </c>
      <c r="M834" s="67">
        <f>IF(L834&gt;0,EDATE(L834,-2),"")</f>
        <v>25569.375</v>
      </c>
      <c r="N834" s="49" t="s">
        <v>217</v>
      </c>
      <c r="O834" s="49" t="s">
        <v>2787</v>
      </c>
      <c r="P834" s="68">
        <f>IF(F834&gt;0,F834,"")</f>
      </c>
      <c r="Q834" s="69" t="s">
        <v>2788</v>
      </c>
      <c r="R834" s="69">
        <v>75422510</v>
      </c>
      <c r="S834" s="67">
        <f>IF(ISNUMBER(M834), EDATE(M834,36)-1, "")</f>
        <v>25569.375</v>
      </c>
      <c r="T834" s="49"/>
      <c r="U834" s="49"/>
      <c r="V834" s="63" t="s">
        <v>2789</v>
      </c>
      <c r="W834" s="50"/>
      <c r="X834" s="50"/>
      <c r="Y834" s="56"/>
      <c r="Z834" s="56"/>
      <c r="AA834" s="56"/>
      <c r="AB834" s="56"/>
      <c r="AC834" s="56"/>
      <c r="AD834" s="56"/>
    </row>
    <row x14ac:dyDescent="0.25" r="835" customHeight="1" ht="18.75">
      <c r="A835" s="56"/>
      <c r="B835" s="56"/>
      <c r="C835" s="50" t="s">
        <v>16</v>
      </c>
      <c r="D835" s="50" t="s">
        <v>454</v>
      </c>
      <c r="E835" s="50" t="s">
        <v>647</v>
      </c>
      <c r="F835" s="50" t="s">
        <v>2082</v>
      </c>
      <c r="G835" s="51">
        <v>20000000</v>
      </c>
      <c r="H835" s="51"/>
      <c r="I835" s="51"/>
      <c r="J835" s="87">
        <f>IF(G835&gt;0,_xludf.IFS(G835=10000000,1200000,G835=20000000,1800000,G835=30000000,2400000,G835=60000000,4000000),"")</f>
      </c>
      <c r="K835" s="51"/>
      <c r="L835" s="52">
        <v>46228</v>
      </c>
      <c r="M835" s="53">
        <f>IF(L835&gt;0,EDATE(L835,-2),"")</f>
        <v>25569.375</v>
      </c>
      <c r="N835" s="50" t="s">
        <v>239</v>
      </c>
      <c r="O835" s="50" t="s">
        <v>2083</v>
      </c>
      <c r="P835" s="54">
        <f>IF(F835&gt;0,F835,"")</f>
      </c>
      <c r="Q835" s="55">
        <v>5912252047726</v>
      </c>
      <c r="R835" s="55">
        <v>62804467</v>
      </c>
      <c r="S835" s="53">
        <f>IF(ISNUMBER(M835), EDATE(M835,36)-1, "")</f>
        <v>25569.375</v>
      </c>
      <c r="T835" s="50"/>
      <c r="U835" s="50"/>
      <c r="V835" s="56"/>
      <c r="W835" s="50"/>
      <c r="X835" s="50"/>
      <c r="Y835" s="56"/>
      <c r="Z835" s="56"/>
      <c r="AA835" s="56"/>
      <c r="AB835" s="56"/>
      <c r="AC835" s="56"/>
      <c r="AD835" s="56"/>
    </row>
    <row x14ac:dyDescent="0.25" r="836" customHeight="1" ht="18.75">
      <c r="A836" s="56"/>
      <c r="B836" s="56"/>
      <c r="C836" s="50" t="s">
        <v>16</v>
      </c>
      <c r="D836" s="50"/>
      <c r="E836" s="50" t="s">
        <v>1737</v>
      </c>
      <c r="F836" s="50" t="s">
        <v>1738</v>
      </c>
      <c r="G836" s="51">
        <v>30000000</v>
      </c>
      <c r="H836" s="51"/>
      <c r="I836" s="51"/>
      <c r="J836" s="87">
        <f>IF(G836&gt;0,_xludf.IFS(G836=10000000,1200000,G836=20000000,1800000,G836=30000000,2400000,G836=60000000,4000000),"")</f>
      </c>
      <c r="K836" s="51"/>
      <c r="L836" s="52">
        <v>46229</v>
      </c>
      <c r="M836" s="53">
        <f>IF(L836&gt;0,EDATE(L836,-2),"")</f>
        <v>25569.375</v>
      </c>
      <c r="N836" s="50" t="s">
        <v>234</v>
      </c>
      <c r="O836" s="50" t="s">
        <v>1739</v>
      </c>
      <c r="P836" s="54">
        <f>IF(F836&gt;0,F836,"")</f>
      </c>
      <c r="Q836" s="55">
        <v>5906232351217</v>
      </c>
      <c r="R836" s="55">
        <v>33675782</v>
      </c>
      <c r="S836" s="53">
        <f>IF(ISNUMBER(M836), EDATE(M836,36)-1, "")</f>
        <v>25569.375</v>
      </c>
      <c r="T836" s="50"/>
      <c r="U836" s="50"/>
      <c r="V836" s="50"/>
      <c r="W836" s="50"/>
      <c r="X836" s="50"/>
      <c r="Y836" s="56"/>
      <c r="Z836" s="56"/>
      <c r="AA836" s="56"/>
      <c r="AB836" s="56"/>
      <c r="AC836" s="56"/>
      <c r="AD836" s="56"/>
    </row>
    <row x14ac:dyDescent="0.25" r="837" customHeight="1" ht="18.75">
      <c r="A837" s="56"/>
      <c r="B837" s="56"/>
      <c r="C837" s="50" t="s">
        <v>16</v>
      </c>
      <c r="D837" s="50"/>
      <c r="E837" s="50"/>
      <c r="F837" s="50" t="s">
        <v>1895</v>
      </c>
      <c r="G837" s="51">
        <v>30000000</v>
      </c>
      <c r="H837" s="51"/>
      <c r="I837" s="51"/>
      <c r="J837" s="87">
        <f>IF(G837&gt;0,_xludf.IFS(G837=10000000,1200000,G837=20000000,1800000,G837=30000000,2400000,G837=60000000,4000000),"")</f>
      </c>
      <c r="K837" s="51"/>
      <c r="L837" s="52">
        <v>46229</v>
      </c>
      <c r="M837" s="53">
        <f>IF(L837&gt;0,EDATE(L837,-2),"")</f>
        <v>25569.375</v>
      </c>
      <c r="N837" s="50" t="s">
        <v>239</v>
      </c>
      <c r="O837" s="50" t="s">
        <v>1896</v>
      </c>
      <c r="P837" s="54">
        <f>IF(F837&gt;0,F837,"")</f>
      </c>
      <c r="Q837" s="55">
        <v>9407161157319</v>
      </c>
      <c r="R837" s="55">
        <v>94653558</v>
      </c>
      <c r="S837" s="53">
        <f>IF(ISNUMBER(M837), EDATE(M837,36)-1, "")</f>
        <v>25569.375</v>
      </c>
      <c r="T837" s="50"/>
      <c r="U837" s="50"/>
      <c r="V837" s="56"/>
      <c r="W837" s="50" t="s">
        <v>3238</v>
      </c>
      <c r="X837" s="50" t="s">
        <v>3238</v>
      </c>
      <c r="Y837" s="56"/>
      <c r="Z837" s="56"/>
      <c r="AA837" s="56"/>
      <c r="AB837" s="56"/>
      <c r="AC837" s="56"/>
      <c r="AD837" s="56"/>
    </row>
    <row x14ac:dyDescent="0.25" r="838" customHeight="1" ht="18.75">
      <c r="A838" s="56"/>
      <c r="B838" s="56"/>
      <c r="C838" s="50" t="s">
        <v>16</v>
      </c>
      <c r="D838" s="50" t="s">
        <v>816</v>
      </c>
      <c r="E838" s="50" t="s">
        <v>114</v>
      </c>
      <c r="F838" s="50" t="s">
        <v>3055</v>
      </c>
      <c r="G838" s="51">
        <v>60000000</v>
      </c>
      <c r="H838" s="51"/>
      <c r="I838" s="51"/>
      <c r="J838" s="51">
        <v>2400000</v>
      </c>
      <c r="K838" s="51"/>
      <c r="L838" s="52">
        <v>46229</v>
      </c>
      <c r="M838" s="53">
        <f>IF(L838&gt;0,EDATE(L838,-2),"")</f>
        <v>25569.375</v>
      </c>
      <c r="N838" s="50" t="s">
        <v>217</v>
      </c>
      <c r="O838" s="50" t="s">
        <v>3056</v>
      </c>
      <c r="P838" s="54">
        <f>IF(F838&gt;0,F838,"")</f>
      </c>
      <c r="Q838" s="55">
        <v>5503152473730</v>
      </c>
      <c r="R838" s="55">
        <v>63296283</v>
      </c>
      <c r="S838" s="53">
        <f>IF(ISNUMBER(M838), EDATE(M838,36)-1, "")</f>
        <v>25569.375</v>
      </c>
      <c r="T838" s="50"/>
      <c r="U838" s="50"/>
      <c r="V838" s="56"/>
      <c r="W838" s="50"/>
      <c r="X838" s="50"/>
      <c r="Y838" s="56"/>
      <c r="Z838" s="56"/>
      <c r="AA838" s="56"/>
      <c r="AB838" s="56"/>
      <c r="AC838" s="56"/>
      <c r="AD838" s="56"/>
    </row>
    <row x14ac:dyDescent="0.25" r="839" customHeight="1" ht="18.75" hidden="1">
      <c r="A839" s="48" t="s">
        <v>252</v>
      </c>
      <c r="B839" s="48"/>
      <c r="C839" s="49" t="s">
        <v>16</v>
      </c>
      <c r="D839" s="50" t="s">
        <v>55</v>
      </c>
      <c r="E839" s="50" t="s">
        <v>56</v>
      </c>
      <c r="F839" s="50" t="s">
        <v>127</v>
      </c>
      <c r="G839" s="51"/>
      <c r="H839" s="51"/>
      <c r="I839" s="51"/>
      <c r="J839" s="51">
        <f>IF(G839&gt;0,_xludf.IFS(G839=10000000,800000,G839=20000000,1528000,G839=30000000,2028000,G839=60000000,4056000),"")</f>
      </c>
      <c r="K839" s="51"/>
      <c r="L839" s="52"/>
      <c r="M839" s="53">
        <f>IF(L839&gt;0,EDATE(L839,-2),"")</f>
        <v>25569.375</v>
      </c>
      <c r="N839" s="50" t="s">
        <v>217</v>
      </c>
      <c r="O839" s="50" t="s">
        <v>2380</v>
      </c>
      <c r="P839" s="50" t="s">
        <v>56</v>
      </c>
      <c r="Q839" s="55" t="s">
        <v>2804</v>
      </c>
      <c r="R839" s="55">
        <v>85958623</v>
      </c>
      <c r="S839" s="53">
        <f>IF(ISNUMBER(M839), EDATE(M839,36)-1, "")</f>
        <v>25569.375</v>
      </c>
      <c r="T839" s="50"/>
      <c r="U839" s="50"/>
      <c r="V839" s="56"/>
      <c r="W839" s="50"/>
      <c r="X839" s="50"/>
      <c r="Y839" s="56"/>
      <c r="Z839" s="56"/>
      <c r="AA839" s="56"/>
      <c r="AB839" s="56"/>
      <c r="AC839" s="56"/>
      <c r="AD839" s="56"/>
    </row>
    <row x14ac:dyDescent="0.25" r="840" customHeight="1" ht="18.75" hidden="1">
      <c r="A840" s="48" t="s">
        <v>275</v>
      </c>
      <c r="B840" s="48"/>
      <c r="C840" s="50" t="s">
        <v>113</v>
      </c>
      <c r="D840" s="50"/>
      <c r="E840" s="50"/>
      <c r="F840" s="50" t="s">
        <v>2805</v>
      </c>
      <c r="G840" s="51">
        <v>30000000</v>
      </c>
      <c r="H840" s="51"/>
      <c r="I840" s="51"/>
      <c r="J840" s="51">
        <v>1500000</v>
      </c>
      <c r="K840" s="51"/>
      <c r="L840" s="52">
        <v>45626</v>
      </c>
      <c r="M840" s="53">
        <f>IF(L840&gt;0,EDATE(L840,-2),"")</f>
        <v>25569.375</v>
      </c>
      <c r="N840" s="50" t="s">
        <v>168</v>
      </c>
      <c r="O840" s="50" t="s">
        <v>2806</v>
      </c>
      <c r="P840" s="54">
        <f>IF(F840&gt;0,F840,"")</f>
      </c>
      <c r="Q840" s="55" t="s">
        <v>2807</v>
      </c>
      <c r="R840" s="55">
        <v>72390903</v>
      </c>
      <c r="S840" s="53">
        <f>IF(ISNUMBER(M840), EDATE(M840,36)-1, "")</f>
        <v>25569.375</v>
      </c>
      <c r="T840" s="50"/>
      <c r="U840" s="50"/>
      <c r="V840" s="48" t="s">
        <v>2028</v>
      </c>
      <c r="W840" s="50"/>
      <c r="X840" s="50"/>
      <c r="Y840" s="56"/>
      <c r="Z840" s="56"/>
      <c r="AA840" s="56"/>
      <c r="AB840" s="56"/>
      <c r="AC840" s="56"/>
      <c r="AD840" s="56"/>
    </row>
    <row x14ac:dyDescent="0.25" r="841" customHeight="1" ht="18.75" hidden="1">
      <c r="A841" s="56"/>
      <c r="B841" s="56"/>
      <c r="C841" s="50" t="s">
        <v>16</v>
      </c>
      <c r="D841" s="50" t="s">
        <v>642</v>
      </c>
      <c r="E841" s="50" t="s">
        <v>3346</v>
      </c>
      <c r="F841" s="50" t="s">
        <v>2808</v>
      </c>
      <c r="G841" s="55">
        <v>60000000</v>
      </c>
      <c r="H841" s="55"/>
      <c r="I841" s="55"/>
      <c r="J841" s="51">
        <v>4056000</v>
      </c>
      <c r="K841" s="51"/>
      <c r="L841" s="52">
        <v>46002</v>
      </c>
      <c r="M841" s="53">
        <v>45941</v>
      </c>
      <c r="N841" s="50" t="s">
        <v>168</v>
      </c>
      <c r="O841" s="50" t="s">
        <v>2809</v>
      </c>
      <c r="P841" s="50" t="s">
        <v>2808</v>
      </c>
      <c r="Q841" s="55" t="s">
        <v>2810</v>
      </c>
      <c r="R841" s="55" t="s">
        <v>2811</v>
      </c>
      <c r="S841" s="53">
        <v>47036</v>
      </c>
      <c r="T841" s="50"/>
      <c r="U841" s="50"/>
      <c r="V841" s="56"/>
      <c r="W841" s="50"/>
      <c r="X841" s="50"/>
      <c r="Y841" s="56"/>
      <c r="Z841" s="56"/>
      <c r="AA841" s="56"/>
      <c r="AB841" s="56"/>
      <c r="AC841" s="56"/>
      <c r="AD841" s="56"/>
    </row>
    <row x14ac:dyDescent="0.25" r="842" customHeight="1" ht="18.75">
      <c r="A842" s="48" t="s">
        <v>63</v>
      </c>
      <c r="B842" s="48"/>
      <c r="C842" s="50" t="s">
        <v>16</v>
      </c>
      <c r="D842" s="50"/>
      <c r="E842" s="50"/>
      <c r="F842" s="50" t="s">
        <v>2574</v>
      </c>
      <c r="G842" s="55">
        <v>20000000</v>
      </c>
      <c r="H842" s="55"/>
      <c r="I842" s="55"/>
      <c r="J842" s="51">
        <v>1800000</v>
      </c>
      <c r="K842" s="51"/>
      <c r="L842" s="52">
        <v>46230</v>
      </c>
      <c r="M842" s="53">
        <v>46169</v>
      </c>
      <c r="N842" s="50" t="s">
        <v>161</v>
      </c>
      <c r="O842" s="50" t="s">
        <v>2575</v>
      </c>
      <c r="P842" s="50" t="s">
        <v>2574</v>
      </c>
      <c r="Q842" s="55" t="s">
        <v>2576</v>
      </c>
      <c r="R842" s="55" t="s">
        <v>2577</v>
      </c>
      <c r="S842" s="53">
        <v>47264</v>
      </c>
      <c r="T842" s="50"/>
      <c r="U842" s="50" t="s">
        <v>166</v>
      </c>
      <c r="V842" s="56" t="s">
        <v>2578</v>
      </c>
      <c r="W842" s="50" t="s">
        <v>3238</v>
      </c>
      <c r="X842" s="50" t="s">
        <v>3238</v>
      </c>
      <c r="Y842" s="56"/>
      <c r="Z842" s="56"/>
      <c r="AA842" s="56"/>
      <c r="AB842" s="56"/>
      <c r="AC842" s="56"/>
      <c r="AD842" s="56"/>
    </row>
    <row x14ac:dyDescent="0.25" r="843" customHeight="1" ht="18.75" hidden="1">
      <c r="A843" s="56"/>
      <c r="B843" s="56"/>
      <c r="C843" s="50" t="s">
        <v>16</v>
      </c>
      <c r="D843" s="50"/>
      <c r="E843" s="50"/>
      <c r="F843" s="50" t="s">
        <v>2816</v>
      </c>
      <c r="G843" s="55">
        <v>30000000</v>
      </c>
      <c r="H843" s="55"/>
      <c r="I843" s="55"/>
      <c r="J843" s="51">
        <v>2400000</v>
      </c>
      <c r="K843" s="51"/>
      <c r="L843" s="52">
        <v>45896</v>
      </c>
      <c r="M843" s="53">
        <v>45835</v>
      </c>
      <c r="N843" s="50" t="s">
        <v>155</v>
      </c>
      <c r="O843" s="50" t="s">
        <v>2817</v>
      </c>
      <c r="P843" s="50" t="s">
        <v>2816</v>
      </c>
      <c r="Q843" s="55" t="s">
        <v>2780</v>
      </c>
      <c r="R843" s="55" t="s">
        <v>2781</v>
      </c>
      <c r="S843" s="53">
        <v>46930</v>
      </c>
      <c r="T843" s="50"/>
      <c r="U843" s="50" t="s">
        <v>2818</v>
      </c>
      <c r="V843" s="56"/>
      <c r="W843" s="50"/>
      <c r="X843" s="50"/>
      <c r="Y843" s="56"/>
      <c r="Z843" s="56"/>
      <c r="AA843" s="56"/>
      <c r="AB843" s="56"/>
      <c r="AC843" s="56"/>
      <c r="AD843" s="56"/>
    </row>
    <row x14ac:dyDescent="0.25" r="844" customHeight="1" ht="18.75" hidden="1">
      <c r="A844" s="56"/>
      <c r="B844" s="56"/>
      <c r="C844" s="50" t="s">
        <v>16</v>
      </c>
      <c r="D844" s="50"/>
      <c r="E844" s="50" t="s">
        <v>276</v>
      </c>
      <c r="F844" s="50" t="s">
        <v>2819</v>
      </c>
      <c r="G844" s="55">
        <v>10000000</v>
      </c>
      <c r="H844" s="55"/>
      <c r="I844" s="55"/>
      <c r="J844" s="51">
        <v>800000</v>
      </c>
      <c r="K844" s="51"/>
      <c r="L844" s="52">
        <v>46128</v>
      </c>
      <c r="M844" s="53">
        <v>46069</v>
      </c>
      <c r="N844" s="50" t="s">
        <v>182</v>
      </c>
      <c r="O844" s="50" t="s">
        <v>907</v>
      </c>
      <c r="P844" s="50" t="s">
        <v>2819</v>
      </c>
      <c r="Q844" s="55" t="s">
        <v>2820</v>
      </c>
      <c r="R844" s="55" t="s">
        <v>985</v>
      </c>
      <c r="S844" s="53">
        <v>47164</v>
      </c>
      <c r="T844" s="50" t="s">
        <v>2821</v>
      </c>
      <c r="U844" s="50" t="s">
        <v>2822</v>
      </c>
      <c r="V844" s="56"/>
      <c r="W844" s="50"/>
      <c r="X844" s="50"/>
      <c r="Y844" s="56"/>
      <c r="Z844" s="56"/>
      <c r="AA844" s="56"/>
      <c r="AB844" s="56"/>
      <c r="AC844" s="56"/>
      <c r="AD844" s="56"/>
    </row>
    <row x14ac:dyDescent="0.25" r="845" customHeight="1" ht="18.75">
      <c r="A845" s="56"/>
      <c r="B845" s="56"/>
      <c r="C845" s="50" t="s">
        <v>16</v>
      </c>
      <c r="D845" s="50" t="s">
        <v>143</v>
      </c>
      <c r="E845" s="50" t="s">
        <v>14</v>
      </c>
      <c r="F845" s="50" t="s">
        <v>1311</v>
      </c>
      <c r="G845" s="51">
        <v>10000000</v>
      </c>
      <c r="H845" s="51"/>
      <c r="I845" s="51"/>
      <c r="J845" s="87">
        <f>IF(G845&gt;0,_xludf.IFS(G845=10000000,1200000,G845=20000000,1800000,G845=30000000,2400000,G845=60000000,4000000),"")</f>
      </c>
      <c r="K845" s="51"/>
      <c r="L845" s="52">
        <v>46231</v>
      </c>
      <c r="M845" s="53">
        <f>IF(L845&gt;0,EDATE(L845,-2),"")</f>
        <v>25569.375</v>
      </c>
      <c r="N845" s="50" t="s">
        <v>155</v>
      </c>
      <c r="O845" s="50" t="s">
        <v>1312</v>
      </c>
      <c r="P845" s="54">
        <f>IF(F845&gt;0,F845,"")</f>
      </c>
      <c r="Q845" s="55">
        <v>6310261667616</v>
      </c>
      <c r="R845" s="55">
        <v>52663391</v>
      </c>
      <c r="S845" s="53">
        <f>IF(ISNUMBER(M845), EDATE(M845,36)-1, "")</f>
        <v>25569.375</v>
      </c>
      <c r="T845" s="50"/>
      <c r="U845" s="50"/>
      <c r="V845" s="50"/>
      <c r="W845" s="50"/>
      <c r="X845" s="50"/>
      <c r="Y845" s="56"/>
      <c r="Z845" s="56"/>
      <c r="AA845" s="56"/>
      <c r="AB845" s="56"/>
      <c r="AC845" s="56"/>
      <c r="AD845" s="56"/>
    </row>
    <row x14ac:dyDescent="0.25" r="846" customHeight="1" ht="18.75" hidden="1">
      <c r="A846" s="56"/>
      <c r="B846" s="56"/>
      <c r="C846" s="50" t="s">
        <v>16</v>
      </c>
      <c r="D846" s="50"/>
      <c r="E846" s="50"/>
      <c r="F846" s="50" t="s">
        <v>2826</v>
      </c>
      <c r="G846" s="55">
        <v>30000000</v>
      </c>
      <c r="H846" s="55"/>
      <c r="I846" s="55"/>
      <c r="J846" s="51">
        <v>2028000</v>
      </c>
      <c r="K846" s="51"/>
      <c r="L846" s="52">
        <v>46132</v>
      </c>
      <c r="M846" s="53">
        <v>46073</v>
      </c>
      <c r="N846" s="50" t="s">
        <v>699</v>
      </c>
      <c r="O846" s="50" t="s">
        <v>2827</v>
      </c>
      <c r="P846" s="50" t="s">
        <v>2826</v>
      </c>
      <c r="Q846" s="55" t="s">
        <v>2828</v>
      </c>
      <c r="R846" s="55" t="s">
        <v>2829</v>
      </c>
      <c r="S846" s="53">
        <v>47168</v>
      </c>
      <c r="T846" s="50"/>
      <c r="U846" s="50" t="s">
        <v>2830</v>
      </c>
      <c r="V846" s="56"/>
      <c r="W846" s="50"/>
      <c r="X846" s="50"/>
      <c r="Y846" s="56"/>
      <c r="Z846" s="56"/>
      <c r="AA846" s="56"/>
      <c r="AB846" s="56"/>
      <c r="AC846" s="56"/>
      <c r="AD846" s="56"/>
    </row>
    <row x14ac:dyDescent="0.25" r="847" customHeight="1" ht="18.75" hidden="1">
      <c r="A847" s="56"/>
      <c r="B847" s="56"/>
      <c r="C847" s="50" t="s">
        <v>16</v>
      </c>
      <c r="D847" s="50"/>
      <c r="E847" s="50"/>
      <c r="F847" s="50" t="s">
        <v>2826</v>
      </c>
      <c r="G847" s="55">
        <v>30000000</v>
      </c>
      <c r="H847" s="55"/>
      <c r="I847" s="55"/>
      <c r="J847" s="51">
        <v>2028000</v>
      </c>
      <c r="K847" s="51"/>
      <c r="L847" s="52">
        <v>46132</v>
      </c>
      <c r="M847" s="53">
        <v>46073</v>
      </c>
      <c r="N847" s="50" t="s">
        <v>699</v>
      </c>
      <c r="O847" s="50" t="s">
        <v>2827</v>
      </c>
      <c r="P847" s="50" t="s">
        <v>2826</v>
      </c>
      <c r="Q847" s="55" t="s">
        <v>2828</v>
      </c>
      <c r="R847" s="55" t="s">
        <v>2829</v>
      </c>
      <c r="S847" s="53">
        <v>47168</v>
      </c>
      <c r="T847" s="50" t="s">
        <v>3347</v>
      </c>
      <c r="U847" s="50"/>
      <c r="V847" s="56"/>
      <c r="W847" s="50"/>
      <c r="X847" s="50"/>
      <c r="Y847" s="56"/>
      <c r="Z847" s="56"/>
      <c r="AA847" s="56"/>
      <c r="AB847" s="56"/>
      <c r="AC847" s="56"/>
      <c r="AD847" s="56"/>
    </row>
    <row x14ac:dyDescent="0.25" r="848" customHeight="1" ht="18.75" hidden="1">
      <c r="A848" s="56"/>
      <c r="B848" s="56"/>
      <c r="C848" s="50" t="s">
        <v>16</v>
      </c>
      <c r="D848" s="50" t="s">
        <v>67</v>
      </c>
      <c r="E848" s="50" t="s">
        <v>68</v>
      </c>
      <c r="F848" s="50" t="s">
        <v>2831</v>
      </c>
      <c r="G848" s="55">
        <v>60000000</v>
      </c>
      <c r="H848" s="55"/>
      <c r="I848" s="55"/>
      <c r="J848" s="51">
        <v>4800000</v>
      </c>
      <c r="K848" s="51"/>
      <c r="L848" s="52">
        <v>45934</v>
      </c>
      <c r="M848" s="53">
        <v>45848</v>
      </c>
      <c r="N848" s="50" t="s">
        <v>168</v>
      </c>
      <c r="O848" s="50" t="s">
        <v>2041</v>
      </c>
      <c r="P848" s="50" t="s">
        <v>2831</v>
      </c>
      <c r="Q848" s="55" t="s">
        <v>2832</v>
      </c>
      <c r="R848" s="85" t="s">
        <v>2043</v>
      </c>
      <c r="S848" s="53">
        <v>46968</v>
      </c>
      <c r="T848" s="50"/>
      <c r="U848" s="50"/>
      <c r="V848" s="48" t="s">
        <v>2833</v>
      </c>
      <c r="W848" s="50"/>
      <c r="X848" s="50"/>
      <c r="Y848" s="56"/>
      <c r="Z848" s="56"/>
      <c r="AA848" s="56"/>
      <c r="AB848" s="56"/>
      <c r="AC848" s="56"/>
      <c r="AD848" s="56"/>
    </row>
    <row x14ac:dyDescent="0.25" r="849" customHeight="1" ht="18.75" hidden="1">
      <c r="A849" s="48" t="s">
        <v>152</v>
      </c>
      <c r="B849" s="48"/>
      <c r="C849" s="50" t="s">
        <v>16</v>
      </c>
      <c r="D849" s="50" t="s">
        <v>67</v>
      </c>
      <c r="E849" s="50" t="s">
        <v>68</v>
      </c>
      <c r="F849" s="50" t="s">
        <v>2831</v>
      </c>
      <c r="G849" s="55">
        <v>60000000</v>
      </c>
      <c r="H849" s="55"/>
      <c r="I849" s="55"/>
      <c r="J849" s="51">
        <v>4056000</v>
      </c>
      <c r="K849" s="51"/>
      <c r="L849" s="52">
        <v>45992</v>
      </c>
      <c r="M849" s="53">
        <v>45931</v>
      </c>
      <c r="N849" s="50" t="s">
        <v>168</v>
      </c>
      <c r="O849" s="50" t="s">
        <v>2041</v>
      </c>
      <c r="P849" s="50" t="s">
        <v>2831</v>
      </c>
      <c r="Q849" s="55" t="s">
        <v>2832</v>
      </c>
      <c r="R849" s="85" t="s">
        <v>2043</v>
      </c>
      <c r="S849" s="53">
        <v>47026</v>
      </c>
      <c r="T849" s="50"/>
      <c r="U849" s="50"/>
      <c r="V849" s="56"/>
      <c r="W849" s="50"/>
      <c r="X849" s="50"/>
      <c r="Y849" s="56"/>
      <c r="Z849" s="56"/>
      <c r="AA849" s="56"/>
      <c r="AB849" s="56"/>
      <c r="AC849" s="56"/>
      <c r="AD849" s="56"/>
    </row>
    <row x14ac:dyDescent="0.25" r="850" customHeight="1" ht="18.75" hidden="1">
      <c r="A850" s="56"/>
      <c r="B850" s="56"/>
      <c r="C850" s="50" t="s">
        <v>16</v>
      </c>
      <c r="D850" s="50"/>
      <c r="E850" s="50"/>
      <c r="F850" s="50" t="s">
        <v>2835</v>
      </c>
      <c r="G850" s="55">
        <v>10000000</v>
      </c>
      <c r="H850" s="55"/>
      <c r="I850" s="55"/>
      <c r="J850" s="51">
        <v>800000</v>
      </c>
      <c r="K850" s="51"/>
      <c r="L850" s="52">
        <v>45959</v>
      </c>
      <c r="M850" s="53">
        <v>45898</v>
      </c>
      <c r="N850" s="50" t="s">
        <v>239</v>
      </c>
      <c r="O850" s="50" t="s">
        <v>2836</v>
      </c>
      <c r="P850" s="50" t="s">
        <v>2835</v>
      </c>
      <c r="Q850" s="55" t="s">
        <v>2837</v>
      </c>
      <c r="R850" s="55" t="s">
        <v>2838</v>
      </c>
      <c r="S850" s="53">
        <v>46993</v>
      </c>
      <c r="T850" s="50"/>
      <c r="U850" s="50"/>
      <c r="V850" s="56"/>
      <c r="W850" s="50"/>
      <c r="X850" s="50"/>
      <c r="Y850" s="56"/>
      <c r="Z850" s="56"/>
      <c r="AA850" s="56"/>
      <c r="AB850" s="56"/>
      <c r="AC850" s="56"/>
      <c r="AD850" s="56"/>
    </row>
    <row x14ac:dyDescent="0.25" r="851" customHeight="1" ht="18.75">
      <c r="A851" s="56"/>
      <c r="B851" s="56"/>
      <c r="C851" s="50" t="s">
        <v>16</v>
      </c>
      <c r="D851" s="50" t="s">
        <v>419</v>
      </c>
      <c r="E851" s="50" t="s">
        <v>1332</v>
      </c>
      <c r="F851" s="50" t="s">
        <v>1333</v>
      </c>
      <c r="G851" s="51">
        <v>10000000</v>
      </c>
      <c r="H851" s="51"/>
      <c r="I851" s="51"/>
      <c r="J851" s="87">
        <f>IF(G851&gt;0,_xludf.IFS(G851=10000000,1200000,G851=20000000,1800000,G851=30000000,2400000,G851=60000000,4000000),"")</f>
      </c>
      <c r="K851" s="51"/>
      <c r="L851" s="52">
        <v>46231</v>
      </c>
      <c r="M851" s="53">
        <f>IF(L851&gt;0,EDATE(L851,-2),"")</f>
        <v>25569.375</v>
      </c>
      <c r="N851" s="50" t="s">
        <v>699</v>
      </c>
      <c r="O851" s="50" t="s">
        <v>1334</v>
      </c>
      <c r="P851" s="54">
        <f>IF(F851&gt;0,F851,"")</f>
      </c>
      <c r="Q851" s="55">
        <v>6302222473635</v>
      </c>
      <c r="R851" s="55">
        <v>23300536</v>
      </c>
      <c r="S851" s="53">
        <f>IF(ISNUMBER(M851), EDATE(M851,36)-1, "")</f>
        <v>25569.375</v>
      </c>
      <c r="T851" s="50"/>
      <c r="U851" s="50"/>
      <c r="V851" s="56"/>
      <c r="W851" s="50"/>
      <c r="X851" s="50"/>
      <c r="Y851" s="56"/>
      <c r="Z851" s="56"/>
      <c r="AA851" s="56"/>
      <c r="AB851" s="56"/>
      <c r="AC851" s="56"/>
      <c r="AD851" s="56"/>
    </row>
    <row x14ac:dyDescent="0.25" r="852" customHeight="1" ht="18.75" hidden="1">
      <c r="A852" s="56"/>
      <c r="B852" s="56"/>
      <c r="C852" s="50" t="s">
        <v>16</v>
      </c>
      <c r="D852" s="50"/>
      <c r="E852" s="50"/>
      <c r="F852" s="50" t="s">
        <v>3348</v>
      </c>
      <c r="G852" s="55">
        <v>10000000</v>
      </c>
      <c r="H852" s="55"/>
      <c r="I852" s="55"/>
      <c r="J852" s="51">
        <v>800000</v>
      </c>
      <c r="K852" s="51"/>
      <c r="L852" s="52">
        <v>46089</v>
      </c>
      <c r="M852" s="53">
        <v>46022</v>
      </c>
      <c r="N852" s="50" t="s">
        <v>217</v>
      </c>
      <c r="O852" s="50" t="s">
        <v>2840</v>
      </c>
      <c r="P852" s="50" t="s">
        <v>3348</v>
      </c>
      <c r="Q852" s="55" t="s">
        <v>2841</v>
      </c>
      <c r="R852" s="55" t="s">
        <v>2842</v>
      </c>
      <c r="S852" s="53">
        <v>47125</v>
      </c>
      <c r="T852" s="50"/>
      <c r="U852" s="50"/>
      <c r="V852" s="56"/>
      <c r="W852" s="50"/>
      <c r="X852" s="50"/>
      <c r="Y852" s="56"/>
      <c r="Z852" s="56"/>
      <c r="AA852" s="56"/>
      <c r="AB852" s="56"/>
      <c r="AC852" s="56"/>
      <c r="AD852" s="56"/>
    </row>
    <row x14ac:dyDescent="0.25" r="853" customHeight="1" ht="18.75" hidden="1">
      <c r="A853" s="56"/>
      <c r="B853" s="56"/>
      <c r="C853" s="49" t="s">
        <v>16</v>
      </c>
      <c r="D853" s="50"/>
      <c r="E853" s="50"/>
      <c r="F853" s="50" t="s">
        <v>2839</v>
      </c>
      <c r="G853" s="51">
        <v>10000000</v>
      </c>
      <c r="H853" s="51"/>
      <c r="I853" s="51"/>
      <c r="J853" s="87">
        <f>IF(G853&gt;0,_xludf.IFS(G853=10000000,800000,G853=20000000,1528000,G853=30000000,2028000,G853=60000000,4056000),"")</f>
      </c>
      <c r="K853" s="51"/>
      <c r="L853" s="52">
        <v>46089</v>
      </c>
      <c r="M853" s="53">
        <f>IF(L853&gt;0,EDATE(L853,-2),"")</f>
        <v>25569.375</v>
      </c>
      <c r="N853" s="50" t="s">
        <v>217</v>
      </c>
      <c r="O853" s="50" t="s">
        <v>2840</v>
      </c>
      <c r="P853" s="54">
        <f>IF(F853&gt;0,F853,"")</f>
      </c>
      <c r="Q853" s="55" t="s">
        <v>2841</v>
      </c>
      <c r="R853" s="55">
        <v>55253749</v>
      </c>
      <c r="S853" s="53">
        <f>IF(ISNUMBER(M853), EDATE(M853,36)-1, "")</f>
        <v>25569.375</v>
      </c>
      <c r="T853" s="50"/>
      <c r="U853" s="50"/>
      <c r="V853" s="56"/>
      <c r="W853" s="50"/>
      <c r="X853" s="50"/>
      <c r="Y853" s="56"/>
      <c r="Z853" s="56"/>
      <c r="AA853" s="56"/>
      <c r="AB853" s="56"/>
      <c r="AC853" s="56"/>
      <c r="AD853" s="56"/>
    </row>
    <row x14ac:dyDescent="0.25" r="854" customHeight="1" ht="18.75" hidden="1">
      <c r="A854" s="56"/>
      <c r="B854" s="56"/>
      <c r="C854" s="50" t="s">
        <v>16</v>
      </c>
      <c r="D854" s="50"/>
      <c r="E854" s="50" t="s">
        <v>1874</v>
      </c>
      <c r="F854" s="50" t="s">
        <v>2844</v>
      </c>
      <c r="G854" s="55">
        <v>10000000</v>
      </c>
      <c r="H854" s="55"/>
      <c r="I854" s="55"/>
      <c r="J854" s="51">
        <v>800000</v>
      </c>
      <c r="K854" s="51"/>
      <c r="L854" s="52">
        <v>46091</v>
      </c>
      <c r="M854" s="53">
        <v>46032</v>
      </c>
      <c r="N854" s="50" t="s">
        <v>155</v>
      </c>
      <c r="O854" s="50" t="s">
        <v>1875</v>
      </c>
      <c r="P854" s="50" t="s">
        <v>2844</v>
      </c>
      <c r="Q854" s="55" t="s">
        <v>2846</v>
      </c>
      <c r="R854" s="55" t="s">
        <v>1877</v>
      </c>
      <c r="S854" s="53">
        <v>47127</v>
      </c>
      <c r="T854" s="50"/>
      <c r="U854" s="50" t="s">
        <v>166</v>
      </c>
      <c r="V854" s="56"/>
      <c r="W854" s="50"/>
      <c r="X854" s="50"/>
      <c r="Y854" s="56"/>
      <c r="Z854" s="56"/>
      <c r="AA854" s="56"/>
      <c r="AB854" s="56"/>
      <c r="AC854" s="56"/>
      <c r="AD854" s="56"/>
    </row>
    <row x14ac:dyDescent="0.25" r="855" customHeight="1" ht="18.75" hidden="1">
      <c r="A855" s="63"/>
      <c r="B855" s="63"/>
      <c r="C855" s="49" t="s">
        <v>16</v>
      </c>
      <c r="D855" s="49" t="s">
        <v>642</v>
      </c>
      <c r="E855" s="49" t="s">
        <v>327</v>
      </c>
      <c r="F855" s="49" t="s">
        <v>2844</v>
      </c>
      <c r="G855" s="64">
        <v>10000000</v>
      </c>
      <c r="H855" s="64"/>
      <c r="I855" s="64"/>
      <c r="J855" s="64">
        <v>500000</v>
      </c>
      <c r="K855" s="64"/>
      <c r="L855" s="66">
        <v>46091</v>
      </c>
      <c r="M855" s="67">
        <f>IF(L855&gt;0,EDATE(L855,-2),"")</f>
        <v>25569.375</v>
      </c>
      <c r="N855" s="49" t="s">
        <v>302</v>
      </c>
      <c r="O855" s="49" t="s">
        <v>2845</v>
      </c>
      <c r="P855" s="68">
        <f>IF(F855&gt;0,F855,"")</f>
      </c>
      <c r="Q855" s="69" t="s">
        <v>2846</v>
      </c>
      <c r="R855" s="69">
        <v>45065645</v>
      </c>
      <c r="S855" s="67">
        <f>IF(ISNUMBER(M855), EDATE(M855,36)-1, "")</f>
        <v>25569.375</v>
      </c>
      <c r="T855" s="49"/>
      <c r="U855" s="49"/>
      <c r="V855" s="63"/>
      <c r="W855" s="50"/>
      <c r="X855" s="50"/>
      <c r="Y855" s="56"/>
      <c r="Z855" s="56"/>
      <c r="AA855" s="56"/>
      <c r="AB855" s="56"/>
      <c r="AC855" s="56"/>
      <c r="AD855" s="56"/>
    </row>
    <row x14ac:dyDescent="0.25" r="856" customHeight="1" ht="18.75" hidden="1">
      <c r="A856" s="56"/>
      <c r="B856" s="56"/>
      <c r="C856" s="50" t="s">
        <v>16</v>
      </c>
      <c r="D856" s="50"/>
      <c r="E856" s="50"/>
      <c r="F856" s="50" t="s">
        <v>2847</v>
      </c>
      <c r="G856" s="55">
        <v>20000000</v>
      </c>
      <c r="H856" s="55"/>
      <c r="I856" s="55"/>
      <c r="J856" s="51">
        <v>1528000</v>
      </c>
      <c r="K856" s="51"/>
      <c r="L856" s="52">
        <v>45993</v>
      </c>
      <c r="M856" s="53">
        <v>45932</v>
      </c>
      <c r="N856" s="50" t="s">
        <v>155</v>
      </c>
      <c r="O856" s="50" t="s">
        <v>2848</v>
      </c>
      <c r="P856" s="50" t="s">
        <v>2847</v>
      </c>
      <c r="Q856" s="55" t="s">
        <v>2849</v>
      </c>
      <c r="R856" s="55" t="s">
        <v>2850</v>
      </c>
      <c r="S856" s="53">
        <v>47027</v>
      </c>
      <c r="T856" s="50"/>
      <c r="U856" s="50"/>
      <c r="V856" s="56"/>
      <c r="W856" s="50"/>
      <c r="X856" s="50"/>
      <c r="Y856" s="56"/>
      <c r="Z856" s="56"/>
      <c r="AA856" s="56"/>
      <c r="AB856" s="56"/>
      <c r="AC856" s="56"/>
      <c r="AD856" s="56"/>
    </row>
    <row x14ac:dyDescent="0.25" r="857" customHeight="1" ht="18.75" hidden="1">
      <c r="A857" s="56"/>
      <c r="B857" s="56"/>
      <c r="C857" s="50" t="s">
        <v>16</v>
      </c>
      <c r="D857" s="50"/>
      <c r="E857" s="50"/>
      <c r="F857" s="50" t="s">
        <v>2851</v>
      </c>
      <c r="G857" s="55">
        <v>30000000</v>
      </c>
      <c r="H857" s="55"/>
      <c r="I857" s="55"/>
      <c r="J857" s="51">
        <v>2400000</v>
      </c>
      <c r="K857" s="51"/>
      <c r="L857" s="52">
        <v>46023</v>
      </c>
      <c r="M857" s="53">
        <v>45962</v>
      </c>
      <c r="N857" s="50" t="s">
        <v>155</v>
      </c>
      <c r="O857" s="50" t="s">
        <v>1875</v>
      </c>
      <c r="P857" s="50" t="s">
        <v>2851</v>
      </c>
      <c r="Q857" s="55" t="s">
        <v>2852</v>
      </c>
      <c r="R857" s="55" t="s">
        <v>2853</v>
      </c>
      <c r="S857" s="53">
        <v>47057</v>
      </c>
      <c r="T857" s="50"/>
      <c r="U857" s="50"/>
      <c r="V857" s="56"/>
      <c r="W857" s="50"/>
      <c r="X857" s="50"/>
      <c r="Y857" s="56"/>
      <c r="Z857" s="56"/>
      <c r="AA857" s="56"/>
      <c r="AB857" s="56"/>
      <c r="AC857" s="56"/>
      <c r="AD857" s="56"/>
    </row>
    <row x14ac:dyDescent="0.25" r="858" customHeight="1" ht="18.75" hidden="1">
      <c r="A858" s="56"/>
      <c r="B858" s="56"/>
      <c r="C858" s="50" t="s">
        <v>16</v>
      </c>
      <c r="D858" s="50"/>
      <c r="E858" s="50"/>
      <c r="F858" s="50" t="s">
        <v>2854</v>
      </c>
      <c r="G858" s="55">
        <v>30000000</v>
      </c>
      <c r="H858" s="55"/>
      <c r="I858" s="55"/>
      <c r="J858" s="51">
        <v>2028000</v>
      </c>
      <c r="K858" s="51"/>
      <c r="L858" s="52">
        <v>46011</v>
      </c>
      <c r="M858" s="53">
        <v>45950</v>
      </c>
      <c r="N858" s="50" t="s">
        <v>302</v>
      </c>
      <c r="O858" s="50" t="s">
        <v>2855</v>
      </c>
      <c r="P858" s="50" t="s">
        <v>2854</v>
      </c>
      <c r="Q858" s="55" t="s">
        <v>2856</v>
      </c>
      <c r="R858" s="55" t="s">
        <v>2857</v>
      </c>
      <c r="S858" s="53">
        <v>47045</v>
      </c>
      <c r="T858" s="50"/>
      <c r="U858" s="50"/>
      <c r="V858" s="56"/>
      <c r="W858" s="50"/>
      <c r="X858" s="50"/>
      <c r="Y858" s="56"/>
      <c r="Z858" s="56"/>
      <c r="AA858" s="56"/>
      <c r="AB858" s="56"/>
      <c r="AC858" s="56"/>
      <c r="AD858" s="56"/>
    </row>
    <row x14ac:dyDescent="0.25" r="859" customHeight="1" ht="18.75" hidden="1">
      <c r="A859" s="56"/>
      <c r="B859" s="56"/>
      <c r="C859" s="50" t="s">
        <v>16</v>
      </c>
      <c r="D859" s="50"/>
      <c r="E859" s="50"/>
      <c r="F859" s="50" t="s">
        <v>128</v>
      </c>
      <c r="G859" s="55">
        <v>20000000</v>
      </c>
      <c r="H859" s="55"/>
      <c r="I859" s="55"/>
      <c r="J859" s="51">
        <v>1528000</v>
      </c>
      <c r="K859" s="51"/>
      <c r="L859" s="52">
        <v>46002</v>
      </c>
      <c r="M859" s="53">
        <v>45941</v>
      </c>
      <c r="N859" s="50" t="s">
        <v>306</v>
      </c>
      <c r="O859" s="50" t="s">
        <v>2858</v>
      </c>
      <c r="P859" s="50" t="s">
        <v>128</v>
      </c>
      <c r="Q859" s="55" t="s">
        <v>2859</v>
      </c>
      <c r="R859" s="55" t="s">
        <v>2860</v>
      </c>
      <c r="S859" s="53">
        <v>47036</v>
      </c>
      <c r="T859" s="50"/>
      <c r="U859" s="50"/>
      <c r="V859" s="56"/>
      <c r="W859" s="50"/>
      <c r="X859" s="50"/>
      <c r="Y859" s="56"/>
      <c r="Z859" s="56"/>
      <c r="AA859" s="56"/>
      <c r="AB859" s="56"/>
      <c r="AC859" s="56"/>
      <c r="AD859" s="56"/>
    </row>
    <row x14ac:dyDescent="0.25" r="860" customHeight="1" ht="18.75">
      <c r="A860" s="56"/>
      <c r="B860" s="56"/>
      <c r="C860" s="50" t="s">
        <v>16</v>
      </c>
      <c r="D860" s="50" t="s">
        <v>153</v>
      </c>
      <c r="E860" s="50" t="s">
        <v>862</v>
      </c>
      <c r="F860" s="50" t="s">
        <v>2051</v>
      </c>
      <c r="G860" s="51">
        <v>10000000</v>
      </c>
      <c r="H860" s="51"/>
      <c r="I860" s="51"/>
      <c r="J860" s="87">
        <f>IF(G860&gt;0,_xludf.IFS(G860=10000000,1200000,G860=20000000,1800000,G860=30000000,2400000,G860=60000000,4000000),"")</f>
      </c>
      <c r="K860" s="51"/>
      <c r="L860" s="52">
        <v>46231</v>
      </c>
      <c r="M860" s="53">
        <f>IF(L860&gt;0,EDATE(L860,-2),"")</f>
        <v>25569.375</v>
      </c>
      <c r="N860" s="50" t="s">
        <v>302</v>
      </c>
      <c r="O860" s="50" t="s">
        <v>2052</v>
      </c>
      <c r="P860" s="54">
        <f>IF(F860&gt;0,F860,"")</f>
      </c>
      <c r="Q860" s="55">
        <v>6407192018417</v>
      </c>
      <c r="R860" s="55">
        <v>92670881</v>
      </c>
      <c r="S860" s="53">
        <f>IF(ISNUMBER(M860), EDATE(M860,36)-1, "")</f>
        <v>25569.375</v>
      </c>
      <c r="T860" s="50"/>
      <c r="U860" s="50"/>
      <c r="V860" s="56"/>
      <c r="W860" s="50"/>
      <c r="X860" s="50"/>
      <c r="Y860" s="56"/>
      <c r="Z860" s="56"/>
      <c r="AA860" s="56"/>
      <c r="AB860" s="56"/>
      <c r="AC860" s="56"/>
      <c r="AD860" s="56"/>
    </row>
    <row x14ac:dyDescent="0.25" r="861" customHeight="1" ht="18.75" hidden="1">
      <c r="A861" s="56"/>
      <c r="B861" s="56"/>
      <c r="C861" s="50" t="s">
        <v>16</v>
      </c>
      <c r="D861" s="50"/>
      <c r="E861" s="50"/>
      <c r="F861" s="50" t="s">
        <v>2865</v>
      </c>
      <c r="G861" s="55">
        <v>30000000</v>
      </c>
      <c r="H861" s="55"/>
      <c r="I861" s="55"/>
      <c r="J861" s="51">
        <v>2028000</v>
      </c>
      <c r="K861" s="51"/>
      <c r="L861" s="52">
        <v>46081</v>
      </c>
      <c r="M861" s="53">
        <v>46022</v>
      </c>
      <c r="N861" s="50" t="s">
        <v>168</v>
      </c>
      <c r="O861" s="50" t="s">
        <v>2866</v>
      </c>
      <c r="P861" s="50" t="s">
        <v>2865</v>
      </c>
      <c r="Q861" s="55" t="s">
        <v>2867</v>
      </c>
      <c r="R861" s="55" t="s">
        <v>2868</v>
      </c>
      <c r="S861" s="53">
        <v>47117</v>
      </c>
      <c r="T861" s="50"/>
      <c r="U861" s="50"/>
      <c r="V861" s="56"/>
      <c r="W861" s="50"/>
      <c r="X861" s="50"/>
      <c r="Y861" s="56"/>
      <c r="Z861" s="56"/>
      <c r="AA861" s="56"/>
      <c r="AB861" s="56"/>
      <c r="AC861" s="56"/>
      <c r="AD861" s="56"/>
    </row>
    <row x14ac:dyDescent="0.25" r="862" customHeight="1" ht="18.75">
      <c r="A862" s="56"/>
      <c r="B862" s="56"/>
      <c r="C862" s="50" t="s">
        <v>16</v>
      </c>
      <c r="D862" s="50"/>
      <c r="E862" s="50" t="s">
        <v>97</v>
      </c>
      <c r="F862" s="50" t="s">
        <v>2211</v>
      </c>
      <c r="G862" s="51">
        <v>30000000</v>
      </c>
      <c r="H862" s="51"/>
      <c r="I862" s="51"/>
      <c r="J862" s="87">
        <f>IF(G862&gt;0,_xludf.IFS(G862=10000000,1200000,G862=20000000,1800000,G862=30000000,2400000,G862=60000000,4000000),"")</f>
      </c>
      <c r="K862" s="51"/>
      <c r="L862" s="52">
        <v>46231</v>
      </c>
      <c r="M862" s="53">
        <f>IF(L862&gt;0,EDATE(L862,-2),"")</f>
        <v>25569.375</v>
      </c>
      <c r="N862" s="50" t="s">
        <v>302</v>
      </c>
      <c r="O862" s="50" t="s">
        <v>2212</v>
      </c>
      <c r="P862" s="54">
        <f>IF(F862&gt;0,F862,"")</f>
      </c>
      <c r="Q862" s="55">
        <v>5503321538310</v>
      </c>
      <c r="R862" s="55">
        <v>62511356</v>
      </c>
      <c r="S862" s="53">
        <f>IF(ISNUMBER(M862), EDATE(M862,36)-1, "")</f>
        <v>25569.375</v>
      </c>
      <c r="T862" s="50"/>
      <c r="U862" s="50"/>
      <c r="V862" s="56"/>
      <c r="W862" s="50"/>
      <c r="X862" s="50"/>
      <c r="Y862" s="56"/>
      <c r="Z862" s="56"/>
      <c r="AA862" s="56"/>
      <c r="AB862" s="56"/>
      <c r="AC862" s="56"/>
      <c r="AD862" s="56"/>
    </row>
    <row x14ac:dyDescent="0.25" r="863" customHeight="1" ht="18.75" hidden="1">
      <c r="A863" s="56"/>
      <c r="B863" s="56"/>
      <c r="C863" s="50" t="s">
        <v>16</v>
      </c>
      <c r="D863" s="50"/>
      <c r="E863" s="50"/>
      <c r="F863" s="50" t="s">
        <v>131</v>
      </c>
      <c r="G863" s="55">
        <v>30000000</v>
      </c>
      <c r="H863" s="55"/>
      <c r="I863" s="55"/>
      <c r="J863" s="51">
        <v>2400000</v>
      </c>
      <c r="K863" s="51"/>
      <c r="L863" s="52">
        <v>46034</v>
      </c>
      <c r="M863" s="53">
        <v>45973</v>
      </c>
      <c r="N863" s="50" t="s">
        <v>580</v>
      </c>
      <c r="O863" s="50" t="s">
        <v>2874</v>
      </c>
      <c r="P863" s="50" t="s">
        <v>131</v>
      </c>
      <c r="Q863" s="55" t="s">
        <v>2875</v>
      </c>
      <c r="R863" s="55" t="s">
        <v>2876</v>
      </c>
      <c r="S863" s="53">
        <v>47068</v>
      </c>
      <c r="T863" s="50"/>
      <c r="U863" s="50"/>
      <c r="V863" s="56"/>
      <c r="W863" s="50"/>
      <c r="X863" s="50"/>
      <c r="Y863" s="56"/>
      <c r="Z863" s="56"/>
      <c r="AA863" s="56"/>
      <c r="AB863" s="56"/>
      <c r="AC863" s="56"/>
      <c r="AD863" s="56"/>
    </row>
    <row x14ac:dyDescent="0.25" r="864" customHeight="1" ht="18.75">
      <c r="A864" s="56"/>
      <c r="B864" s="56"/>
      <c r="C864" s="50" t="s">
        <v>16</v>
      </c>
      <c r="D864" s="50" t="s">
        <v>153</v>
      </c>
      <c r="E864" s="50" t="s">
        <v>1044</v>
      </c>
      <c r="F864" s="50" t="s">
        <v>1441</v>
      </c>
      <c r="G864" s="51">
        <v>10000000</v>
      </c>
      <c r="H864" s="51"/>
      <c r="I864" s="51"/>
      <c r="J864" s="51">
        <v>400000</v>
      </c>
      <c r="K864" s="51"/>
      <c r="L864" s="52">
        <v>46232</v>
      </c>
      <c r="M864" s="53">
        <f>IF(L864&gt;0,EDATE(L864,-2),"")</f>
        <v>25569.375</v>
      </c>
      <c r="N864" s="50" t="s">
        <v>155</v>
      </c>
      <c r="O864" s="50" t="s">
        <v>1442</v>
      </c>
      <c r="P864" s="54">
        <f>IF(F864&gt;0,F864,"")</f>
      </c>
      <c r="Q864" s="55">
        <v>5601152155131</v>
      </c>
      <c r="R864" s="55">
        <v>72163678</v>
      </c>
      <c r="S864" s="53">
        <f>IF(ISNUMBER(M864), EDATE(M864,36)-1, "")</f>
        <v>25569.375</v>
      </c>
      <c r="T864" s="50"/>
      <c r="U864" s="50"/>
      <c r="V864" s="50"/>
      <c r="W864" s="50"/>
      <c r="X864" s="50"/>
      <c r="Y864" s="56"/>
      <c r="Z864" s="56"/>
      <c r="AA864" s="56"/>
      <c r="AB864" s="56"/>
      <c r="AC864" s="56"/>
      <c r="AD864" s="56"/>
    </row>
    <row x14ac:dyDescent="0.25" r="865" customHeight="1" ht="18.75" hidden="1">
      <c r="A865" s="56"/>
      <c r="B865" s="56"/>
      <c r="C865" s="50" t="s">
        <v>16</v>
      </c>
      <c r="D865" s="50"/>
      <c r="E865" s="50"/>
      <c r="F865" s="50" t="s">
        <v>2878</v>
      </c>
      <c r="G865" s="55">
        <v>20000000</v>
      </c>
      <c r="H865" s="55"/>
      <c r="I865" s="55"/>
      <c r="J865" s="51">
        <v>1528000</v>
      </c>
      <c r="K865" s="51"/>
      <c r="L865" s="52">
        <v>46016</v>
      </c>
      <c r="M865" s="53">
        <v>45955</v>
      </c>
      <c r="N865" s="50" t="s">
        <v>302</v>
      </c>
      <c r="O865" s="50" t="s">
        <v>2879</v>
      </c>
      <c r="P865" s="50" t="s">
        <v>2878</v>
      </c>
      <c r="Q865" s="55" t="s">
        <v>2880</v>
      </c>
      <c r="R865" s="55" t="s">
        <v>2881</v>
      </c>
      <c r="S865" s="53">
        <v>47050</v>
      </c>
      <c r="T865" s="50"/>
      <c r="U865" s="50"/>
      <c r="V865" s="56"/>
      <c r="W865" s="50"/>
      <c r="X865" s="50"/>
      <c r="Y865" s="56"/>
      <c r="Z865" s="56"/>
      <c r="AA865" s="56"/>
      <c r="AB865" s="56"/>
      <c r="AC865" s="56"/>
      <c r="AD865" s="56"/>
    </row>
    <row x14ac:dyDescent="0.25" r="866" customHeight="1" ht="18.75">
      <c r="A866" s="56"/>
      <c r="B866" s="56"/>
      <c r="C866" s="50" t="s">
        <v>16</v>
      </c>
      <c r="D866" s="50" t="s">
        <v>427</v>
      </c>
      <c r="E866" s="50" t="s">
        <v>1134</v>
      </c>
      <c r="F866" s="50" t="s">
        <v>1503</v>
      </c>
      <c r="G866" s="51">
        <v>30000000</v>
      </c>
      <c r="H866" s="51"/>
      <c r="I866" s="51"/>
      <c r="J866" s="87">
        <f>IF(G866&gt;0,_xludf.IFS(G866=10000000,1200000,G866=20000000,1800000,G866=30000000,2400000,G866=60000000,4000000),"")</f>
      </c>
      <c r="K866" s="51"/>
      <c r="L866" s="52">
        <v>46232</v>
      </c>
      <c r="M866" s="53">
        <f>IF(L866&gt;0,EDATE(L866,-2),"")</f>
        <v>25569.375</v>
      </c>
      <c r="N866" s="50" t="s">
        <v>699</v>
      </c>
      <c r="O866" s="50" t="s">
        <v>1504</v>
      </c>
      <c r="P866" s="54">
        <f>IF(F866&gt;0,F866,"")</f>
      </c>
      <c r="Q866" s="55">
        <v>6404152247812</v>
      </c>
      <c r="R866" s="55">
        <v>92146585</v>
      </c>
      <c r="S866" s="53">
        <f>IF(ISNUMBER(M866), EDATE(M866,36)-1, "")</f>
        <v>25569.375</v>
      </c>
      <c r="T866" s="50"/>
      <c r="U866" s="50"/>
      <c r="V866" s="56"/>
      <c r="W866" s="50"/>
      <c r="X866" s="50"/>
      <c r="Y866" s="56"/>
      <c r="Z866" s="56"/>
      <c r="AA866" s="56"/>
      <c r="AB866" s="56"/>
      <c r="AC866" s="56"/>
      <c r="AD866" s="56"/>
    </row>
    <row x14ac:dyDescent="0.25" r="867" customHeight="1" ht="18.75" hidden="1">
      <c r="A867" s="56"/>
      <c r="B867" s="56"/>
      <c r="C867" s="50" t="s">
        <v>16</v>
      </c>
      <c r="D867" s="50"/>
      <c r="E867" s="50"/>
      <c r="F867" s="50" t="s">
        <v>132</v>
      </c>
      <c r="G867" s="55">
        <v>10000000</v>
      </c>
      <c r="H867" s="55"/>
      <c r="I867" s="55"/>
      <c r="J867" s="51">
        <v>800000</v>
      </c>
      <c r="K867" s="51"/>
      <c r="L867" s="52">
        <v>45861</v>
      </c>
      <c r="M867" s="53">
        <v>45800</v>
      </c>
      <c r="N867" s="50" t="s">
        <v>306</v>
      </c>
      <c r="O867" s="50" t="s">
        <v>2887</v>
      </c>
      <c r="P867" s="50" t="s">
        <v>132</v>
      </c>
      <c r="Q867" s="55" t="s">
        <v>2888</v>
      </c>
      <c r="R867" s="55" t="s">
        <v>2889</v>
      </c>
      <c r="S867" s="53">
        <v>46895</v>
      </c>
      <c r="T867" s="50"/>
      <c r="U867" s="50"/>
      <c r="V867" s="56"/>
      <c r="W867" s="50"/>
      <c r="X867" s="50"/>
      <c r="Y867" s="56"/>
      <c r="Z867" s="56"/>
      <c r="AA867" s="56"/>
      <c r="AB867" s="56"/>
      <c r="AC867" s="56"/>
      <c r="AD867" s="56"/>
    </row>
    <row x14ac:dyDescent="0.25" r="868" customHeight="1" ht="18.75">
      <c r="A868" s="57" t="s">
        <v>708</v>
      </c>
      <c r="B868" s="57" t="s">
        <v>3224</v>
      </c>
      <c r="C868" s="58" t="s">
        <v>16</v>
      </c>
      <c r="D868" s="58" t="s">
        <v>690</v>
      </c>
      <c r="E868" s="58" t="s">
        <v>690</v>
      </c>
      <c r="F868" s="58" t="s">
        <v>691</v>
      </c>
      <c r="G868" s="61">
        <v>10000000</v>
      </c>
      <c r="H868" s="61">
        <v>10000000</v>
      </c>
      <c r="I868" s="60">
        <v>46174</v>
      </c>
      <c r="J868" s="61">
        <v>1200000</v>
      </c>
      <c r="K868" s="61">
        <v>1</v>
      </c>
      <c r="L868" s="86">
        <v>46235</v>
      </c>
      <c r="M868" s="60">
        <f>IF(L868&gt;0,EDATE(L868,-2),"")</f>
        <v>25569.375</v>
      </c>
      <c r="N868" s="58" t="s">
        <v>155</v>
      </c>
      <c r="O868" s="58" t="s">
        <v>692</v>
      </c>
      <c r="P868" s="78">
        <f>IF(F868&gt;0,F868,"")</f>
      </c>
      <c r="Q868" s="59">
        <v>7306142058011</v>
      </c>
      <c r="R868" s="59">
        <v>85366602</v>
      </c>
      <c r="S868" s="60">
        <f>IF(ISNUMBER(M868), EDATE(M868,36)-1, "")</f>
        <v>25569.375</v>
      </c>
      <c r="T868" s="58"/>
      <c r="U868" s="58"/>
      <c r="V868" s="57"/>
      <c r="W868" s="58"/>
      <c r="X868" s="58"/>
      <c r="Y868" s="57"/>
      <c r="Z868" s="57"/>
      <c r="AA868" s="57"/>
      <c r="AB868" s="57"/>
      <c r="AC868" s="57"/>
      <c r="AD868" s="57"/>
    </row>
    <row x14ac:dyDescent="0.25" r="869" customHeight="1" ht="18.75">
      <c r="A869" s="56"/>
      <c r="B869" s="56"/>
      <c r="C869" s="50" t="s">
        <v>16</v>
      </c>
      <c r="D869" s="50" t="s">
        <v>143</v>
      </c>
      <c r="E869" s="50" t="s">
        <v>14</v>
      </c>
      <c r="F869" s="50" t="s">
        <v>3349</v>
      </c>
      <c r="G869" s="51">
        <v>30000000</v>
      </c>
      <c r="H869" s="51"/>
      <c r="I869" s="51"/>
      <c r="J869" s="87">
        <f>IF(G869&gt;0,_xludf.IFS(G869=10000000,1200000,G869=20000000,1800000,G869=30000000,2400000,G869=60000000,4000000),"")</f>
      </c>
      <c r="K869" s="51"/>
      <c r="L869" s="52">
        <v>46235</v>
      </c>
      <c r="M869" s="53">
        <f>IF(L869&gt;0,EDATE(L869,-2),"")</f>
        <v>25569.375</v>
      </c>
      <c r="N869" s="50" t="s">
        <v>155</v>
      </c>
      <c r="O869" s="50" t="s">
        <v>3350</v>
      </c>
      <c r="P869" s="50" t="s">
        <v>3351</v>
      </c>
      <c r="Q869" s="55" t="s">
        <v>3352</v>
      </c>
      <c r="R869" s="55">
        <v>87725719</v>
      </c>
      <c r="S869" s="53">
        <f>IF(ISNUMBER(M869), EDATE(M869,36)-1, "")</f>
        <v>25569.375</v>
      </c>
      <c r="T869" s="50"/>
      <c r="U869" s="50"/>
      <c r="V869" s="48" t="s">
        <v>772</v>
      </c>
      <c r="W869" s="50"/>
      <c r="X869" s="50"/>
      <c r="Y869" s="56"/>
      <c r="Z869" s="56"/>
      <c r="AA869" s="56"/>
      <c r="AB869" s="56"/>
      <c r="AC869" s="56"/>
      <c r="AD869" s="56"/>
    </row>
    <row x14ac:dyDescent="0.25" r="870" customHeight="1" ht="18.75" hidden="1">
      <c r="A870" s="71"/>
      <c r="B870" s="71"/>
      <c r="C870" s="72" t="s">
        <v>16</v>
      </c>
      <c r="D870" s="72" t="s">
        <v>816</v>
      </c>
      <c r="E870" s="72" t="s">
        <v>114</v>
      </c>
      <c r="F870" s="72" t="s">
        <v>1160</v>
      </c>
      <c r="G870" s="73">
        <v>10000000</v>
      </c>
      <c r="H870" s="73"/>
      <c r="I870" s="73"/>
      <c r="J870" s="88"/>
      <c r="K870" s="88"/>
      <c r="L870" s="75">
        <v>46118</v>
      </c>
      <c r="M870" s="76">
        <v>46059</v>
      </c>
      <c r="N870" s="72" t="s">
        <v>940</v>
      </c>
      <c r="O870" s="72" t="s">
        <v>2896</v>
      </c>
      <c r="P870" s="72" t="s">
        <v>1160</v>
      </c>
      <c r="Q870" s="73" t="s">
        <v>2897</v>
      </c>
      <c r="R870" s="73" t="s">
        <v>2896</v>
      </c>
      <c r="S870" s="76">
        <v>47154</v>
      </c>
      <c r="T870" s="72"/>
      <c r="U870" s="72" t="s">
        <v>166</v>
      </c>
      <c r="V870" s="71"/>
      <c r="W870" s="50"/>
      <c r="X870" s="50"/>
      <c r="Y870" s="56"/>
      <c r="Z870" s="56"/>
      <c r="AA870" s="56"/>
      <c r="AB870" s="56"/>
      <c r="AC870" s="56"/>
      <c r="AD870" s="56"/>
    </row>
    <row x14ac:dyDescent="0.25" r="871" customHeight="1" ht="18.75">
      <c r="A871" s="56"/>
      <c r="B871" s="56"/>
      <c r="C871" s="50" t="s">
        <v>16</v>
      </c>
      <c r="D871" s="50" t="s">
        <v>88</v>
      </c>
      <c r="E871" s="50" t="s">
        <v>14</v>
      </c>
      <c r="F871" s="50" t="s">
        <v>996</v>
      </c>
      <c r="G871" s="51">
        <v>10000000</v>
      </c>
      <c r="H871" s="51"/>
      <c r="I871" s="51"/>
      <c r="J871" s="51">
        <v>400000</v>
      </c>
      <c r="K871" s="51"/>
      <c r="L871" s="52">
        <v>46235</v>
      </c>
      <c r="M871" s="53">
        <f>IF(L871&gt;0,EDATE(L871,-2),"")</f>
        <v>25569.375</v>
      </c>
      <c r="N871" s="50" t="s">
        <v>212</v>
      </c>
      <c r="O871" s="50" t="s">
        <v>1002</v>
      </c>
      <c r="P871" s="54">
        <f>IF(F871&gt;0,F871,"")</f>
      </c>
      <c r="Q871" s="55">
        <v>9008082011110</v>
      </c>
      <c r="R871" s="55">
        <v>34364407</v>
      </c>
      <c r="S871" s="53">
        <f>IF(ISNUMBER(M871), EDATE(M871,36)-1, "")</f>
        <v>25569.375</v>
      </c>
      <c r="T871" s="50"/>
      <c r="U871" s="50"/>
      <c r="V871" s="56"/>
      <c r="W871" s="50"/>
      <c r="X871" s="50"/>
      <c r="Y871" s="56"/>
      <c r="Z871" s="56"/>
      <c r="AA871" s="56"/>
      <c r="AB871" s="56"/>
      <c r="AC871" s="56"/>
      <c r="AD871" s="56"/>
    </row>
    <row x14ac:dyDescent="0.25" r="872" customHeight="1" ht="18.75" hidden="1">
      <c r="A872" s="56"/>
      <c r="B872" s="56"/>
      <c r="C872" s="50" t="s">
        <v>16</v>
      </c>
      <c r="D872" s="50"/>
      <c r="E872" s="50" t="s">
        <v>276</v>
      </c>
      <c r="F872" s="50" t="s">
        <v>2900</v>
      </c>
      <c r="G872" s="55">
        <v>10000000</v>
      </c>
      <c r="H872" s="55"/>
      <c r="I872" s="55"/>
      <c r="J872" s="51">
        <v>800000</v>
      </c>
      <c r="K872" s="51"/>
      <c r="L872" s="52">
        <v>46130</v>
      </c>
      <c r="M872" s="53">
        <v>46071</v>
      </c>
      <c r="N872" s="50" t="s">
        <v>306</v>
      </c>
      <c r="O872" s="50" t="s">
        <v>2901</v>
      </c>
      <c r="P872" s="50" t="s">
        <v>2900</v>
      </c>
      <c r="Q872" s="55" t="s">
        <v>2902</v>
      </c>
      <c r="R872" s="55" t="s">
        <v>2903</v>
      </c>
      <c r="S872" s="53">
        <v>47166</v>
      </c>
      <c r="T872" s="50"/>
      <c r="U872" s="50"/>
      <c r="V872" s="56"/>
      <c r="W872" s="50"/>
      <c r="X872" s="50"/>
      <c r="Y872" s="56"/>
      <c r="Z872" s="56"/>
      <c r="AA872" s="56"/>
      <c r="AB872" s="56"/>
      <c r="AC872" s="56"/>
      <c r="AD872" s="56"/>
    </row>
    <row x14ac:dyDescent="0.25" r="873" customHeight="1" ht="18.75" hidden="1">
      <c r="A873" s="56"/>
      <c r="B873" s="56"/>
      <c r="C873" s="50" t="s">
        <v>16</v>
      </c>
      <c r="D873" s="50"/>
      <c r="E873" s="50"/>
      <c r="F873" s="50" t="s">
        <v>2904</v>
      </c>
      <c r="G873" s="55">
        <v>10000000</v>
      </c>
      <c r="H873" s="55"/>
      <c r="I873" s="55"/>
      <c r="J873" s="51">
        <v>800000</v>
      </c>
      <c r="K873" s="51"/>
      <c r="L873" s="52">
        <v>45928</v>
      </c>
      <c r="M873" s="53">
        <v>45842</v>
      </c>
      <c r="N873" s="50" t="s">
        <v>168</v>
      </c>
      <c r="O873" s="50" t="s">
        <v>2905</v>
      </c>
      <c r="P873" s="50" t="s">
        <v>2904</v>
      </c>
      <c r="Q873" s="55" t="s">
        <v>2906</v>
      </c>
      <c r="R873" s="55" t="s">
        <v>2907</v>
      </c>
      <c r="S873" s="53">
        <v>46961</v>
      </c>
      <c r="T873" s="50"/>
      <c r="U873" s="50"/>
      <c r="V873" s="56"/>
      <c r="W873" s="50"/>
      <c r="X873" s="50"/>
      <c r="Y873" s="56"/>
      <c r="Z873" s="56"/>
      <c r="AA873" s="56"/>
      <c r="AB873" s="56"/>
      <c r="AC873" s="56"/>
      <c r="AD873" s="56"/>
    </row>
    <row x14ac:dyDescent="0.25" r="874" customHeight="1" ht="18.75">
      <c r="A874" s="56"/>
      <c r="B874" s="56"/>
      <c r="C874" s="50" t="s">
        <v>16</v>
      </c>
      <c r="D874" s="50" t="s">
        <v>143</v>
      </c>
      <c r="E874" s="50" t="s">
        <v>14</v>
      </c>
      <c r="F874" s="50" t="s">
        <v>1380</v>
      </c>
      <c r="G874" s="51">
        <v>30000000</v>
      </c>
      <c r="H874" s="51"/>
      <c r="I874" s="51"/>
      <c r="J874" s="87">
        <f>IF(G874&gt;0,_xludf.IFS(G874=10000000,1200000,G874=20000000,1800000,G874=30000000,2400000,G874=60000000,4000000),"")</f>
      </c>
      <c r="K874" s="51"/>
      <c r="L874" s="52">
        <v>46235</v>
      </c>
      <c r="M874" s="53">
        <f>IF(L874&gt;0,EDATE(L874,-2),"")</f>
        <v>25569.375</v>
      </c>
      <c r="N874" s="50" t="s">
        <v>155</v>
      </c>
      <c r="O874" s="50" t="s">
        <v>3353</v>
      </c>
      <c r="P874" s="50" t="s">
        <v>3351</v>
      </c>
      <c r="Q874" s="55" t="s">
        <v>3352</v>
      </c>
      <c r="R874" s="55">
        <v>96421118</v>
      </c>
      <c r="S874" s="53">
        <f>IF(ISNUMBER(M874), EDATE(M874,36)-1, "")</f>
        <v>25569.375</v>
      </c>
      <c r="T874" s="50"/>
      <c r="U874" s="50"/>
      <c r="V874" s="48" t="s">
        <v>772</v>
      </c>
      <c r="W874" s="50"/>
      <c r="X874" s="50"/>
      <c r="Y874" s="56"/>
      <c r="Z874" s="56"/>
      <c r="AA874" s="56"/>
      <c r="AB874" s="56"/>
      <c r="AC874" s="56"/>
      <c r="AD874" s="56"/>
    </row>
    <row x14ac:dyDescent="0.25" r="875" customHeight="1" ht="18.75" hidden="1">
      <c r="A875" s="48" t="s">
        <v>152</v>
      </c>
      <c r="B875" s="48"/>
      <c r="C875" s="50" t="s">
        <v>16</v>
      </c>
      <c r="D875" s="50" t="s">
        <v>67</v>
      </c>
      <c r="E875" s="50" t="s">
        <v>68</v>
      </c>
      <c r="F875" s="50" t="s">
        <v>2913</v>
      </c>
      <c r="G875" s="55">
        <v>60000000</v>
      </c>
      <c r="H875" s="55"/>
      <c r="I875" s="55"/>
      <c r="J875" s="51">
        <v>4800000</v>
      </c>
      <c r="K875" s="51"/>
      <c r="L875" s="52">
        <v>45928</v>
      </c>
      <c r="M875" s="53">
        <v>45848</v>
      </c>
      <c r="N875" s="50" t="s">
        <v>302</v>
      </c>
      <c r="O875" s="50" t="s">
        <v>2914</v>
      </c>
      <c r="P875" s="50" t="s">
        <v>2913</v>
      </c>
      <c r="Q875" s="55" t="s">
        <v>2915</v>
      </c>
      <c r="R875" s="85" t="s">
        <v>2009</v>
      </c>
      <c r="S875" s="53">
        <v>46961</v>
      </c>
      <c r="T875" s="50"/>
      <c r="U875" s="50"/>
      <c r="V875" s="56"/>
      <c r="W875" s="50"/>
      <c r="X875" s="50"/>
      <c r="Y875" s="56"/>
      <c r="Z875" s="56"/>
      <c r="AA875" s="56"/>
      <c r="AB875" s="56"/>
      <c r="AC875" s="56"/>
      <c r="AD875" s="56"/>
    </row>
    <row x14ac:dyDescent="0.25" r="876" customHeight="1" ht="18.75" hidden="1">
      <c r="A876" s="48" t="s">
        <v>152</v>
      </c>
      <c r="B876" s="48"/>
      <c r="C876" s="50" t="s">
        <v>16</v>
      </c>
      <c r="D876" s="50" t="s">
        <v>67</v>
      </c>
      <c r="E876" s="50" t="s">
        <v>68</v>
      </c>
      <c r="F876" s="50" t="s">
        <v>2913</v>
      </c>
      <c r="G876" s="55">
        <v>10000000</v>
      </c>
      <c r="H876" s="55"/>
      <c r="I876" s="55"/>
      <c r="J876" s="51">
        <v>500000</v>
      </c>
      <c r="K876" s="51"/>
      <c r="L876" s="52">
        <v>45992</v>
      </c>
      <c r="M876" s="53">
        <v>45931</v>
      </c>
      <c r="N876" s="50" t="s">
        <v>302</v>
      </c>
      <c r="O876" s="50" t="s">
        <v>2914</v>
      </c>
      <c r="P876" s="50" t="s">
        <v>2913</v>
      </c>
      <c r="Q876" s="55" t="s">
        <v>2915</v>
      </c>
      <c r="R876" s="85" t="s">
        <v>2009</v>
      </c>
      <c r="S876" s="53">
        <v>47026</v>
      </c>
      <c r="T876" s="50"/>
      <c r="U876" s="50"/>
      <c r="V876" s="56"/>
      <c r="W876" s="50"/>
      <c r="X876" s="50"/>
      <c r="Y876" s="56"/>
      <c r="Z876" s="56"/>
      <c r="AA876" s="56"/>
      <c r="AB876" s="56"/>
      <c r="AC876" s="56"/>
      <c r="AD876" s="56"/>
    </row>
    <row x14ac:dyDescent="0.25" r="877" customHeight="1" ht="18.75" hidden="1">
      <c r="A877" s="48" t="s">
        <v>152</v>
      </c>
      <c r="B877" s="48"/>
      <c r="C877" s="50" t="s">
        <v>16</v>
      </c>
      <c r="D877" s="50" t="s">
        <v>67</v>
      </c>
      <c r="E877" s="50" t="s">
        <v>68</v>
      </c>
      <c r="F877" s="50" t="s">
        <v>2913</v>
      </c>
      <c r="G877" s="55">
        <v>30000000</v>
      </c>
      <c r="H877" s="55"/>
      <c r="I877" s="55"/>
      <c r="J877" s="51">
        <v>2400000</v>
      </c>
      <c r="K877" s="51"/>
      <c r="L877" s="52">
        <v>46063</v>
      </c>
      <c r="M877" s="53">
        <v>46001</v>
      </c>
      <c r="N877" s="50" t="s">
        <v>302</v>
      </c>
      <c r="O877" s="50" t="s">
        <v>2914</v>
      </c>
      <c r="P877" s="50" t="s">
        <v>2913</v>
      </c>
      <c r="Q877" s="55" t="s">
        <v>2915</v>
      </c>
      <c r="R877" s="85" t="s">
        <v>2009</v>
      </c>
      <c r="S877" s="53">
        <v>47096</v>
      </c>
      <c r="T877" s="50"/>
      <c r="U877" s="50"/>
      <c r="V877" s="56"/>
      <c r="W877" s="50"/>
      <c r="X877" s="50"/>
      <c r="Y877" s="56"/>
      <c r="Z877" s="56"/>
      <c r="AA877" s="56"/>
      <c r="AB877" s="56"/>
      <c r="AC877" s="56"/>
      <c r="AD877" s="56"/>
    </row>
    <row x14ac:dyDescent="0.25" r="878" customHeight="1" ht="18.75">
      <c r="A878" s="56"/>
      <c r="B878" s="56"/>
      <c r="C878" s="50" t="s">
        <v>16</v>
      </c>
      <c r="D878" s="50" t="s">
        <v>129</v>
      </c>
      <c r="E878" s="50" t="s">
        <v>130</v>
      </c>
      <c r="F878" s="50" t="s">
        <v>131</v>
      </c>
      <c r="G878" s="51">
        <v>40000000</v>
      </c>
      <c r="H878" s="51"/>
      <c r="I878" s="51"/>
      <c r="J878" s="51">
        <v>2900000</v>
      </c>
      <c r="K878" s="51"/>
      <c r="L878" s="52">
        <v>46235</v>
      </c>
      <c r="M878" s="53">
        <f>IF(L878&gt;0,EDATE(L878,-2),"")</f>
        <v>25569.375</v>
      </c>
      <c r="N878" s="50" t="s">
        <v>155</v>
      </c>
      <c r="O878" s="50" t="s">
        <v>2877</v>
      </c>
      <c r="P878" s="54">
        <f>IF(F878&gt;0,F878,"")</f>
      </c>
      <c r="Q878" s="55">
        <v>7501181329414</v>
      </c>
      <c r="R878" s="55">
        <v>24379067</v>
      </c>
      <c r="S878" s="53">
        <f>IF(ISNUMBER(M878), EDATE(M878,36)-1, "")</f>
        <v>25569.375</v>
      </c>
      <c r="T878" s="50"/>
      <c r="U878" s="50"/>
      <c r="V878" s="56"/>
      <c r="W878" s="50"/>
      <c r="X878" s="50"/>
      <c r="Y878" s="56"/>
      <c r="Z878" s="56"/>
      <c r="AA878" s="56"/>
      <c r="AB878" s="56"/>
      <c r="AC878" s="56"/>
      <c r="AD878" s="56"/>
    </row>
    <row x14ac:dyDescent="0.25" r="879" customHeight="1" ht="18.75">
      <c r="A879" s="56"/>
      <c r="B879" s="56"/>
      <c r="C879" s="50" t="s">
        <v>16</v>
      </c>
      <c r="D879" s="50" t="s">
        <v>88</v>
      </c>
      <c r="E879" s="50" t="s">
        <v>14</v>
      </c>
      <c r="F879" s="50" t="s">
        <v>2935</v>
      </c>
      <c r="G879" s="51">
        <v>10000000</v>
      </c>
      <c r="H879" s="51"/>
      <c r="I879" s="51"/>
      <c r="J879" s="51">
        <v>400000</v>
      </c>
      <c r="K879" s="51"/>
      <c r="L879" s="52">
        <v>46235</v>
      </c>
      <c r="M879" s="53">
        <f>IF(L879&gt;0,EDATE(L879,-2),"")</f>
        <v>25569.375</v>
      </c>
      <c r="N879" s="50" t="s">
        <v>205</v>
      </c>
      <c r="O879" s="50" t="s">
        <v>2937</v>
      </c>
      <c r="P879" s="54">
        <f>IF(F879&gt;0,F879,"")</f>
      </c>
      <c r="Q879" s="55">
        <v>8702091152021</v>
      </c>
      <c r="R879" s="55">
        <v>8955833</v>
      </c>
      <c r="S879" s="53">
        <f>IF(ISNUMBER(M879), EDATE(M879,36)-1, "")</f>
        <v>25569.375</v>
      </c>
      <c r="T879" s="50"/>
      <c r="U879" s="50"/>
      <c r="V879" s="56"/>
      <c r="W879" s="50"/>
      <c r="X879" s="50"/>
      <c r="Y879" s="56"/>
      <c r="Z879" s="56"/>
      <c r="AA879" s="56"/>
      <c r="AB879" s="56"/>
      <c r="AC879" s="56"/>
      <c r="AD879" s="56"/>
    </row>
    <row x14ac:dyDescent="0.25" r="880" customHeight="1" ht="18.75" hidden="1">
      <c r="A880" s="56"/>
      <c r="B880" s="56"/>
      <c r="C880" s="50" t="s">
        <v>16</v>
      </c>
      <c r="D880" s="50"/>
      <c r="E880" s="50" t="s">
        <v>22</v>
      </c>
      <c r="F880" s="50" t="s">
        <v>2927</v>
      </c>
      <c r="G880" s="55">
        <v>40000000</v>
      </c>
      <c r="H880" s="55"/>
      <c r="I880" s="55"/>
      <c r="J880" s="51">
        <v>3056000</v>
      </c>
      <c r="K880" s="51"/>
      <c r="L880" s="52">
        <v>46162</v>
      </c>
      <c r="M880" s="53">
        <v>46101</v>
      </c>
      <c r="N880" s="50" t="s">
        <v>1688</v>
      </c>
      <c r="O880" s="50" t="s">
        <v>2928</v>
      </c>
      <c r="P880" s="50" t="s">
        <v>2927</v>
      </c>
      <c r="Q880" s="55" t="s">
        <v>2929</v>
      </c>
      <c r="R880" s="55" t="s">
        <v>2930</v>
      </c>
      <c r="S880" s="53">
        <v>47196</v>
      </c>
      <c r="T880" s="50" t="s">
        <v>2931</v>
      </c>
      <c r="U880" s="50" t="s">
        <v>166</v>
      </c>
      <c r="V880" s="56"/>
      <c r="W880" s="50"/>
      <c r="X880" s="50"/>
      <c r="Y880" s="56"/>
      <c r="Z880" s="56"/>
      <c r="AA880" s="56"/>
      <c r="AB880" s="56"/>
      <c r="AC880" s="56"/>
      <c r="AD880" s="56"/>
    </row>
    <row x14ac:dyDescent="0.25" r="881" customHeight="1" ht="18.75" hidden="1">
      <c r="A881" s="56"/>
      <c r="B881" s="56"/>
      <c r="C881" s="49" t="s">
        <v>16</v>
      </c>
      <c r="D881" s="50"/>
      <c r="E881" s="50" t="s">
        <v>1335</v>
      </c>
      <c r="F881" s="50" t="s">
        <v>2927</v>
      </c>
      <c r="G881" s="51">
        <v>40000000</v>
      </c>
      <c r="H881" s="51"/>
      <c r="I881" s="51"/>
      <c r="J881" s="51">
        <v>2528000</v>
      </c>
      <c r="K881" s="51"/>
      <c r="L881" s="52">
        <v>46162</v>
      </c>
      <c r="M881" s="53">
        <f>IF(L881&gt;0,EDATE(L881,-2),"")</f>
        <v>25569.375</v>
      </c>
      <c r="N881" s="50" t="s">
        <v>1688</v>
      </c>
      <c r="O881" s="50" t="s">
        <v>2928</v>
      </c>
      <c r="P881" s="54">
        <f>IF(F881&gt;0,F881,"")</f>
      </c>
      <c r="Q881" s="55">
        <v>6805052709423</v>
      </c>
      <c r="R881" s="55">
        <v>65035213</v>
      </c>
      <c r="S881" s="53">
        <f>IF(ISNUMBER(M881), EDATE(M881,36)-1, "")</f>
        <v>25569.375</v>
      </c>
      <c r="T881" s="50"/>
      <c r="U881" s="50"/>
      <c r="V881" s="56"/>
      <c r="W881" s="50"/>
      <c r="X881" s="50"/>
      <c r="Y881" s="56"/>
      <c r="Z881" s="56"/>
      <c r="AA881" s="56"/>
      <c r="AB881" s="56"/>
      <c r="AC881" s="56"/>
      <c r="AD881" s="56"/>
    </row>
    <row x14ac:dyDescent="0.25" r="882" customHeight="1" ht="18.75" hidden="1">
      <c r="A882" s="56"/>
      <c r="B882" s="56"/>
      <c r="C882" s="49" t="s">
        <v>16</v>
      </c>
      <c r="D882" s="50"/>
      <c r="E882" s="50"/>
      <c r="F882" s="50" t="s">
        <v>2932</v>
      </c>
      <c r="G882" s="51">
        <v>10000000</v>
      </c>
      <c r="H882" s="51"/>
      <c r="I882" s="51"/>
      <c r="J882" s="87">
        <f>IF(G882&gt;0,_xludf.IFS(G882=10000000,800000,G882=20000000,1528000,G882=30000000,2028000,G882=60000000,4056000),"")</f>
      </c>
      <c r="K882" s="51"/>
      <c r="L882" s="52">
        <v>46147</v>
      </c>
      <c r="M882" s="53">
        <f>IF(L882&gt;0,EDATE(L882,-2),"")</f>
        <v>25569.375</v>
      </c>
      <c r="N882" s="50" t="s">
        <v>155</v>
      </c>
      <c r="O882" s="50" t="s">
        <v>2933</v>
      </c>
      <c r="P882" s="54">
        <f>IF(F882&gt;0,F882,"")</f>
      </c>
      <c r="Q882" s="55" t="s">
        <v>2934</v>
      </c>
      <c r="R882" s="55">
        <v>96073140</v>
      </c>
      <c r="S882" s="53">
        <f>IF(ISNUMBER(M882), EDATE(M882,36)-1, "")</f>
        <v>25569.375</v>
      </c>
      <c r="T882" s="50"/>
      <c r="U882" s="50"/>
      <c r="V882" s="56"/>
      <c r="W882" s="50"/>
      <c r="X882" s="50"/>
      <c r="Y882" s="56"/>
      <c r="Z882" s="56"/>
      <c r="AA882" s="56"/>
      <c r="AB882" s="56"/>
      <c r="AC882" s="56"/>
      <c r="AD882" s="56"/>
    </row>
    <row x14ac:dyDescent="0.25" r="883" customHeight="1" ht="18.75">
      <c r="A883" s="56"/>
      <c r="B883" s="56"/>
      <c r="C883" s="50" t="s">
        <v>16</v>
      </c>
      <c r="D883" s="50" t="s">
        <v>877</v>
      </c>
      <c r="E883" s="50" t="s">
        <v>92</v>
      </c>
      <c r="F883" s="50" t="s">
        <v>869</v>
      </c>
      <c r="G883" s="51">
        <v>30000000</v>
      </c>
      <c r="H883" s="51"/>
      <c r="I883" s="51"/>
      <c r="J883" s="87">
        <f>IF(G883&gt;0,_xludf.IFS(G883=10000000,1200000,G883=20000000,1800000,G883=30000000,2400000,G883=60000000,4000000),"")</f>
      </c>
      <c r="K883" s="51"/>
      <c r="L883" s="52">
        <v>46239</v>
      </c>
      <c r="M883" s="53">
        <v>46175</v>
      </c>
      <c r="N883" s="50" t="s">
        <v>282</v>
      </c>
      <c r="O883" s="50" t="s">
        <v>878</v>
      </c>
      <c r="P883" s="54">
        <f>IF(F883&gt;0,F883,"")</f>
      </c>
      <c r="Q883" s="55">
        <v>7702232256019</v>
      </c>
      <c r="R883" s="55">
        <v>47805940</v>
      </c>
      <c r="S883" s="53">
        <f>IF(ISNUMBER(M883), EDATE(M883,36)-1, "")</f>
        <v>25569.375</v>
      </c>
      <c r="T883" s="50"/>
      <c r="U883" s="50"/>
      <c r="V883" s="56"/>
      <c r="W883" s="50"/>
      <c r="X883" s="50"/>
      <c r="Y883" s="56"/>
      <c r="Z883" s="56"/>
      <c r="AA883" s="56"/>
      <c r="AB883" s="56"/>
      <c r="AC883" s="56"/>
      <c r="AD883" s="56"/>
    </row>
    <row x14ac:dyDescent="0.25" r="884" customHeight="1" ht="18.75">
      <c r="A884" s="56"/>
      <c r="B884" s="56"/>
      <c r="C884" s="50" t="s">
        <v>16</v>
      </c>
      <c r="D884" s="50" t="s">
        <v>143</v>
      </c>
      <c r="E884" s="50" t="s">
        <v>14</v>
      </c>
      <c r="F884" s="50" t="s">
        <v>1347</v>
      </c>
      <c r="G884" s="55">
        <v>20000000</v>
      </c>
      <c r="H884" s="55"/>
      <c r="I884" s="55"/>
      <c r="J884" s="51">
        <v>1700000</v>
      </c>
      <c r="K884" s="51"/>
      <c r="L884" s="52">
        <v>46237</v>
      </c>
      <c r="M884" s="53">
        <v>46175</v>
      </c>
      <c r="N884" s="50" t="s">
        <v>155</v>
      </c>
      <c r="O884" s="50" t="s">
        <v>3280</v>
      </c>
      <c r="P884" s="50" t="s">
        <v>3281</v>
      </c>
      <c r="Q884" s="55" t="s">
        <v>3282</v>
      </c>
      <c r="R884" s="55" t="s">
        <v>1350</v>
      </c>
      <c r="S884" s="53">
        <v>47271</v>
      </c>
      <c r="T884" s="50"/>
      <c r="U884" s="50"/>
      <c r="V884" s="48" t="s">
        <v>772</v>
      </c>
      <c r="W884" s="50"/>
      <c r="X884" s="50"/>
      <c r="Y884" s="56"/>
      <c r="Z884" s="56"/>
      <c r="AA884" s="56"/>
      <c r="AB884" s="56"/>
      <c r="AC884" s="56"/>
      <c r="AD884" s="56"/>
    </row>
    <row x14ac:dyDescent="0.25" r="885" customHeight="1" ht="18.75" hidden="1">
      <c r="A885" s="56"/>
      <c r="B885" s="56"/>
      <c r="C885" s="50" t="s">
        <v>16</v>
      </c>
      <c r="D885" s="50"/>
      <c r="E885" s="50"/>
      <c r="F885" s="50" t="s">
        <v>2939</v>
      </c>
      <c r="G885" s="55">
        <v>10000000</v>
      </c>
      <c r="H885" s="55"/>
      <c r="I885" s="55"/>
      <c r="J885" s="51">
        <v>800000</v>
      </c>
      <c r="K885" s="51"/>
      <c r="L885" s="52">
        <v>46049</v>
      </c>
      <c r="M885" s="53">
        <v>45988</v>
      </c>
      <c r="N885" s="50" t="s">
        <v>988</v>
      </c>
      <c r="O885" s="50" t="s">
        <v>2940</v>
      </c>
      <c r="P885" s="50" t="s">
        <v>2939</v>
      </c>
      <c r="Q885" s="55" t="s">
        <v>2941</v>
      </c>
      <c r="R885" s="55" t="s">
        <v>2942</v>
      </c>
      <c r="S885" s="53">
        <v>47083</v>
      </c>
      <c r="T885" s="50"/>
      <c r="U885" s="50"/>
      <c r="V885" s="56"/>
      <c r="W885" s="50"/>
      <c r="X885" s="50"/>
      <c r="Y885" s="56"/>
      <c r="Z885" s="56"/>
      <c r="AA885" s="56"/>
      <c r="AB885" s="56"/>
      <c r="AC885" s="56"/>
      <c r="AD885" s="56"/>
    </row>
    <row x14ac:dyDescent="0.25" r="886" customHeight="1" ht="18.75" hidden="1">
      <c r="A886" s="56"/>
      <c r="B886" s="56"/>
      <c r="C886" s="50" t="s">
        <v>16</v>
      </c>
      <c r="D886" s="50"/>
      <c r="E886" s="50" t="s">
        <v>34</v>
      </c>
      <c r="F886" s="50" t="s">
        <v>133</v>
      </c>
      <c r="G886" s="55">
        <v>19000000</v>
      </c>
      <c r="H886" s="55"/>
      <c r="I886" s="55"/>
      <c r="J886" s="51">
        <v>2028000</v>
      </c>
      <c r="K886" s="51"/>
      <c r="L886" s="52">
        <v>46114</v>
      </c>
      <c r="M886" s="53">
        <v>46055</v>
      </c>
      <c r="N886" s="50" t="s">
        <v>570</v>
      </c>
      <c r="O886" s="50" t="s">
        <v>2943</v>
      </c>
      <c r="P886" s="50" t="s">
        <v>133</v>
      </c>
      <c r="Q886" s="55" t="s">
        <v>2944</v>
      </c>
      <c r="R886" s="55" t="s">
        <v>2945</v>
      </c>
      <c r="S886" s="53">
        <v>47150</v>
      </c>
      <c r="T886" s="50" t="s">
        <v>134</v>
      </c>
      <c r="U886" s="50" t="s">
        <v>166</v>
      </c>
      <c r="V886" s="56"/>
      <c r="W886" s="50"/>
      <c r="X886" s="50"/>
      <c r="Y886" s="56"/>
      <c r="Z886" s="56"/>
      <c r="AA886" s="56"/>
      <c r="AB886" s="56"/>
      <c r="AC886" s="56"/>
      <c r="AD886" s="56"/>
    </row>
    <row x14ac:dyDescent="0.25" r="887" customHeight="1" ht="18.75" hidden="1">
      <c r="A887" s="56"/>
      <c r="B887" s="56"/>
      <c r="C887" s="50" t="s">
        <v>16</v>
      </c>
      <c r="D887" s="50"/>
      <c r="E887" s="50"/>
      <c r="F887" s="50" t="s">
        <v>2946</v>
      </c>
      <c r="G887" s="55">
        <v>60000000</v>
      </c>
      <c r="H887" s="55"/>
      <c r="I887" s="55"/>
      <c r="J887" s="51">
        <v>4056000</v>
      </c>
      <c r="K887" s="51"/>
      <c r="L887" s="52">
        <v>46002</v>
      </c>
      <c r="M887" s="53">
        <v>45941</v>
      </c>
      <c r="N887" s="50" t="s">
        <v>306</v>
      </c>
      <c r="O887" s="50" t="s">
        <v>2947</v>
      </c>
      <c r="P887" s="50" t="s">
        <v>2946</v>
      </c>
      <c r="Q887" s="55" t="s">
        <v>2948</v>
      </c>
      <c r="R887" s="55" t="s">
        <v>2949</v>
      </c>
      <c r="S887" s="53">
        <v>47036</v>
      </c>
      <c r="T887" s="50"/>
      <c r="U887" s="50"/>
      <c r="V887" s="56"/>
      <c r="W887" s="50"/>
      <c r="X887" s="50"/>
      <c r="Y887" s="56"/>
      <c r="Z887" s="56"/>
      <c r="AA887" s="56"/>
      <c r="AB887" s="56"/>
      <c r="AC887" s="56"/>
      <c r="AD887" s="56"/>
    </row>
    <row x14ac:dyDescent="0.25" r="888" customHeight="1" ht="18.75" hidden="1">
      <c r="A888" s="56"/>
      <c r="B888" s="56"/>
      <c r="C888" s="50" t="s">
        <v>16</v>
      </c>
      <c r="D888" s="50" t="s">
        <v>454</v>
      </c>
      <c r="E888" s="50" t="s">
        <v>647</v>
      </c>
      <c r="F888" s="50" t="s">
        <v>2950</v>
      </c>
      <c r="G888" s="55">
        <v>30000000</v>
      </c>
      <c r="H888" s="55"/>
      <c r="I888" s="55"/>
      <c r="J888" s="51">
        <v>2400000</v>
      </c>
      <c r="K888" s="51"/>
      <c r="L888" s="52">
        <v>46151</v>
      </c>
      <c r="M888" s="53">
        <v>46090</v>
      </c>
      <c r="N888" s="50" t="s">
        <v>217</v>
      </c>
      <c r="O888" s="50" t="s">
        <v>2951</v>
      </c>
      <c r="P888" s="50" t="s">
        <v>2950</v>
      </c>
      <c r="Q888" s="55" t="s">
        <v>2952</v>
      </c>
      <c r="R888" s="55" t="s">
        <v>2953</v>
      </c>
      <c r="S888" s="53">
        <v>47185</v>
      </c>
      <c r="T888" s="50"/>
      <c r="U888" s="50"/>
      <c r="V888" s="48" t="s">
        <v>2954</v>
      </c>
      <c r="W888" s="50"/>
      <c r="X888" s="50"/>
      <c r="Y888" s="56"/>
      <c r="Z888" s="56"/>
      <c r="AA888" s="56"/>
      <c r="AB888" s="56"/>
      <c r="AC888" s="56"/>
      <c r="AD888" s="56"/>
    </row>
    <row x14ac:dyDescent="0.25" r="889" customHeight="1" ht="18.75" hidden="1">
      <c r="A889" s="48" t="s">
        <v>152</v>
      </c>
      <c r="B889" s="48"/>
      <c r="C889" s="49" t="s">
        <v>16</v>
      </c>
      <c r="D889" s="50" t="s">
        <v>55</v>
      </c>
      <c r="E889" s="50" t="s">
        <v>56</v>
      </c>
      <c r="F889" s="50" t="s">
        <v>2955</v>
      </c>
      <c r="G889" s="51">
        <v>10000000</v>
      </c>
      <c r="H889" s="51"/>
      <c r="I889" s="51"/>
      <c r="J889" s="51">
        <v>500000</v>
      </c>
      <c r="K889" s="51"/>
      <c r="L889" s="52">
        <v>46187</v>
      </c>
      <c r="M889" s="53">
        <v>46111</v>
      </c>
      <c r="N889" s="50" t="s">
        <v>261</v>
      </c>
      <c r="O889" s="50" t="s">
        <v>2956</v>
      </c>
      <c r="P889" s="54">
        <f>IF(F889&gt;0,F889,"")</f>
      </c>
      <c r="Q889" s="55" t="s">
        <v>2957</v>
      </c>
      <c r="R889" s="55">
        <v>46525769</v>
      </c>
      <c r="S889" s="53">
        <v>47217</v>
      </c>
      <c r="T889" s="50"/>
      <c r="U889" s="50"/>
      <c r="V889" s="48" t="s">
        <v>2958</v>
      </c>
      <c r="W889" s="50"/>
      <c r="X889" s="50"/>
      <c r="Y889" s="56"/>
      <c r="Z889" s="56"/>
      <c r="AA889" s="56"/>
      <c r="AB889" s="56"/>
      <c r="AC889" s="56"/>
      <c r="AD889" s="56"/>
    </row>
    <row x14ac:dyDescent="0.25" r="890" customHeight="1" ht="18.75" hidden="1">
      <c r="A890" s="56"/>
      <c r="B890" s="56"/>
      <c r="C890" s="50" t="s">
        <v>16</v>
      </c>
      <c r="D890" s="50"/>
      <c r="E890" s="50"/>
      <c r="F890" s="50" t="s">
        <v>2959</v>
      </c>
      <c r="G890" s="55">
        <v>20000000</v>
      </c>
      <c r="H890" s="55"/>
      <c r="I890" s="55"/>
      <c r="J890" s="51">
        <v>1528000</v>
      </c>
      <c r="K890" s="51"/>
      <c r="L890" s="52">
        <v>46016</v>
      </c>
      <c r="M890" s="53">
        <v>45955</v>
      </c>
      <c r="N890" s="50" t="s">
        <v>155</v>
      </c>
      <c r="O890" s="50" t="s">
        <v>2960</v>
      </c>
      <c r="P890" s="50" t="s">
        <v>2959</v>
      </c>
      <c r="Q890" s="55" t="s">
        <v>2961</v>
      </c>
      <c r="R890" s="55" t="s">
        <v>2962</v>
      </c>
      <c r="S890" s="53">
        <v>47050</v>
      </c>
      <c r="T890" s="50"/>
      <c r="U890" s="50"/>
      <c r="V890" s="56"/>
      <c r="W890" s="50"/>
      <c r="X890" s="50"/>
      <c r="Y890" s="56"/>
      <c r="Z890" s="56"/>
      <c r="AA890" s="56"/>
      <c r="AB890" s="56"/>
      <c r="AC890" s="56"/>
      <c r="AD890" s="56"/>
    </row>
    <row x14ac:dyDescent="0.25" r="891" customHeight="1" ht="18.75" hidden="1">
      <c r="A891" s="71"/>
      <c r="B891" s="71"/>
      <c r="C891" s="72" t="s">
        <v>16</v>
      </c>
      <c r="D891" s="72"/>
      <c r="E891" s="72"/>
      <c r="F891" s="72" t="s">
        <v>2963</v>
      </c>
      <c r="G891" s="73">
        <v>10000000</v>
      </c>
      <c r="H891" s="73"/>
      <c r="I891" s="73"/>
      <c r="J891" s="74"/>
      <c r="K891" s="74"/>
      <c r="L891" s="75">
        <v>45725</v>
      </c>
      <c r="M891" s="76">
        <v>45666</v>
      </c>
      <c r="N891" s="72" t="s">
        <v>168</v>
      </c>
      <c r="O891" s="72" t="s">
        <v>1308</v>
      </c>
      <c r="P891" s="72" t="s">
        <v>1305</v>
      </c>
      <c r="Q891" s="73" t="s">
        <v>2964</v>
      </c>
      <c r="R891" s="73" t="s">
        <v>2965</v>
      </c>
      <c r="S891" s="76">
        <v>46760</v>
      </c>
      <c r="T891" s="72"/>
      <c r="U891" s="72"/>
      <c r="V891" s="71"/>
      <c r="W891" s="50"/>
      <c r="X891" s="50"/>
      <c r="Y891" s="56"/>
      <c r="Z891" s="56"/>
      <c r="AA891" s="56"/>
      <c r="AB891" s="56"/>
      <c r="AC891" s="56"/>
      <c r="AD891" s="56"/>
    </row>
    <row x14ac:dyDescent="0.25" r="892" customHeight="1" ht="18.75" hidden="1">
      <c r="A892" s="71"/>
      <c r="B892" s="71"/>
      <c r="C892" s="72" t="s">
        <v>16</v>
      </c>
      <c r="D892" s="72"/>
      <c r="E892" s="72"/>
      <c r="F892" s="72" t="s">
        <v>2963</v>
      </c>
      <c r="G892" s="73">
        <v>10000000</v>
      </c>
      <c r="H892" s="73"/>
      <c r="I892" s="73"/>
      <c r="J892" s="88"/>
      <c r="K892" s="88"/>
      <c r="L892" s="75">
        <v>46090</v>
      </c>
      <c r="M892" s="76">
        <v>46031</v>
      </c>
      <c r="N892" s="72" t="s">
        <v>282</v>
      </c>
      <c r="O892" s="72" t="s">
        <v>1308</v>
      </c>
      <c r="P892" s="72" t="s">
        <v>1305</v>
      </c>
      <c r="Q892" s="73" t="s">
        <v>2964</v>
      </c>
      <c r="R892" s="73" t="s">
        <v>2965</v>
      </c>
      <c r="S892" s="76">
        <v>47126</v>
      </c>
      <c r="T892" s="72"/>
      <c r="U892" s="72" t="s">
        <v>2966</v>
      </c>
      <c r="V892" s="71"/>
      <c r="W892" s="50"/>
      <c r="X892" s="50"/>
      <c r="Y892" s="56"/>
      <c r="Z892" s="56"/>
      <c r="AA892" s="56"/>
      <c r="AB892" s="56"/>
      <c r="AC892" s="56"/>
      <c r="AD892" s="56"/>
    </row>
    <row x14ac:dyDescent="0.25" r="893" customHeight="1" ht="18.75" hidden="1">
      <c r="A893" s="56"/>
      <c r="B893" s="56"/>
      <c r="C893" s="50" t="s">
        <v>16</v>
      </c>
      <c r="D893" s="50" t="s">
        <v>454</v>
      </c>
      <c r="E893" s="50"/>
      <c r="F893" s="50" t="s">
        <v>2967</v>
      </c>
      <c r="G893" s="55">
        <v>10000000</v>
      </c>
      <c r="H893" s="55"/>
      <c r="I893" s="55"/>
      <c r="J893" s="51">
        <v>500000</v>
      </c>
      <c r="K893" s="51"/>
      <c r="L893" s="52">
        <v>46154</v>
      </c>
      <c r="M893" s="53">
        <v>46093</v>
      </c>
      <c r="N893" s="50" t="s">
        <v>239</v>
      </c>
      <c r="O893" s="50" t="s">
        <v>3354</v>
      </c>
      <c r="P893" s="50" t="s">
        <v>2967</v>
      </c>
      <c r="Q893" s="55" t="s">
        <v>3355</v>
      </c>
      <c r="R893" s="55" t="s">
        <v>3356</v>
      </c>
      <c r="S893" s="53">
        <v>47188</v>
      </c>
      <c r="T893" s="50"/>
      <c r="U893" s="50"/>
      <c r="V893" s="56"/>
      <c r="W893" s="50"/>
      <c r="X893" s="50"/>
      <c r="Y893" s="56"/>
      <c r="Z893" s="56"/>
      <c r="AA893" s="56"/>
      <c r="AB893" s="56"/>
      <c r="AC893" s="56"/>
      <c r="AD893" s="56"/>
    </row>
    <row x14ac:dyDescent="0.25" r="894" customHeight="1" ht="18.75">
      <c r="A894" s="56"/>
      <c r="B894" s="56"/>
      <c r="C894" s="50" t="s">
        <v>16</v>
      </c>
      <c r="D894" s="50" t="s">
        <v>153</v>
      </c>
      <c r="E894" s="50" t="s">
        <v>30</v>
      </c>
      <c r="F894" s="50" t="s">
        <v>1654</v>
      </c>
      <c r="G894" s="51">
        <v>10000000</v>
      </c>
      <c r="H894" s="51"/>
      <c r="I894" s="51"/>
      <c r="J894" s="87">
        <f>IF(G894&gt;0,_xludf.IFS(G894=10000000,1200000,G894=20000000,1800000,G894=30000000,2400000,G894=60000000,4000000),"")</f>
      </c>
      <c r="K894" s="51"/>
      <c r="L894" s="52">
        <v>46236</v>
      </c>
      <c r="M894" s="53">
        <f>IF(L894&gt;0,EDATE(L894,-2),"")</f>
        <v>25569.375</v>
      </c>
      <c r="N894" s="50" t="s">
        <v>155</v>
      </c>
      <c r="O894" s="50" t="s">
        <v>1655</v>
      </c>
      <c r="P894" s="54">
        <f>IF(F894&gt;0,F894,"")</f>
      </c>
      <c r="Q894" s="55">
        <v>6806212408511</v>
      </c>
      <c r="R894" s="55">
        <v>25913302</v>
      </c>
      <c r="S894" s="53">
        <f>IF(ISNUMBER(M894), EDATE(M894,36)-1, "")</f>
        <v>25569.375</v>
      </c>
      <c r="T894" s="50"/>
      <c r="U894" s="50"/>
      <c r="V894" s="56"/>
      <c r="W894" s="50"/>
      <c r="X894" s="50"/>
      <c r="Y894" s="56"/>
      <c r="Z894" s="56"/>
      <c r="AA894" s="56"/>
      <c r="AB894" s="56"/>
      <c r="AC894" s="56"/>
      <c r="AD894" s="56"/>
    </row>
    <row x14ac:dyDescent="0.25" r="895" customHeight="1" ht="18.75" hidden="1">
      <c r="A895" s="63"/>
      <c r="B895" s="63"/>
      <c r="C895" s="49" t="s">
        <v>16</v>
      </c>
      <c r="D895" s="49" t="s">
        <v>454</v>
      </c>
      <c r="E895" s="49" t="s">
        <v>574</v>
      </c>
      <c r="F895" s="49" t="s">
        <v>2967</v>
      </c>
      <c r="G895" s="64">
        <v>10000000</v>
      </c>
      <c r="H895" s="64"/>
      <c r="I895" s="64"/>
      <c r="J895" s="64">
        <v>500000</v>
      </c>
      <c r="K895" s="64"/>
      <c r="L895" s="66">
        <v>46154</v>
      </c>
      <c r="M895" s="67">
        <f>IF(L895&gt;0,EDATE(L895,-2),"")</f>
        <v>25569.375</v>
      </c>
      <c r="N895" s="49" t="s">
        <v>217</v>
      </c>
      <c r="O895" s="49" t="s">
        <v>2968</v>
      </c>
      <c r="P895" s="68">
        <f>IF(F895&gt;0,F895,"")</f>
      </c>
      <c r="Q895" s="69" t="s">
        <v>2969</v>
      </c>
      <c r="R895" s="69">
        <v>95358226</v>
      </c>
      <c r="S895" s="67">
        <f>IF(ISNUMBER(M895), EDATE(M895,36)-1, "")</f>
        <v>25569.375</v>
      </c>
      <c r="T895" s="49"/>
      <c r="U895" s="49"/>
      <c r="V895" s="63"/>
      <c r="W895" s="50"/>
      <c r="X895" s="50"/>
      <c r="Y895" s="56"/>
      <c r="Z895" s="56"/>
      <c r="AA895" s="56"/>
      <c r="AB895" s="56"/>
      <c r="AC895" s="56"/>
      <c r="AD895" s="56"/>
    </row>
    <row x14ac:dyDescent="0.25" r="896" customHeight="1" ht="18.75" hidden="1">
      <c r="A896" s="56"/>
      <c r="B896" s="56"/>
      <c r="C896" s="50" t="s">
        <v>16</v>
      </c>
      <c r="D896" s="50"/>
      <c r="E896" s="50"/>
      <c r="F896" s="50" t="s">
        <v>2971</v>
      </c>
      <c r="G896" s="55">
        <v>10000000</v>
      </c>
      <c r="H896" s="55"/>
      <c r="I896" s="55"/>
      <c r="J896" s="51">
        <v>800000</v>
      </c>
      <c r="K896" s="51"/>
      <c r="L896" s="52">
        <v>46072</v>
      </c>
      <c r="M896" s="53">
        <v>46010</v>
      </c>
      <c r="N896" s="50" t="s">
        <v>217</v>
      </c>
      <c r="O896" s="50" t="s">
        <v>2972</v>
      </c>
      <c r="P896" s="50" t="s">
        <v>2971</v>
      </c>
      <c r="Q896" s="55" t="s">
        <v>2973</v>
      </c>
      <c r="R896" s="55" t="s">
        <v>2974</v>
      </c>
      <c r="S896" s="53">
        <v>47105</v>
      </c>
      <c r="T896" s="50"/>
      <c r="U896" s="50"/>
      <c r="V896" s="56"/>
      <c r="W896" s="50"/>
      <c r="X896" s="50"/>
      <c r="Y896" s="56"/>
      <c r="Z896" s="56"/>
      <c r="AA896" s="56"/>
      <c r="AB896" s="56"/>
      <c r="AC896" s="56"/>
      <c r="AD896" s="56"/>
    </row>
    <row x14ac:dyDescent="0.25" r="897" customHeight="1" ht="18.75" hidden="1">
      <c r="A897" s="56"/>
      <c r="B897" s="56"/>
      <c r="C897" s="50" t="s">
        <v>16</v>
      </c>
      <c r="D897" s="50"/>
      <c r="E897" s="50"/>
      <c r="F897" s="50" t="s">
        <v>2975</v>
      </c>
      <c r="G897" s="55">
        <v>60000000</v>
      </c>
      <c r="H897" s="55"/>
      <c r="I897" s="55"/>
      <c r="J897" s="51">
        <v>4800000</v>
      </c>
      <c r="K897" s="51"/>
      <c r="L897" s="52">
        <v>45969</v>
      </c>
      <c r="M897" s="53">
        <v>45848</v>
      </c>
      <c r="N897" s="50" t="s">
        <v>155</v>
      </c>
      <c r="O897" s="50" t="s">
        <v>997</v>
      </c>
      <c r="P897" s="50" t="s">
        <v>2975</v>
      </c>
      <c r="Q897" s="55" t="s">
        <v>2976</v>
      </c>
      <c r="R897" s="55" t="s">
        <v>3357</v>
      </c>
      <c r="S897" s="53">
        <v>46943</v>
      </c>
      <c r="T897" s="50"/>
      <c r="U897" s="50"/>
      <c r="V897" s="56"/>
      <c r="W897" s="50"/>
      <c r="X897" s="50"/>
      <c r="Y897" s="56"/>
      <c r="Z897" s="56"/>
      <c r="AA897" s="56"/>
      <c r="AB897" s="56"/>
      <c r="AC897" s="56"/>
      <c r="AD897" s="56"/>
    </row>
    <row x14ac:dyDescent="0.25" r="898" customHeight="1" ht="18.75" hidden="1">
      <c r="A898" s="56"/>
      <c r="B898" s="56"/>
      <c r="C898" s="49" t="s">
        <v>16</v>
      </c>
      <c r="D898" s="50"/>
      <c r="E898" s="50"/>
      <c r="F898" s="50" t="s">
        <v>2975</v>
      </c>
      <c r="G898" s="51">
        <v>60000000</v>
      </c>
      <c r="H898" s="51"/>
      <c r="I898" s="51"/>
      <c r="J898" s="51">
        <v>4800000</v>
      </c>
      <c r="K898" s="51"/>
      <c r="L898" s="52">
        <v>45969</v>
      </c>
      <c r="M898" s="53">
        <v>45908</v>
      </c>
      <c r="N898" s="50" t="s">
        <v>155</v>
      </c>
      <c r="O898" s="50" t="s">
        <v>997</v>
      </c>
      <c r="P898" s="54">
        <f>IF(F898&gt;0,F898,"")</f>
      </c>
      <c r="Q898" s="55" t="s">
        <v>2976</v>
      </c>
      <c r="R898" s="55">
        <v>30035830</v>
      </c>
      <c r="S898" s="53">
        <v>47003</v>
      </c>
      <c r="T898" s="50"/>
      <c r="U898" s="50"/>
      <c r="V898" s="56"/>
      <c r="W898" s="50"/>
      <c r="X898" s="50"/>
      <c r="Y898" s="56"/>
      <c r="Z898" s="56"/>
      <c r="AA898" s="56"/>
      <c r="AB898" s="56"/>
      <c r="AC898" s="56"/>
      <c r="AD898" s="56"/>
    </row>
    <row x14ac:dyDescent="0.25" r="899" customHeight="1" ht="18.75" hidden="1">
      <c r="A899" s="48" t="s">
        <v>3232</v>
      </c>
      <c r="B899" s="48"/>
      <c r="C899" s="50" t="s">
        <v>16</v>
      </c>
      <c r="D899" s="50"/>
      <c r="E899" s="50"/>
      <c r="F899" s="50" t="s">
        <v>2977</v>
      </c>
      <c r="G899" s="55">
        <v>10000000</v>
      </c>
      <c r="H899" s="55"/>
      <c r="I899" s="55"/>
      <c r="J899" s="51">
        <v>800000</v>
      </c>
      <c r="K899" s="51"/>
      <c r="L899" s="52">
        <v>46173</v>
      </c>
      <c r="M899" s="53">
        <v>46112</v>
      </c>
      <c r="N899" s="50" t="s">
        <v>217</v>
      </c>
      <c r="O899" s="50" t="s">
        <v>2978</v>
      </c>
      <c r="P899" s="50" t="s">
        <v>2977</v>
      </c>
      <c r="Q899" s="55" t="s">
        <v>2979</v>
      </c>
      <c r="R899" s="55" t="s">
        <v>2980</v>
      </c>
      <c r="S899" s="53">
        <v>47207</v>
      </c>
      <c r="T899" s="50"/>
      <c r="U899" s="50" t="s">
        <v>166</v>
      </c>
      <c r="V899" s="56"/>
      <c r="W899" s="50"/>
      <c r="X899" s="50"/>
      <c r="Y899" s="56"/>
      <c r="Z899" s="56"/>
      <c r="AA899" s="56"/>
      <c r="AB899" s="56"/>
      <c r="AC899" s="56"/>
      <c r="AD899" s="56"/>
    </row>
    <row x14ac:dyDescent="0.25" r="900" customHeight="1" ht="18.75">
      <c r="A900" s="56"/>
      <c r="B900" s="56"/>
      <c r="C900" s="50" t="s">
        <v>16</v>
      </c>
      <c r="D900" s="50" t="s">
        <v>816</v>
      </c>
      <c r="E900" s="50" t="s">
        <v>114</v>
      </c>
      <c r="F900" s="50" t="s">
        <v>3358</v>
      </c>
      <c r="G900" s="51">
        <v>10000000</v>
      </c>
      <c r="H900" s="51"/>
      <c r="I900" s="51"/>
      <c r="J900" s="51">
        <v>400000</v>
      </c>
      <c r="K900" s="51"/>
      <c r="L900" s="52">
        <v>46236</v>
      </c>
      <c r="M900" s="53">
        <f>IF(L900&gt;0,EDATE(L900,-2),"")</f>
        <v>25569.375</v>
      </c>
      <c r="N900" s="50" t="s">
        <v>302</v>
      </c>
      <c r="O900" s="50" t="s">
        <v>3359</v>
      </c>
      <c r="P900" s="54">
        <f>IF(F900&gt;0,F900,"")</f>
      </c>
      <c r="Q900" s="55">
        <v>6906801037811</v>
      </c>
      <c r="R900" s="55">
        <v>92357697</v>
      </c>
      <c r="S900" s="53">
        <f>IF(ISNUMBER(M900), EDATE(M900,36)-1, "")</f>
        <v>25569.375</v>
      </c>
      <c r="T900" s="50"/>
      <c r="U900" s="50"/>
      <c r="V900" s="56"/>
      <c r="W900" s="50"/>
      <c r="X900" s="50"/>
      <c r="Y900" s="56"/>
      <c r="Z900" s="56"/>
      <c r="AA900" s="56"/>
      <c r="AB900" s="56"/>
      <c r="AC900" s="56"/>
      <c r="AD900" s="56"/>
    </row>
    <row x14ac:dyDescent="0.25" r="901" customHeight="1" ht="18.75">
      <c r="A901" s="56"/>
      <c r="B901" s="56"/>
      <c r="C901" s="50" t="s">
        <v>16</v>
      </c>
      <c r="D901" s="50" t="s">
        <v>143</v>
      </c>
      <c r="E901" s="50" t="s">
        <v>14</v>
      </c>
      <c r="F901" s="50" t="s">
        <v>3360</v>
      </c>
      <c r="G901" s="51">
        <v>30000000</v>
      </c>
      <c r="H901" s="51"/>
      <c r="I901" s="51"/>
      <c r="J901" s="87">
        <f>IF(G901&gt;0,_xludf.IFS(G901=10000000,1200000,G901=20000000,1800000,G901=30000000,2400000,G901=60000000,4000000),"")</f>
      </c>
      <c r="K901" s="51"/>
      <c r="L901" s="52">
        <v>46237</v>
      </c>
      <c r="M901" s="53">
        <f>IF(L901&gt;0,EDATE(L901,-2),"")</f>
        <v>25569.375</v>
      </c>
      <c r="N901" s="50" t="s">
        <v>155</v>
      </c>
      <c r="O901" s="50" t="s">
        <v>3280</v>
      </c>
      <c r="P901" s="50" t="s">
        <v>3281</v>
      </c>
      <c r="Q901" s="55" t="s">
        <v>3282</v>
      </c>
      <c r="R901" s="55">
        <v>26049345</v>
      </c>
      <c r="S901" s="53">
        <f>IF(ISNUMBER(M901), EDATE(M901,36)-1, "")</f>
        <v>25569.375</v>
      </c>
      <c r="T901" s="50"/>
      <c r="U901" s="50"/>
      <c r="V901" s="48" t="s">
        <v>772</v>
      </c>
      <c r="W901" s="50"/>
      <c r="X901" s="50"/>
      <c r="Y901" s="56"/>
      <c r="Z901" s="56"/>
      <c r="AA901" s="56"/>
      <c r="AB901" s="56"/>
      <c r="AC901" s="56"/>
      <c r="AD901" s="56"/>
    </row>
    <row x14ac:dyDescent="0.25" r="902" customHeight="1" ht="18.75" hidden="1">
      <c r="A902" s="89" t="s">
        <v>3232</v>
      </c>
      <c r="B902" s="89"/>
      <c r="C902" s="90" t="s">
        <v>16</v>
      </c>
      <c r="D902" s="90"/>
      <c r="E902" s="90"/>
      <c r="F902" s="90" t="s">
        <v>2986</v>
      </c>
      <c r="G902" s="91">
        <v>30000000</v>
      </c>
      <c r="H902" s="91"/>
      <c r="I902" s="91"/>
      <c r="J902" s="92">
        <v>2028000</v>
      </c>
      <c r="K902" s="92"/>
      <c r="L902" s="97">
        <v>46172</v>
      </c>
      <c r="M902" s="98">
        <v>46111</v>
      </c>
      <c r="N902" s="90" t="s">
        <v>161</v>
      </c>
      <c r="O902" s="90" t="s">
        <v>2987</v>
      </c>
      <c r="P902" s="90" t="s">
        <v>2986</v>
      </c>
      <c r="Q902" s="91" t="s">
        <v>2988</v>
      </c>
      <c r="R902" s="91" t="s">
        <v>2989</v>
      </c>
      <c r="S902" s="98">
        <v>47206</v>
      </c>
      <c r="T902" s="90"/>
      <c r="U902" s="90" t="s">
        <v>166</v>
      </c>
      <c r="V902" s="89"/>
      <c r="W902" s="50"/>
      <c r="X902" s="50"/>
      <c r="Y902" s="56"/>
      <c r="Z902" s="56"/>
      <c r="AA902" s="56"/>
      <c r="AB902" s="56"/>
      <c r="AC902" s="56"/>
      <c r="AD902" s="56"/>
    </row>
    <row x14ac:dyDescent="0.25" r="903" customHeight="1" ht="18.75">
      <c r="A903" s="56"/>
      <c r="B903" s="56"/>
      <c r="C903" s="50" t="s">
        <v>16</v>
      </c>
      <c r="D903" s="50" t="s">
        <v>143</v>
      </c>
      <c r="E903" s="50" t="s">
        <v>3190</v>
      </c>
      <c r="F903" s="50" t="s">
        <v>3361</v>
      </c>
      <c r="G903" s="51">
        <v>10000000</v>
      </c>
      <c r="H903" s="51"/>
      <c r="I903" s="51"/>
      <c r="J903" s="87">
        <f>IF(G903&gt;0,_xludf.IFS(G903=10000000,1200000,G903=20000000,1800000,G903=30000000,2400000,G903=60000000,4000000),"")</f>
      </c>
      <c r="K903" s="51"/>
      <c r="L903" s="52">
        <v>46238</v>
      </c>
      <c r="M903" s="53">
        <f>IF(L903&gt;0,EDATE(L903,-2),"")</f>
        <v>25569.375</v>
      </c>
      <c r="N903" s="50" t="s">
        <v>155</v>
      </c>
      <c r="O903" s="50" t="s">
        <v>3362</v>
      </c>
      <c r="P903" s="54">
        <f>IF(F903&gt;0,F903,"")</f>
      </c>
      <c r="Q903" s="55">
        <v>5708152622123</v>
      </c>
      <c r="R903" s="55">
        <v>32701815</v>
      </c>
      <c r="S903" s="53">
        <f>IF(ISNUMBER(M903), EDATE(M903,36)-1, "")</f>
        <v>25569.375</v>
      </c>
      <c r="T903" s="50"/>
      <c r="U903" s="50"/>
      <c r="V903" s="48" t="s">
        <v>772</v>
      </c>
      <c r="W903" s="50"/>
      <c r="X903" s="50"/>
      <c r="Y903" s="56"/>
      <c r="Z903" s="56"/>
      <c r="AA903" s="56"/>
      <c r="AB903" s="56"/>
      <c r="AC903" s="56"/>
      <c r="AD903" s="56"/>
    </row>
    <row x14ac:dyDescent="0.25" r="904" customHeight="1" ht="18.75" hidden="1">
      <c r="A904" s="56"/>
      <c r="B904" s="56"/>
      <c r="C904" s="50" t="s">
        <v>16</v>
      </c>
      <c r="D904" s="50"/>
      <c r="E904" s="50"/>
      <c r="F904" s="50" t="s">
        <v>1121</v>
      </c>
      <c r="G904" s="55">
        <v>10000000</v>
      </c>
      <c r="H904" s="55"/>
      <c r="I904" s="55"/>
      <c r="J904" s="51">
        <v>800000</v>
      </c>
      <c r="K904" s="51"/>
      <c r="L904" s="52">
        <v>45981</v>
      </c>
      <c r="M904" s="53">
        <v>45920</v>
      </c>
      <c r="N904" s="50" t="s">
        <v>212</v>
      </c>
      <c r="O904" s="50" t="s">
        <v>2993</v>
      </c>
      <c r="P904" s="50" t="s">
        <v>1121</v>
      </c>
      <c r="Q904" s="55" t="s">
        <v>2994</v>
      </c>
      <c r="R904" s="55" t="s">
        <v>2995</v>
      </c>
      <c r="S904" s="53">
        <v>47015</v>
      </c>
      <c r="T904" s="50"/>
      <c r="U904" s="50"/>
      <c r="V904" s="56"/>
      <c r="W904" s="50"/>
      <c r="X904" s="50"/>
      <c r="Y904" s="56"/>
      <c r="Z904" s="56"/>
      <c r="AA904" s="56"/>
      <c r="AB904" s="56"/>
      <c r="AC904" s="56"/>
      <c r="AD904" s="56"/>
    </row>
    <row x14ac:dyDescent="0.25" r="905" customHeight="1" ht="18.75">
      <c r="A905" s="56"/>
      <c r="B905" s="56"/>
      <c r="C905" s="50" t="s">
        <v>16</v>
      </c>
      <c r="D905" s="50" t="s">
        <v>410</v>
      </c>
      <c r="E905" s="50" t="s">
        <v>411</v>
      </c>
      <c r="F905" s="50" t="s">
        <v>1795</v>
      </c>
      <c r="G905" s="55">
        <v>10000000</v>
      </c>
      <c r="H905" s="55"/>
      <c r="I905" s="55"/>
      <c r="J905" s="51">
        <v>1200000</v>
      </c>
      <c r="K905" s="51"/>
      <c r="L905" s="52">
        <v>46239</v>
      </c>
      <c r="M905" s="53">
        <v>46177</v>
      </c>
      <c r="N905" s="50" t="s">
        <v>168</v>
      </c>
      <c r="O905" s="50" t="s">
        <v>1796</v>
      </c>
      <c r="P905" s="50" t="s">
        <v>1795</v>
      </c>
      <c r="Q905" s="55" t="s">
        <v>1797</v>
      </c>
      <c r="R905" s="55" t="s">
        <v>1798</v>
      </c>
      <c r="S905" s="53">
        <v>46943</v>
      </c>
      <c r="T905" s="50"/>
      <c r="U905" s="50"/>
      <c r="V905" s="56" t="s">
        <v>3363</v>
      </c>
      <c r="W905" s="50"/>
      <c r="X905" s="50"/>
      <c r="Y905" s="56"/>
      <c r="Z905" s="56"/>
      <c r="AA905" s="56"/>
      <c r="AB905" s="56"/>
      <c r="AC905" s="56"/>
      <c r="AD905" s="56"/>
    </row>
    <row x14ac:dyDescent="0.25" r="906" customHeight="1" ht="18.75" hidden="1">
      <c r="A906" s="63"/>
      <c r="B906" s="63"/>
      <c r="C906" s="49" t="s">
        <v>16</v>
      </c>
      <c r="D906" s="49" t="s">
        <v>88</v>
      </c>
      <c r="E906" s="49" t="s">
        <v>14</v>
      </c>
      <c r="F906" s="49" t="s">
        <v>3001</v>
      </c>
      <c r="G906" s="64">
        <v>30000000</v>
      </c>
      <c r="H906" s="64"/>
      <c r="I906" s="64"/>
      <c r="J906" s="64">
        <v>3200000</v>
      </c>
      <c r="K906" s="64"/>
      <c r="L906" s="66">
        <v>46205</v>
      </c>
      <c r="M906" s="67">
        <v>45686</v>
      </c>
      <c r="N906" s="49" t="s">
        <v>212</v>
      </c>
      <c r="O906" s="49" t="s">
        <v>3002</v>
      </c>
      <c r="P906" s="68">
        <f>IF(F906&gt;0,F906,"")</f>
      </c>
      <c r="Q906" s="69" t="s">
        <v>3003</v>
      </c>
      <c r="R906" s="69">
        <v>73945830</v>
      </c>
      <c r="S906" s="67">
        <v>47147</v>
      </c>
      <c r="T906" s="49"/>
      <c r="U906" s="49"/>
      <c r="V906" s="63" t="s">
        <v>3004</v>
      </c>
      <c r="W906" s="50"/>
      <c r="X906" s="50"/>
      <c r="Y906" s="56"/>
      <c r="Z906" s="56"/>
      <c r="AA906" s="56"/>
      <c r="AB906" s="56"/>
      <c r="AC906" s="56"/>
      <c r="AD906" s="56"/>
    </row>
    <row x14ac:dyDescent="0.25" r="907" customHeight="1" ht="18.75" hidden="1">
      <c r="A907" s="56"/>
      <c r="B907" s="56"/>
      <c r="C907" s="50" t="s">
        <v>16</v>
      </c>
      <c r="D907" s="50"/>
      <c r="E907" s="50"/>
      <c r="F907" s="50" t="s">
        <v>135</v>
      </c>
      <c r="G907" s="55">
        <v>10000000</v>
      </c>
      <c r="H907" s="55"/>
      <c r="I907" s="55"/>
      <c r="J907" s="51">
        <v>2400000</v>
      </c>
      <c r="K907" s="51"/>
      <c r="L907" s="52">
        <v>46110</v>
      </c>
      <c r="M907" s="53">
        <v>46051</v>
      </c>
      <c r="N907" s="50" t="s">
        <v>261</v>
      </c>
      <c r="O907" s="50" t="s">
        <v>3005</v>
      </c>
      <c r="P907" s="50" t="s">
        <v>135</v>
      </c>
      <c r="Q907" s="55" t="s">
        <v>3003</v>
      </c>
      <c r="R907" s="55" t="s">
        <v>3006</v>
      </c>
      <c r="S907" s="53">
        <v>47146</v>
      </c>
      <c r="T907" s="50"/>
      <c r="U907" s="50" t="s">
        <v>3007</v>
      </c>
      <c r="V907" s="56"/>
      <c r="W907" s="50"/>
      <c r="X907" s="50"/>
      <c r="Y907" s="56"/>
      <c r="Z907" s="56"/>
      <c r="AA907" s="56"/>
      <c r="AB907" s="56"/>
      <c r="AC907" s="56"/>
      <c r="AD907" s="56"/>
    </row>
    <row x14ac:dyDescent="0.25" r="908" customHeight="1" ht="18.75" hidden="1">
      <c r="A908" s="56"/>
      <c r="B908" s="56"/>
      <c r="C908" s="50" t="s">
        <v>16</v>
      </c>
      <c r="D908" s="50" t="s">
        <v>143</v>
      </c>
      <c r="E908" s="50" t="s">
        <v>22</v>
      </c>
      <c r="F908" s="50" t="s">
        <v>3008</v>
      </c>
      <c r="G908" s="55">
        <v>10000000</v>
      </c>
      <c r="H908" s="55"/>
      <c r="I908" s="55"/>
      <c r="J908" s="51">
        <v>800000</v>
      </c>
      <c r="K908" s="51"/>
      <c r="L908" s="52">
        <v>46166</v>
      </c>
      <c r="M908" s="53">
        <v>46105</v>
      </c>
      <c r="N908" s="50" t="s">
        <v>205</v>
      </c>
      <c r="O908" s="50" t="s">
        <v>3009</v>
      </c>
      <c r="P908" s="50" t="s">
        <v>3008</v>
      </c>
      <c r="Q908" s="55" t="s">
        <v>3010</v>
      </c>
      <c r="R908" s="55" t="s">
        <v>3011</v>
      </c>
      <c r="S908" s="53">
        <v>47200</v>
      </c>
      <c r="T908" s="50" t="s">
        <v>3012</v>
      </c>
      <c r="U908" s="50" t="s">
        <v>166</v>
      </c>
      <c r="V908" s="56"/>
      <c r="W908" s="50"/>
      <c r="X908" s="50"/>
      <c r="Y908" s="56"/>
      <c r="Z908" s="56"/>
      <c r="AA908" s="56"/>
      <c r="AB908" s="56"/>
      <c r="AC908" s="56"/>
      <c r="AD908" s="56"/>
    </row>
    <row x14ac:dyDescent="0.25" r="909" customHeight="1" ht="18.75" hidden="1">
      <c r="A909" s="56"/>
      <c r="B909" s="56"/>
      <c r="C909" s="50" t="s">
        <v>16</v>
      </c>
      <c r="D909" s="50"/>
      <c r="E909" s="50"/>
      <c r="F909" s="50" t="s">
        <v>3013</v>
      </c>
      <c r="G909" s="55">
        <v>10000000</v>
      </c>
      <c r="H909" s="55"/>
      <c r="I909" s="55"/>
      <c r="J909" s="51">
        <v>800000</v>
      </c>
      <c r="K909" s="51"/>
      <c r="L909" s="52">
        <v>46072</v>
      </c>
      <c r="M909" s="53">
        <v>46010</v>
      </c>
      <c r="N909" s="50" t="s">
        <v>217</v>
      </c>
      <c r="O909" s="50" t="s">
        <v>3014</v>
      </c>
      <c r="P909" s="50" t="s">
        <v>3013</v>
      </c>
      <c r="Q909" s="55" t="s">
        <v>3015</v>
      </c>
      <c r="R909" s="55" t="s">
        <v>3016</v>
      </c>
      <c r="S909" s="53">
        <v>47105</v>
      </c>
      <c r="T909" s="50"/>
      <c r="U909" s="50"/>
      <c r="V909" s="56"/>
      <c r="W909" s="50"/>
      <c r="X909" s="50"/>
      <c r="Y909" s="56"/>
      <c r="Z909" s="56"/>
      <c r="AA909" s="56"/>
      <c r="AB909" s="56"/>
      <c r="AC909" s="56"/>
      <c r="AD909" s="56"/>
    </row>
    <row x14ac:dyDescent="0.25" r="910" customHeight="1" ht="18.75" hidden="1">
      <c r="A910" s="56"/>
      <c r="B910" s="56"/>
      <c r="C910" s="50" t="s">
        <v>16</v>
      </c>
      <c r="D910" s="50"/>
      <c r="E910" s="50"/>
      <c r="F910" s="50" t="s">
        <v>136</v>
      </c>
      <c r="G910" s="55">
        <v>30000000</v>
      </c>
      <c r="H910" s="55"/>
      <c r="I910" s="55"/>
      <c r="J910" s="51">
        <v>2028000</v>
      </c>
      <c r="K910" s="51"/>
      <c r="L910" s="52">
        <v>46042</v>
      </c>
      <c r="M910" s="53">
        <v>45981</v>
      </c>
      <c r="N910" s="50" t="s">
        <v>239</v>
      </c>
      <c r="O910" s="50" t="s">
        <v>3017</v>
      </c>
      <c r="P910" s="50" t="s">
        <v>136</v>
      </c>
      <c r="Q910" s="55" t="s">
        <v>3018</v>
      </c>
      <c r="R910" s="55" t="s">
        <v>3019</v>
      </c>
      <c r="S910" s="53">
        <v>47076</v>
      </c>
      <c r="T910" s="50"/>
      <c r="U910" s="50"/>
      <c r="V910" s="56"/>
      <c r="W910" s="50"/>
      <c r="X910" s="50"/>
      <c r="Y910" s="56"/>
      <c r="Z910" s="56"/>
      <c r="AA910" s="56"/>
      <c r="AB910" s="56"/>
      <c r="AC910" s="56"/>
      <c r="AD910" s="56"/>
    </row>
    <row x14ac:dyDescent="0.25" r="911" customHeight="1" ht="18.75" hidden="1">
      <c r="A911" s="56"/>
      <c r="B911" s="56"/>
      <c r="C911" s="49" t="s">
        <v>16</v>
      </c>
      <c r="D911" s="50"/>
      <c r="E911" s="50"/>
      <c r="F911" s="50" t="s">
        <v>3020</v>
      </c>
      <c r="G911" s="51">
        <v>30000000</v>
      </c>
      <c r="H911" s="51"/>
      <c r="I911" s="51"/>
      <c r="J911" s="87">
        <f>IF(G911&gt;0,_xludf.IFS(G911=10000000,800000,G911=20000000,1528000,G911=30000000,2028000,G911=60000000,4056000),"")</f>
      </c>
      <c r="K911" s="51"/>
      <c r="L911" s="52">
        <v>46042</v>
      </c>
      <c r="M911" s="53">
        <f>IF(L911&gt;0,EDATE(L911,-2),"")</f>
        <v>25569.375</v>
      </c>
      <c r="N911" s="50" t="s">
        <v>239</v>
      </c>
      <c r="O911" s="50" t="s">
        <v>3017</v>
      </c>
      <c r="P911" s="54">
        <f>IF(F911&gt;0,F911,"")</f>
      </c>
      <c r="Q911" s="55" t="s">
        <v>3018</v>
      </c>
      <c r="R911" s="55">
        <v>50671034</v>
      </c>
      <c r="S911" s="53">
        <f>IF(ISNUMBER(M911), EDATE(M911,36)-1, "")</f>
        <v>25569.375</v>
      </c>
      <c r="T911" s="50"/>
      <c r="U911" s="50"/>
      <c r="V911" s="56"/>
      <c r="W911" s="50"/>
      <c r="X911" s="50"/>
      <c r="Y911" s="56"/>
      <c r="Z911" s="56"/>
      <c r="AA911" s="56"/>
      <c r="AB911" s="56"/>
      <c r="AC911" s="56"/>
      <c r="AD911" s="56"/>
    </row>
    <row x14ac:dyDescent="0.25" r="912" customHeight="1" ht="18.75">
      <c r="A912" s="56"/>
      <c r="B912" s="56"/>
      <c r="C912" s="50" t="s">
        <v>16</v>
      </c>
      <c r="D912" s="50" t="s">
        <v>143</v>
      </c>
      <c r="E912" s="50" t="s">
        <v>14</v>
      </c>
      <c r="F912" s="50" t="s">
        <v>3364</v>
      </c>
      <c r="G912" s="51">
        <v>10000000</v>
      </c>
      <c r="H912" s="51"/>
      <c r="I912" s="51"/>
      <c r="J912" s="87">
        <f>IF(G912&gt;0,_xludf.IFS(G912=10000000,1200000,G912=20000000,1800000,G912=30000000,2400000,G912=60000000,4000000),"")</f>
      </c>
      <c r="K912" s="51"/>
      <c r="L912" s="52">
        <v>46238</v>
      </c>
      <c r="M912" s="53">
        <f>IF(L912&gt;0,EDATE(L912,-2),"")</f>
        <v>25569.375</v>
      </c>
      <c r="N912" s="50" t="s">
        <v>379</v>
      </c>
      <c r="O912" s="50" t="s">
        <v>3365</v>
      </c>
      <c r="P912" s="54">
        <f>IF(F912&gt;0,F912,"")</f>
      </c>
      <c r="Q912" s="55">
        <v>5805151894218</v>
      </c>
      <c r="R912" s="55">
        <v>4255397</v>
      </c>
      <c r="S912" s="53">
        <f>IF(ISNUMBER(M912), EDATE(M912,36)-1, "")</f>
        <v>25569.375</v>
      </c>
      <c r="T912" s="50"/>
      <c r="U912" s="50"/>
      <c r="V912" s="48" t="s">
        <v>772</v>
      </c>
      <c r="W912" s="50"/>
      <c r="X912" s="50"/>
      <c r="Y912" s="56"/>
      <c r="Z912" s="56"/>
      <c r="AA912" s="56"/>
      <c r="AB912" s="56"/>
      <c r="AC912" s="56"/>
      <c r="AD912" s="56"/>
    </row>
    <row x14ac:dyDescent="0.25" r="913" customHeight="1" ht="18.75">
      <c r="A913" s="56"/>
      <c r="B913" s="56"/>
      <c r="C913" s="50" t="s">
        <v>16</v>
      </c>
      <c r="D913" s="50" t="s">
        <v>419</v>
      </c>
      <c r="E913" s="50" t="s">
        <v>1978</v>
      </c>
      <c r="F913" s="50" t="s">
        <v>2188</v>
      </c>
      <c r="G913" s="51">
        <v>10000000</v>
      </c>
      <c r="H913" s="51"/>
      <c r="I913" s="51"/>
      <c r="J913" s="87">
        <f>IF(G913&gt;0,_xludf.IFS(G913=10000000,1200000,G913=20000000,1800000,G913=30000000,2400000,G913=60000000,4000000),"")</f>
      </c>
      <c r="K913" s="51"/>
      <c r="L913" s="52">
        <v>46238</v>
      </c>
      <c r="M913" s="53">
        <f>IF(L913&gt;0,EDATE(L913,-2),"")</f>
        <v>25569.375</v>
      </c>
      <c r="N913" s="50" t="s">
        <v>168</v>
      </c>
      <c r="O913" s="50" t="s">
        <v>2189</v>
      </c>
      <c r="P913" s="54">
        <f>IF(F913&gt;0,F913,"")</f>
      </c>
      <c r="Q913" s="55">
        <v>6505272472114</v>
      </c>
      <c r="R913" s="55">
        <v>43340019</v>
      </c>
      <c r="S913" s="53">
        <f>IF(ISNUMBER(M913), EDATE(M913,36)-1, "")</f>
        <v>25569.375</v>
      </c>
      <c r="T913" s="50"/>
      <c r="U913" s="50"/>
      <c r="V913" s="56"/>
      <c r="W913" s="50"/>
      <c r="X913" s="50"/>
      <c r="Y913" s="56"/>
      <c r="Z913" s="56"/>
      <c r="AA913" s="56"/>
      <c r="AB913" s="56"/>
      <c r="AC913" s="56"/>
      <c r="AD913" s="56"/>
    </row>
    <row x14ac:dyDescent="0.25" r="914" customHeight="1" ht="18.75" hidden="1">
      <c r="A914" s="71"/>
      <c r="B914" s="71"/>
      <c r="C914" s="72" t="s">
        <v>16</v>
      </c>
      <c r="D914" s="72"/>
      <c r="E914" s="72"/>
      <c r="F914" s="72" t="s">
        <v>137</v>
      </c>
      <c r="G914" s="99">
        <v>5000000</v>
      </c>
      <c r="H914" s="99"/>
      <c r="I914" s="99"/>
      <c r="J914" s="74">
        <v>800000</v>
      </c>
      <c r="K914" s="74"/>
      <c r="L914" s="75">
        <v>46114</v>
      </c>
      <c r="M914" s="76">
        <v>46055</v>
      </c>
      <c r="N914" s="72" t="s">
        <v>161</v>
      </c>
      <c r="O914" s="72" t="s">
        <v>1055</v>
      </c>
      <c r="P914" s="72" t="s">
        <v>137</v>
      </c>
      <c r="Q914" s="73" t="s">
        <v>3026</v>
      </c>
      <c r="R914" s="73" t="s">
        <v>3027</v>
      </c>
      <c r="S914" s="76">
        <v>47150</v>
      </c>
      <c r="T914" s="72"/>
      <c r="U914" s="72" t="s">
        <v>166</v>
      </c>
      <c r="V914" s="71" t="s">
        <v>138</v>
      </c>
      <c r="W914" s="50"/>
      <c r="X914" s="50"/>
      <c r="Y914" s="56"/>
      <c r="Z914" s="56"/>
      <c r="AA914" s="56"/>
      <c r="AB914" s="56"/>
      <c r="AC914" s="56"/>
      <c r="AD914" s="56"/>
    </row>
    <row x14ac:dyDescent="0.25" r="915" customHeight="1" ht="18.75" hidden="1">
      <c r="A915" s="56"/>
      <c r="B915" s="56"/>
      <c r="C915" s="50" t="s">
        <v>16</v>
      </c>
      <c r="D915" s="50"/>
      <c r="E915" s="50" t="s">
        <v>22</v>
      </c>
      <c r="F915" s="50" t="s">
        <v>3028</v>
      </c>
      <c r="G915" s="55">
        <v>10000000</v>
      </c>
      <c r="H915" s="55"/>
      <c r="I915" s="55"/>
      <c r="J915" s="51">
        <v>800000</v>
      </c>
      <c r="K915" s="51"/>
      <c r="L915" s="52">
        <v>46165</v>
      </c>
      <c r="M915" s="53">
        <v>46104</v>
      </c>
      <c r="N915" s="50" t="s">
        <v>161</v>
      </c>
      <c r="O915" s="50" t="s">
        <v>3029</v>
      </c>
      <c r="P915" s="50" t="s">
        <v>3028</v>
      </c>
      <c r="Q915" s="55" t="s">
        <v>3030</v>
      </c>
      <c r="R915" s="55" t="s">
        <v>3031</v>
      </c>
      <c r="S915" s="53">
        <v>47199</v>
      </c>
      <c r="T915" s="50" t="s">
        <v>3032</v>
      </c>
      <c r="U915" s="50" t="s">
        <v>179</v>
      </c>
      <c r="V915" s="56"/>
      <c r="W915" s="50"/>
      <c r="X915" s="50"/>
      <c r="Y915" s="56"/>
      <c r="Z915" s="56"/>
      <c r="AA915" s="56"/>
      <c r="AB915" s="56"/>
      <c r="AC915" s="56"/>
      <c r="AD915" s="56"/>
    </row>
    <row x14ac:dyDescent="0.25" r="916" customHeight="1" ht="18.75" hidden="1">
      <c r="A916" s="56"/>
      <c r="B916" s="56"/>
      <c r="C916" s="50" t="s">
        <v>16</v>
      </c>
      <c r="D916" s="50"/>
      <c r="E916" s="50"/>
      <c r="F916" s="50" t="s">
        <v>3033</v>
      </c>
      <c r="G916" s="55">
        <v>30000000</v>
      </c>
      <c r="H916" s="55"/>
      <c r="I916" s="55"/>
      <c r="J916" s="51">
        <v>2400000</v>
      </c>
      <c r="K916" s="51"/>
      <c r="L916" s="52">
        <v>45910</v>
      </c>
      <c r="M916" s="53">
        <v>45863</v>
      </c>
      <c r="N916" s="50" t="s">
        <v>212</v>
      </c>
      <c r="O916" s="50" t="s">
        <v>3034</v>
      </c>
      <c r="P916" s="50" t="s">
        <v>3033</v>
      </c>
      <c r="Q916" s="55" t="s">
        <v>3035</v>
      </c>
      <c r="R916" s="55" t="s">
        <v>3036</v>
      </c>
      <c r="S916" s="53">
        <v>46943</v>
      </c>
      <c r="T916" s="50"/>
      <c r="U916" s="50"/>
      <c r="V916" s="56"/>
      <c r="W916" s="50"/>
      <c r="X916" s="50"/>
      <c r="Y916" s="56"/>
      <c r="Z916" s="56"/>
      <c r="AA916" s="56"/>
      <c r="AB916" s="56"/>
      <c r="AC916" s="56"/>
      <c r="AD916" s="56"/>
    </row>
    <row x14ac:dyDescent="0.25" r="917" customHeight="1" ht="18.75" hidden="1">
      <c r="A917" s="56"/>
      <c r="B917" s="56"/>
      <c r="C917" s="50" t="s">
        <v>16</v>
      </c>
      <c r="D917" s="50"/>
      <c r="E917" s="50"/>
      <c r="F917" s="50" t="s">
        <v>3037</v>
      </c>
      <c r="G917" s="55">
        <v>30000000</v>
      </c>
      <c r="H917" s="55"/>
      <c r="I917" s="55"/>
      <c r="J917" s="51">
        <v>2028000</v>
      </c>
      <c r="K917" s="51"/>
      <c r="L917" s="52">
        <v>45949</v>
      </c>
      <c r="M917" s="53">
        <v>45887</v>
      </c>
      <c r="N917" s="50"/>
      <c r="O917" s="50" t="s">
        <v>3038</v>
      </c>
      <c r="P917" s="50" t="s">
        <v>3037</v>
      </c>
      <c r="Q917" s="55" t="s">
        <v>3039</v>
      </c>
      <c r="R917" s="55" t="s">
        <v>3040</v>
      </c>
      <c r="S917" s="53">
        <v>46982</v>
      </c>
      <c r="T917" s="50"/>
      <c r="U917" s="50"/>
      <c r="V917" s="56"/>
      <c r="W917" s="50"/>
      <c r="X917" s="50"/>
      <c r="Y917" s="56"/>
      <c r="Z917" s="56"/>
      <c r="AA917" s="56"/>
      <c r="AB917" s="56"/>
      <c r="AC917" s="56"/>
      <c r="AD917" s="56"/>
    </row>
    <row x14ac:dyDescent="0.25" r="918" customHeight="1" ht="18.75" hidden="1">
      <c r="A918" s="56"/>
      <c r="B918" s="56"/>
      <c r="C918" s="50" t="s">
        <v>16</v>
      </c>
      <c r="D918" s="50"/>
      <c r="E918" s="50"/>
      <c r="F918" s="50" t="s">
        <v>3041</v>
      </c>
      <c r="G918" s="55">
        <v>10000000</v>
      </c>
      <c r="H918" s="55"/>
      <c r="I918" s="55"/>
      <c r="J918" s="51">
        <v>800000</v>
      </c>
      <c r="K918" s="51"/>
      <c r="L918" s="52">
        <v>46159</v>
      </c>
      <c r="M918" s="53">
        <v>46098</v>
      </c>
      <c r="N918" s="50" t="s">
        <v>217</v>
      </c>
      <c r="O918" s="50" t="s">
        <v>3042</v>
      </c>
      <c r="P918" s="50" t="s">
        <v>3041</v>
      </c>
      <c r="Q918" s="55" t="s">
        <v>3043</v>
      </c>
      <c r="R918" s="55" t="s">
        <v>3044</v>
      </c>
      <c r="S918" s="53">
        <v>47193</v>
      </c>
      <c r="T918" s="50" t="s">
        <v>3045</v>
      </c>
      <c r="U918" s="50"/>
      <c r="V918" s="56"/>
      <c r="W918" s="50"/>
      <c r="X918" s="50"/>
      <c r="Y918" s="56"/>
      <c r="Z918" s="56"/>
      <c r="AA918" s="56"/>
      <c r="AB918" s="56"/>
      <c r="AC918" s="56"/>
      <c r="AD918" s="56"/>
    </row>
    <row x14ac:dyDescent="0.25" r="919" customHeight="1" ht="18.75" hidden="1">
      <c r="A919" s="56"/>
      <c r="B919" s="56"/>
      <c r="C919" s="50" t="s">
        <v>16</v>
      </c>
      <c r="D919" s="50"/>
      <c r="E919" s="50"/>
      <c r="F919" s="50" t="s">
        <v>726</v>
      </c>
      <c r="G919" s="55">
        <v>10000000</v>
      </c>
      <c r="H919" s="55"/>
      <c r="I919" s="55"/>
      <c r="J919" s="51">
        <v>800000</v>
      </c>
      <c r="K919" s="51"/>
      <c r="L919" s="52">
        <v>46050</v>
      </c>
      <c r="M919" s="53">
        <v>45989</v>
      </c>
      <c r="N919" s="50" t="s">
        <v>239</v>
      </c>
      <c r="O919" s="50" t="s">
        <v>3046</v>
      </c>
      <c r="P919" s="50" t="s">
        <v>726</v>
      </c>
      <c r="Q919" s="55" t="s">
        <v>3047</v>
      </c>
      <c r="R919" s="55" t="s">
        <v>3048</v>
      </c>
      <c r="S919" s="53">
        <v>47084</v>
      </c>
      <c r="T919" s="50"/>
      <c r="U919" s="50"/>
      <c r="V919" s="56"/>
      <c r="W919" s="50"/>
      <c r="X919" s="50"/>
      <c r="Y919" s="56"/>
      <c r="Z919" s="56"/>
      <c r="AA919" s="56"/>
      <c r="AB919" s="56"/>
      <c r="AC919" s="56"/>
      <c r="AD919" s="56"/>
    </row>
    <row x14ac:dyDescent="0.25" r="920" customHeight="1" ht="18.75" hidden="1">
      <c r="A920" s="56"/>
      <c r="B920" s="56"/>
      <c r="C920" s="50" t="s">
        <v>16</v>
      </c>
      <c r="D920" s="50" t="s">
        <v>55</v>
      </c>
      <c r="E920" s="50" t="s">
        <v>56</v>
      </c>
      <c r="F920" s="50" t="s">
        <v>726</v>
      </c>
      <c r="G920" s="55">
        <v>10000000</v>
      </c>
      <c r="H920" s="55"/>
      <c r="I920" s="55"/>
      <c r="J920" s="51">
        <v>800000</v>
      </c>
      <c r="K920" s="51"/>
      <c r="L920" s="52">
        <v>46167</v>
      </c>
      <c r="M920" s="53">
        <v>46106</v>
      </c>
      <c r="N920" s="50" t="s">
        <v>239</v>
      </c>
      <c r="O920" s="50" t="s">
        <v>3049</v>
      </c>
      <c r="P920" s="50" t="s">
        <v>726</v>
      </c>
      <c r="Q920" s="55" t="s">
        <v>3047</v>
      </c>
      <c r="R920" s="55" t="s">
        <v>3048</v>
      </c>
      <c r="S920" s="53">
        <v>47201</v>
      </c>
      <c r="T920" s="50" t="s">
        <v>3050</v>
      </c>
      <c r="U920" s="50" t="s">
        <v>166</v>
      </c>
      <c r="V920" s="56"/>
      <c r="W920" s="50"/>
      <c r="X920" s="50"/>
      <c r="Y920" s="56"/>
      <c r="Z920" s="56"/>
      <c r="AA920" s="56"/>
      <c r="AB920" s="56"/>
      <c r="AC920" s="56"/>
      <c r="AD920" s="56"/>
    </row>
    <row x14ac:dyDescent="0.25" r="921" customHeight="1" ht="18.75">
      <c r="A921" s="56"/>
      <c r="B921" s="56"/>
      <c r="C921" s="50" t="s">
        <v>16</v>
      </c>
      <c r="D921" s="50" t="s">
        <v>419</v>
      </c>
      <c r="E921" s="50" t="s">
        <v>1978</v>
      </c>
      <c r="F921" s="50" t="s">
        <v>2188</v>
      </c>
      <c r="G921" s="51">
        <v>10000000</v>
      </c>
      <c r="H921" s="51"/>
      <c r="I921" s="51"/>
      <c r="J921" s="87">
        <f>IF(G921&gt;0,_xludf.IFS(G921=10000000,1200000,G921=20000000,1800000,G921=30000000,2400000,G921=60000000,4000000),"")</f>
      </c>
      <c r="K921" s="51"/>
      <c r="L921" s="52">
        <v>46238</v>
      </c>
      <c r="M921" s="53">
        <f>IF(L921&gt;0,EDATE(L921,-2),"")</f>
        <v>25569.375</v>
      </c>
      <c r="N921" s="50" t="s">
        <v>168</v>
      </c>
      <c r="O921" s="50" t="s">
        <v>2189</v>
      </c>
      <c r="P921" s="54">
        <f>IF(F921&gt;0,F921,"")</f>
      </c>
      <c r="Q921" s="55">
        <v>6505272472114</v>
      </c>
      <c r="R921" s="55">
        <v>43340019</v>
      </c>
      <c r="S921" s="53">
        <f>IF(ISNUMBER(M921), EDATE(M921,36)-1, "")</f>
        <v>25569.375</v>
      </c>
      <c r="T921" s="50"/>
      <c r="U921" s="50"/>
      <c r="V921" s="56"/>
      <c r="W921" s="50"/>
      <c r="X921" s="50"/>
      <c r="Y921" s="56"/>
      <c r="Z921" s="56"/>
      <c r="AA921" s="56"/>
      <c r="AB921" s="56"/>
      <c r="AC921" s="56"/>
      <c r="AD921" s="56"/>
    </row>
    <row x14ac:dyDescent="0.25" r="922" customHeight="1" ht="18.75" hidden="1">
      <c r="A922" s="56"/>
      <c r="B922" s="56"/>
      <c r="C922" s="50" t="s">
        <v>16</v>
      </c>
      <c r="D922" s="50" t="s">
        <v>143</v>
      </c>
      <c r="E922" s="50" t="s">
        <v>22</v>
      </c>
      <c r="F922" s="50" t="s">
        <v>3051</v>
      </c>
      <c r="G922" s="55">
        <v>10000000</v>
      </c>
      <c r="H922" s="55"/>
      <c r="I922" s="55"/>
      <c r="J922" s="51">
        <v>800000</v>
      </c>
      <c r="K922" s="51"/>
      <c r="L922" s="52">
        <v>46166</v>
      </c>
      <c r="M922" s="53">
        <v>46105</v>
      </c>
      <c r="N922" s="50" t="s">
        <v>168</v>
      </c>
      <c r="O922" s="50" t="s">
        <v>3052</v>
      </c>
      <c r="P922" s="50" t="s">
        <v>3051</v>
      </c>
      <c r="Q922" s="55" t="s">
        <v>3053</v>
      </c>
      <c r="R922" s="55" t="s">
        <v>3054</v>
      </c>
      <c r="S922" s="53">
        <v>47200</v>
      </c>
      <c r="T922" s="50" t="s">
        <v>178</v>
      </c>
      <c r="U922" s="50" t="s">
        <v>166</v>
      </c>
      <c r="V922" s="56"/>
      <c r="W922" s="50"/>
      <c r="X922" s="50"/>
      <c r="Y922" s="56"/>
      <c r="Z922" s="56"/>
      <c r="AA922" s="56"/>
      <c r="AB922" s="56"/>
      <c r="AC922" s="56"/>
      <c r="AD922" s="56"/>
    </row>
    <row x14ac:dyDescent="0.25" r="923" customHeight="1" ht="18.75">
      <c r="A923" s="56"/>
      <c r="B923" s="56"/>
      <c r="C923" s="50" t="s">
        <v>16</v>
      </c>
      <c r="D923" s="50" t="s">
        <v>143</v>
      </c>
      <c r="E923" s="50" t="s">
        <v>14</v>
      </c>
      <c r="F923" s="50" t="s">
        <v>2686</v>
      </c>
      <c r="G923" s="51">
        <v>10000000</v>
      </c>
      <c r="H923" s="51"/>
      <c r="I923" s="51"/>
      <c r="J923" s="87">
        <f>IF(G923&gt;0,_xludf.IFS(G923=10000000,1200000,G923=20000000,1800000,G923=30000000,2400000,G923=60000000,4000000),"")</f>
      </c>
      <c r="K923" s="51"/>
      <c r="L923" s="52">
        <v>46239</v>
      </c>
      <c r="M923" s="53">
        <f>IF(L923&gt;0,EDATE(L923,-2),"")</f>
        <v>25569.375</v>
      </c>
      <c r="N923" s="50" t="s">
        <v>168</v>
      </c>
      <c r="O923" s="50" t="s">
        <v>2687</v>
      </c>
      <c r="P923" s="54">
        <f>IF(F923&gt;0,F923,"")</f>
      </c>
      <c r="Q923" s="55">
        <v>5210151067814</v>
      </c>
      <c r="R923" s="55">
        <v>30452065</v>
      </c>
      <c r="S923" s="53">
        <f>IF(ISNUMBER(M923), EDATE(M923,36)-1, "")</f>
        <v>25569.375</v>
      </c>
      <c r="T923" s="50"/>
      <c r="U923" s="50"/>
      <c r="V923" s="56"/>
      <c r="W923" s="50"/>
      <c r="X923" s="50"/>
      <c r="Y923" s="56"/>
      <c r="Z923" s="56"/>
      <c r="AA923" s="56"/>
      <c r="AB923" s="56"/>
      <c r="AC923" s="56"/>
      <c r="AD923" s="56"/>
    </row>
    <row x14ac:dyDescent="0.25" r="924" customHeight="1" ht="18.75" hidden="1">
      <c r="A924" s="56"/>
      <c r="B924" s="56"/>
      <c r="C924" s="50" t="s">
        <v>16</v>
      </c>
      <c r="D924" s="50"/>
      <c r="E924" s="50"/>
      <c r="F924" s="50" t="s">
        <v>3057</v>
      </c>
      <c r="G924" s="55">
        <v>10000000</v>
      </c>
      <c r="H924" s="55"/>
      <c r="I924" s="55"/>
      <c r="J924" s="51">
        <v>800000</v>
      </c>
      <c r="K924" s="51"/>
      <c r="L924" s="52">
        <v>46102</v>
      </c>
      <c r="M924" s="53">
        <v>46043</v>
      </c>
      <c r="N924" s="50" t="s">
        <v>155</v>
      </c>
      <c r="O924" s="50" t="s">
        <v>478</v>
      </c>
      <c r="P924" s="50" t="s">
        <v>3057</v>
      </c>
      <c r="Q924" s="55" t="s">
        <v>3058</v>
      </c>
      <c r="R924" s="55" t="s">
        <v>3059</v>
      </c>
      <c r="S924" s="53">
        <v>47138</v>
      </c>
      <c r="T924" s="50"/>
      <c r="U924" s="50" t="s">
        <v>1178</v>
      </c>
      <c r="V924" s="56"/>
      <c r="W924" s="50"/>
      <c r="X924" s="50"/>
      <c r="Y924" s="56"/>
      <c r="Z924" s="56"/>
      <c r="AA924" s="56"/>
      <c r="AB924" s="56"/>
      <c r="AC924" s="56"/>
      <c r="AD924" s="56"/>
    </row>
    <row x14ac:dyDescent="0.25" r="925" customHeight="1" ht="18.75" hidden="1">
      <c r="A925" s="56"/>
      <c r="B925" s="56"/>
      <c r="C925" s="50" t="s">
        <v>16</v>
      </c>
      <c r="D925" s="50"/>
      <c r="E925" s="50" t="s">
        <v>862</v>
      </c>
      <c r="F925" s="50" t="s">
        <v>958</v>
      </c>
      <c r="G925" s="55">
        <v>30000000</v>
      </c>
      <c r="H925" s="55"/>
      <c r="I925" s="55"/>
      <c r="J925" s="51">
        <v>2028000</v>
      </c>
      <c r="K925" s="51"/>
      <c r="L925" s="52">
        <v>46083</v>
      </c>
      <c r="M925" s="53">
        <v>46024</v>
      </c>
      <c r="N925" s="50" t="s">
        <v>155</v>
      </c>
      <c r="O925" s="50" t="s">
        <v>960</v>
      </c>
      <c r="P925" s="50" t="s">
        <v>958</v>
      </c>
      <c r="Q925" s="55" t="s">
        <v>3061</v>
      </c>
      <c r="R925" s="55" t="s">
        <v>3366</v>
      </c>
      <c r="S925" s="53">
        <v>47119</v>
      </c>
      <c r="T925" s="50"/>
      <c r="U925" s="50"/>
      <c r="V925" s="56"/>
      <c r="W925" s="50"/>
      <c r="X925" s="50"/>
      <c r="Y925" s="56"/>
      <c r="Z925" s="56"/>
      <c r="AA925" s="56"/>
      <c r="AB925" s="56"/>
      <c r="AC925" s="56"/>
      <c r="AD925" s="56"/>
    </row>
    <row x14ac:dyDescent="0.25" r="926" customHeight="1" ht="18.75" hidden="1">
      <c r="A926" s="63"/>
      <c r="B926" s="63"/>
      <c r="C926" s="49" t="s">
        <v>16</v>
      </c>
      <c r="D926" s="49"/>
      <c r="E926" s="49" t="s">
        <v>862</v>
      </c>
      <c r="F926" s="49" t="s">
        <v>958</v>
      </c>
      <c r="G926" s="64">
        <v>30000000</v>
      </c>
      <c r="H926" s="64"/>
      <c r="I926" s="64"/>
      <c r="J926" s="65">
        <f>IF(G926&gt;0,_xludf.IFS(G926=10000000,800000,G926=20000000,1528000,G926=30000000,2028000,G926=60000000,4056000),"")</f>
      </c>
      <c r="K926" s="64"/>
      <c r="L926" s="66">
        <v>46083</v>
      </c>
      <c r="M926" s="67">
        <f>IF(L926&gt;0,EDATE(L926,-2),"")</f>
        <v>25569.375</v>
      </c>
      <c r="N926" s="49" t="s">
        <v>988</v>
      </c>
      <c r="O926" s="49" t="s">
        <v>3060</v>
      </c>
      <c r="P926" s="68">
        <f>IF(F926&gt;0,F926,"")</f>
      </c>
      <c r="Q926" s="69" t="s">
        <v>3061</v>
      </c>
      <c r="R926" s="69">
        <v>39171399</v>
      </c>
      <c r="S926" s="67">
        <f>IF(ISNUMBER(M926), EDATE(M926,36)-1, "")</f>
        <v>25569.375</v>
      </c>
      <c r="T926" s="49"/>
      <c r="U926" s="49"/>
      <c r="V926" s="63"/>
      <c r="W926" s="50"/>
      <c r="X926" s="50"/>
      <c r="Y926" s="56"/>
      <c r="Z926" s="56"/>
      <c r="AA926" s="56"/>
      <c r="AB926" s="56"/>
      <c r="AC926" s="56"/>
      <c r="AD926" s="56"/>
    </row>
    <row x14ac:dyDescent="0.25" r="927" customHeight="1" ht="18.75">
      <c r="A927" s="56"/>
      <c r="B927" s="56"/>
      <c r="C927" s="50" t="s">
        <v>16</v>
      </c>
      <c r="D927" s="50" t="s">
        <v>410</v>
      </c>
      <c r="E927" s="50" t="s">
        <v>534</v>
      </c>
      <c r="F927" s="50" t="s">
        <v>2013</v>
      </c>
      <c r="G927" s="51">
        <v>10000000</v>
      </c>
      <c r="H927" s="51"/>
      <c r="I927" s="51"/>
      <c r="J927" s="87">
        <f>IF(G927&gt;0,_xludf.IFS(G927=10000000,1200000,G927=20000000,1800000,G927=30000000,2400000,G927=60000000,4000000),"")</f>
      </c>
      <c r="K927" s="51"/>
      <c r="L927" s="52">
        <v>46240</v>
      </c>
      <c r="M927" s="53">
        <f>IF(L927&gt;0,EDATE(L927,-2),"")</f>
        <v>25569.375</v>
      </c>
      <c r="N927" s="50" t="s">
        <v>205</v>
      </c>
      <c r="O927" s="50" t="s">
        <v>2014</v>
      </c>
      <c r="P927" s="54">
        <f>IF(F927&gt;0,F927,"")</f>
      </c>
      <c r="Q927" s="55">
        <v>7609052483111</v>
      </c>
      <c r="R927" s="55">
        <v>54234821</v>
      </c>
      <c r="S927" s="53">
        <f>IF(ISNUMBER(M927), EDATE(M927,36)-1, "")</f>
        <v>25569.375</v>
      </c>
      <c r="T927" s="50"/>
      <c r="U927" s="50"/>
      <c r="V927" s="56"/>
      <c r="W927" s="50"/>
      <c r="X927" s="50"/>
      <c r="Y927" s="56"/>
      <c r="Z927" s="56"/>
      <c r="AA927" s="56"/>
      <c r="AB927" s="56"/>
      <c r="AC927" s="56"/>
      <c r="AD927" s="56"/>
    </row>
    <row x14ac:dyDescent="0.25" r="928" customHeight="1" ht="18.75">
      <c r="A928" s="56"/>
      <c r="B928" s="56"/>
      <c r="C928" s="50" t="s">
        <v>16</v>
      </c>
      <c r="D928" s="50" t="s">
        <v>737</v>
      </c>
      <c r="E928" s="50" t="s">
        <v>669</v>
      </c>
      <c r="F928" s="50" t="s">
        <v>738</v>
      </c>
      <c r="G928" s="51">
        <v>60000000</v>
      </c>
      <c r="H928" s="51"/>
      <c r="I928" s="51"/>
      <c r="J928" s="51">
        <v>2400000</v>
      </c>
      <c r="K928" s="51"/>
      <c r="L928" s="52">
        <v>46242</v>
      </c>
      <c r="M928" s="53">
        <f>IF(L928&gt;0,EDATE(L928,-2),"")</f>
        <v>25569.375</v>
      </c>
      <c r="N928" s="50" t="s">
        <v>302</v>
      </c>
      <c r="O928" s="50" t="s">
        <v>739</v>
      </c>
      <c r="P928" s="50" t="s">
        <v>740</v>
      </c>
      <c r="Q928" s="55">
        <v>648418200</v>
      </c>
      <c r="R928" s="55">
        <v>40479774</v>
      </c>
      <c r="S928" s="53">
        <f>IF(ISNUMBER(M928), EDATE(M928,36)-1, "")</f>
        <v>25569.375</v>
      </c>
      <c r="T928" s="50"/>
      <c r="U928" s="50"/>
      <c r="V928" s="56" t="s">
        <v>741</v>
      </c>
      <c r="W928" s="50"/>
      <c r="X928" s="50"/>
      <c r="Y928" s="56"/>
      <c r="Z928" s="56"/>
      <c r="AA928" s="56"/>
      <c r="AB928" s="56"/>
      <c r="AC928" s="56"/>
      <c r="AD928" s="56"/>
    </row>
    <row x14ac:dyDescent="0.25" r="929" customHeight="1" ht="18.75" hidden="1">
      <c r="A929" s="56"/>
      <c r="B929" s="56"/>
      <c r="C929" s="50" t="s">
        <v>16</v>
      </c>
      <c r="D929" s="50"/>
      <c r="E929" s="50"/>
      <c r="F929" s="50" t="s">
        <v>3070</v>
      </c>
      <c r="G929" s="55">
        <v>30000000</v>
      </c>
      <c r="H929" s="55"/>
      <c r="I929" s="55"/>
      <c r="J929" s="51">
        <v>2400000</v>
      </c>
      <c r="K929" s="51"/>
      <c r="L929" s="52">
        <v>45924</v>
      </c>
      <c r="M929" s="53">
        <v>45848</v>
      </c>
      <c r="N929" s="50" t="s">
        <v>217</v>
      </c>
      <c r="O929" s="50" t="s">
        <v>2030</v>
      </c>
      <c r="P929" s="50" t="s">
        <v>92</v>
      </c>
      <c r="Q929" s="55" t="s">
        <v>3071</v>
      </c>
      <c r="R929" s="55" t="s">
        <v>2032</v>
      </c>
      <c r="S929" s="53">
        <v>46943</v>
      </c>
      <c r="T929" s="50"/>
      <c r="U929" s="50"/>
      <c r="V929" s="56"/>
      <c r="W929" s="50"/>
      <c r="X929" s="50"/>
      <c r="Y929" s="56"/>
      <c r="Z929" s="56"/>
      <c r="AA929" s="56"/>
      <c r="AB929" s="56"/>
      <c r="AC929" s="56"/>
      <c r="AD929" s="56"/>
    </row>
    <row x14ac:dyDescent="0.25" r="930" customHeight="1" ht="18.75" hidden="1">
      <c r="A930" s="56"/>
      <c r="B930" s="56"/>
      <c r="C930" s="50" t="s">
        <v>16</v>
      </c>
      <c r="D930" s="50"/>
      <c r="E930" s="50"/>
      <c r="F930" s="50" t="s">
        <v>3072</v>
      </c>
      <c r="G930" s="55">
        <v>10000000</v>
      </c>
      <c r="H930" s="55"/>
      <c r="I930" s="55"/>
      <c r="J930" s="51">
        <v>800000</v>
      </c>
      <c r="K930" s="51"/>
      <c r="L930" s="52">
        <v>45915</v>
      </c>
      <c r="M930" s="53">
        <v>45848</v>
      </c>
      <c r="N930" s="50" t="s">
        <v>168</v>
      </c>
      <c r="O930" s="50" t="s">
        <v>3073</v>
      </c>
      <c r="P930" s="50" t="s">
        <v>3072</v>
      </c>
      <c r="Q930" s="55" t="s">
        <v>3074</v>
      </c>
      <c r="R930" s="55" t="s">
        <v>3075</v>
      </c>
      <c r="S930" s="53">
        <v>46943</v>
      </c>
      <c r="T930" s="50"/>
      <c r="U930" s="50"/>
      <c r="V930" s="56"/>
      <c r="W930" s="50"/>
      <c r="X930" s="50"/>
      <c r="Y930" s="56"/>
      <c r="Z930" s="56"/>
      <c r="AA930" s="56"/>
      <c r="AB930" s="56"/>
      <c r="AC930" s="56"/>
      <c r="AD930" s="56"/>
    </row>
    <row x14ac:dyDescent="0.25" r="931" customHeight="1" ht="18.75" hidden="1">
      <c r="A931" s="56"/>
      <c r="B931" s="56"/>
      <c r="C931" s="50" t="s">
        <v>16</v>
      </c>
      <c r="D931" s="50" t="s">
        <v>454</v>
      </c>
      <c r="E931" s="50"/>
      <c r="F931" s="50" t="s">
        <v>3076</v>
      </c>
      <c r="G931" s="55">
        <v>10000000</v>
      </c>
      <c r="H931" s="55"/>
      <c r="I931" s="55"/>
      <c r="J931" s="51">
        <v>800000</v>
      </c>
      <c r="K931" s="51"/>
      <c r="L931" s="52">
        <v>46154</v>
      </c>
      <c r="M931" s="53">
        <v>46093</v>
      </c>
      <c r="N931" s="50" t="s">
        <v>155</v>
      </c>
      <c r="O931" s="50" t="s">
        <v>3077</v>
      </c>
      <c r="P931" s="50" t="s">
        <v>3076</v>
      </c>
      <c r="Q931" s="55" t="s">
        <v>3078</v>
      </c>
      <c r="R931" s="55" t="s">
        <v>3079</v>
      </c>
      <c r="S931" s="53">
        <v>47188</v>
      </c>
      <c r="T931" s="50" t="s">
        <v>3080</v>
      </c>
      <c r="U931" s="50"/>
      <c r="V931" s="56"/>
      <c r="W931" s="50"/>
      <c r="X931" s="50"/>
      <c r="Y931" s="56"/>
      <c r="Z931" s="56"/>
      <c r="AA931" s="56"/>
      <c r="AB931" s="56"/>
      <c r="AC931" s="56"/>
      <c r="AD931" s="56"/>
    </row>
    <row x14ac:dyDescent="0.25" r="932" customHeight="1" ht="18.75" hidden="1">
      <c r="A932" s="56"/>
      <c r="B932" s="56"/>
      <c r="C932" s="50" t="s">
        <v>16</v>
      </c>
      <c r="D932" s="50"/>
      <c r="E932" s="50"/>
      <c r="F932" s="50" t="s">
        <v>3076</v>
      </c>
      <c r="G932" s="55">
        <v>10000000</v>
      </c>
      <c r="H932" s="55"/>
      <c r="I932" s="55"/>
      <c r="J932" s="51">
        <v>800000</v>
      </c>
      <c r="K932" s="51"/>
      <c r="L932" s="52">
        <v>46154</v>
      </c>
      <c r="M932" s="53">
        <v>46093</v>
      </c>
      <c r="N932" s="50" t="s">
        <v>161</v>
      </c>
      <c r="O932" s="50" t="s">
        <v>3077</v>
      </c>
      <c r="P932" s="50" t="s">
        <v>3076</v>
      </c>
      <c r="Q932" s="55" t="s">
        <v>3367</v>
      </c>
      <c r="R932" s="55" t="s">
        <v>3079</v>
      </c>
      <c r="S932" s="53">
        <v>47188</v>
      </c>
      <c r="T932" s="50"/>
      <c r="U932" s="50" t="s">
        <v>166</v>
      </c>
      <c r="V932" s="56"/>
      <c r="W932" s="50"/>
      <c r="X932" s="50"/>
      <c r="Y932" s="56"/>
      <c r="Z932" s="56"/>
      <c r="AA932" s="56"/>
      <c r="AB932" s="56"/>
      <c r="AC932" s="56"/>
      <c r="AD932" s="56"/>
    </row>
    <row x14ac:dyDescent="0.25" r="933" customHeight="1" ht="18.75" hidden="1">
      <c r="A933" s="56"/>
      <c r="B933" s="56"/>
      <c r="C933" s="50" t="s">
        <v>16</v>
      </c>
      <c r="D933" s="50"/>
      <c r="E933" s="50"/>
      <c r="F933" s="50" t="s">
        <v>3081</v>
      </c>
      <c r="G933" s="55">
        <v>40000000</v>
      </c>
      <c r="H933" s="55"/>
      <c r="I933" s="55"/>
      <c r="J933" s="51">
        <v>3200000</v>
      </c>
      <c r="K933" s="51"/>
      <c r="L933" s="52">
        <v>45896</v>
      </c>
      <c r="M933" s="53">
        <v>45835</v>
      </c>
      <c r="N933" s="50" t="s">
        <v>940</v>
      </c>
      <c r="O933" s="50" t="s">
        <v>3082</v>
      </c>
      <c r="P933" s="50" t="s">
        <v>3081</v>
      </c>
      <c r="Q933" s="55" t="s">
        <v>3083</v>
      </c>
      <c r="R933" s="55" t="s">
        <v>3084</v>
      </c>
      <c r="S933" s="53">
        <v>46930</v>
      </c>
      <c r="T933" s="50"/>
      <c r="U933" s="50"/>
      <c r="V933" s="56"/>
      <c r="W933" s="50"/>
      <c r="X933" s="50"/>
      <c r="Y933" s="56"/>
      <c r="Z933" s="56"/>
      <c r="AA933" s="56"/>
      <c r="AB933" s="56"/>
      <c r="AC933" s="56"/>
      <c r="AD933" s="56"/>
    </row>
    <row x14ac:dyDescent="0.25" r="934" customHeight="1" ht="18.75">
      <c r="A934" s="56"/>
      <c r="B934" s="56"/>
      <c r="C934" s="50" t="s">
        <v>16</v>
      </c>
      <c r="D934" s="50" t="s">
        <v>454</v>
      </c>
      <c r="E934" s="50" t="s">
        <v>357</v>
      </c>
      <c r="F934" s="50" t="s">
        <v>978</v>
      </c>
      <c r="G934" s="51">
        <v>10000000</v>
      </c>
      <c r="H934" s="51"/>
      <c r="I934" s="51"/>
      <c r="J934" s="87">
        <f>IF(G934&gt;0,_xludf.IFS(G934=10000000,1200000,G934=20000000,1800000,G934=30000000,2400000,G934=60000000,4000000),"")</f>
      </c>
      <c r="K934" s="51"/>
      <c r="L934" s="52">
        <v>46242</v>
      </c>
      <c r="M934" s="53">
        <f>IF(L934&gt;0,EDATE(L934,-2),"")</f>
        <v>25569.375</v>
      </c>
      <c r="N934" s="50" t="s">
        <v>217</v>
      </c>
      <c r="O934" s="50" t="s">
        <v>979</v>
      </c>
      <c r="P934" s="54">
        <f>IF(F934&gt;0,F934,"")</f>
      </c>
      <c r="Q934" s="55">
        <v>5609131350612</v>
      </c>
      <c r="R934" s="55">
        <v>54849679</v>
      </c>
      <c r="S934" s="53">
        <f>IF(ISNUMBER(M934), EDATE(M934,36)-1, "")</f>
        <v>25569.375</v>
      </c>
      <c r="T934" s="50"/>
      <c r="U934" s="50"/>
      <c r="V934" s="56"/>
      <c r="W934" s="50"/>
      <c r="X934" s="50"/>
      <c r="Y934" s="56"/>
      <c r="Z934" s="56"/>
      <c r="AA934" s="56"/>
      <c r="AB934" s="56"/>
      <c r="AC934" s="56"/>
      <c r="AD934" s="56"/>
    </row>
    <row x14ac:dyDescent="0.25" r="935" customHeight="1" ht="18.75">
      <c r="A935" s="56"/>
      <c r="B935" s="56"/>
      <c r="C935" s="50" t="s">
        <v>16</v>
      </c>
      <c r="D935" s="50" t="s">
        <v>737</v>
      </c>
      <c r="E935" s="50" t="s">
        <v>669</v>
      </c>
      <c r="F935" s="50" t="s">
        <v>1020</v>
      </c>
      <c r="G935" s="51">
        <v>60000000</v>
      </c>
      <c r="H935" s="51"/>
      <c r="I935" s="51"/>
      <c r="J935" s="87">
        <f>IF(G935&gt;0,_xludf.IFS(G935=10000000,1200000,G935=20000000,1800000,G935=30000000,2400000,G935=60000000,4000000),"")</f>
      </c>
      <c r="K935" s="51"/>
      <c r="L935" s="52">
        <v>46242</v>
      </c>
      <c r="M935" s="53">
        <f>IF(L935&gt;0,EDATE(L935,-2),"")</f>
        <v>25569.375</v>
      </c>
      <c r="N935" s="50" t="s">
        <v>212</v>
      </c>
      <c r="O935" s="50" t="s">
        <v>1021</v>
      </c>
      <c r="P935" s="54">
        <f>IF(F935&gt;0,F935,"")</f>
      </c>
      <c r="Q935" s="55">
        <v>8701051179013</v>
      </c>
      <c r="R935" s="55">
        <v>27312942</v>
      </c>
      <c r="S935" s="53">
        <f>IF(ISNUMBER(M935), EDATE(M935,36)-1, "")</f>
        <v>25569.375</v>
      </c>
      <c r="T935" s="50"/>
      <c r="U935" s="50"/>
      <c r="V935" s="56"/>
      <c r="W935" s="50"/>
      <c r="X935" s="50"/>
      <c r="Y935" s="56"/>
      <c r="Z935" s="56"/>
      <c r="AA935" s="56"/>
      <c r="AB935" s="56"/>
      <c r="AC935" s="56"/>
      <c r="AD935" s="56"/>
    </row>
    <row x14ac:dyDescent="0.25" r="936" customHeight="1" ht="18.75" hidden="1">
      <c r="A936" s="56"/>
      <c r="B936" s="56"/>
      <c r="C936" s="50" t="s">
        <v>16</v>
      </c>
      <c r="D936" s="50"/>
      <c r="E936" s="50"/>
      <c r="F936" s="50" t="s">
        <v>139</v>
      </c>
      <c r="G936" s="55">
        <v>30000000</v>
      </c>
      <c r="H936" s="55"/>
      <c r="I936" s="55"/>
      <c r="J936" s="51">
        <v>2028000</v>
      </c>
      <c r="K936" s="51"/>
      <c r="L936" s="52">
        <v>46064</v>
      </c>
      <c r="M936" s="53">
        <v>46002</v>
      </c>
      <c r="N936" s="50" t="s">
        <v>239</v>
      </c>
      <c r="O936" s="50" t="s">
        <v>3090</v>
      </c>
      <c r="P936" s="50" t="s">
        <v>139</v>
      </c>
      <c r="Q936" s="55" t="s">
        <v>3091</v>
      </c>
      <c r="R936" s="55" t="s">
        <v>3092</v>
      </c>
      <c r="S936" s="53">
        <v>47097</v>
      </c>
      <c r="T936" s="50"/>
      <c r="U936" s="50"/>
      <c r="V936" s="56"/>
      <c r="W936" s="50"/>
      <c r="X936" s="50"/>
      <c r="Y936" s="56"/>
      <c r="Z936" s="56"/>
      <c r="AA936" s="56"/>
      <c r="AB936" s="56"/>
      <c r="AC936" s="56"/>
      <c r="AD936" s="56"/>
    </row>
    <row x14ac:dyDescent="0.25" r="937" customHeight="1" ht="18.75" hidden="1">
      <c r="A937" s="56"/>
      <c r="B937" s="56"/>
      <c r="C937" s="49" t="s">
        <v>16</v>
      </c>
      <c r="D937" s="50"/>
      <c r="E937" s="50"/>
      <c r="F937" s="50" t="s">
        <v>3093</v>
      </c>
      <c r="G937" s="51">
        <v>10000000</v>
      </c>
      <c r="H937" s="51"/>
      <c r="I937" s="51"/>
      <c r="J937" s="87">
        <f>IF(G937&gt;0,_xludf.IFS(G937=10000000,800000,G937=20000000,1528000,G937=30000000,2028000,G937=60000000,4056000),"")</f>
      </c>
      <c r="K937" s="51"/>
      <c r="L937" s="52">
        <v>46126</v>
      </c>
      <c r="M937" s="53">
        <f>IF(L937&gt;0,EDATE(L937,-2),"")</f>
        <v>25569.375</v>
      </c>
      <c r="N937" s="50" t="s">
        <v>302</v>
      </c>
      <c r="O937" s="50" t="s">
        <v>3094</v>
      </c>
      <c r="P937" s="54">
        <f>IF(F937&gt;0,F937,"")</f>
      </c>
      <c r="Q937" s="55" t="s">
        <v>3095</v>
      </c>
      <c r="R937" s="55">
        <v>62525899</v>
      </c>
      <c r="S937" s="53">
        <f>IF(ISNUMBER(M937), EDATE(M937,36)-1, "")</f>
        <v>25569.375</v>
      </c>
      <c r="T937" s="50"/>
      <c r="U937" s="50"/>
      <c r="V937" s="56"/>
      <c r="W937" s="50"/>
      <c r="X937" s="50"/>
      <c r="Y937" s="56"/>
      <c r="Z937" s="56"/>
      <c r="AA937" s="56"/>
      <c r="AB937" s="56"/>
      <c r="AC937" s="56"/>
      <c r="AD937" s="56"/>
    </row>
    <row x14ac:dyDescent="0.25" r="938" customHeight="1" ht="18.75" hidden="1">
      <c r="A938" s="63"/>
      <c r="B938" s="63"/>
      <c r="C938" s="49" t="s">
        <v>16</v>
      </c>
      <c r="D938" s="49"/>
      <c r="E938" s="49"/>
      <c r="F938" s="49" t="s">
        <v>140</v>
      </c>
      <c r="G938" s="69">
        <v>10000000</v>
      </c>
      <c r="H938" s="69"/>
      <c r="I938" s="69"/>
      <c r="J938" s="64">
        <v>800000</v>
      </c>
      <c r="K938" s="64"/>
      <c r="L938" s="66">
        <v>45995</v>
      </c>
      <c r="M938" s="67">
        <v>45934</v>
      </c>
      <c r="N938" s="49" t="s">
        <v>282</v>
      </c>
      <c r="O938" s="49" t="s">
        <v>3096</v>
      </c>
      <c r="P938" s="49" t="s">
        <v>140</v>
      </c>
      <c r="Q938" s="69" t="s">
        <v>3097</v>
      </c>
      <c r="R938" s="69" t="s">
        <v>3098</v>
      </c>
      <c r="S938" s="67">
        <v>47029</v>
      </c>
      <c r="T938" s="49"/>
      <c r="U938" s="49" t="s">
        <v>166</v>
      </c>
      <c r="V938" s="56"/>
      <c r="W938" s="50"/>
      <c r="X938" s="50"/>
      <c r="Y938" s="56"/>
      <c r="Z938" s="56"/>
      <c r="AA938" s="56"/>
      <c r="AB938" s="56"/>
      <c r="AC938" s="56"/>
      <c r="AD938" s="56"/>
    </row>
    <row x14ac:dyDescent="0.25" r="939" customHeight="1" ht="18.75" hidden="1">
      <c r="A939" s="56"/>
      <c r="B939" s="56"/>
      <c r="C939" s="50" t="s">
        <v>16</v>
      </c>
      <c r="D939" s="50"/>
      <c r="E939" s="50"/>
      <c r="F939" s="50" t="s">
        <v>140</v>
      </c>
      <c r="G939" s="55">
        <v>10000000</v>
      </c>
      <c r="H939" s="55"/>
      <c r="I939" s="55"/>
      <c r="J939" s="51">
        <v>800000</v>
      </c>
      <c r="K939" s="51"/>
      <c r="L939" s="52">
        <v>46122</v>
      </c>
      <c r="M939" s="53">
        <v>46063</v>
      </c>
      <c r="N939" s="50" t="s">
        <v>282</v>
      </c>
      <c r="O939" s="50" t="s">
        <v>3096</v>
      </c>
      <c r="P939" s="50" t="s">
        <v>140</v>
      </c>
      <c r="Q939" s="55" t="s">
        <v>3097</v>
      </c>
      <c r="R939" s="55" t="s">
        <v>3098</v>
      </c>
      <c r="S939" s="53">
        <v>47158</v>
      </c>
      <c r="T939" s="50" t="s">
        <v>3099</v>
      </c>
      <c r="U939" s="50" t="s">
        <v>166</v>
      </c>
      <c r="V939" s="56"/>
      <c r="W939" s="50"/>
      <c r="X939" s="50"/>
      <c r="Y939" s="56"/>
      <c r="Z939" s="56"/>
      <c r="AA939" s="56"/>
      <c r="AB939" s="56"/>
      <c r="AC939" s="56"/>
      <c r="AD939" s="56"/>
    </row>
    <row x14ac:dyDescent="0.25" r="940" customHeight="1" ht="18.75" hidden="1">
      <c r="A940" s="56"/>
      <c r="B940" s="56"/>
      <c r="C940" s="50" t="s">
        <v>16</v>
      </c>
      <c r="D940" s="50"/>
      <c r="E940" s="50"/>
      <c r="F940" s="50" t="s">
        <v>3101</v>
      </c>
      <c r="G940" s="55">
        <v>10000000</v>
      </c>
      <c r="H940" s="55"/>
      <c r="I940" s="55"/>
      <c r="J940" s="51">
        <v>800000</v>
      </c>
      <c r="K940" s="51"/>
      <c r="L940" s="52">
        <v>46091</v>
      </c>
      <c r="M940" s="53">
        <v>46022</v>
      </c>
      <c r="N940" s="50" t="s">
        <v>155</v>
      </c>
      <c r="O940" s="50" t="s">
        <v>3102</v>
      </c>
      <c r="P940" s="50" t="s">
        <v>3103</v>
      </c>
      <c r="Q940" s="55" t="s">
        <v>3104</v>
      </c>
      <c r="R940" s="55" t="s">
        <v>3105</v>
      </c>
      <c r="S940" s="53">
        <v>47127</v>
      </c>
      <c r="T940" s="50"/>
      <c r="U940" s="50"/>
      <c r="V940" s="56"/>
      <c r="W940" s="50"/>
      <c r="X940" s="50"/>
      <c r="Y940" s="56"/>
      <c r="Z940" s="56"/>
      <c r="AA940" s="56"/>
      <c r="AB940" s="56"/>
      <c r="AC940" s="56"/>
      <c r="AD940" s="56"/>
    </row>
    <row x14ac:dyDescent="0.25" r="941" customHeight="1" ht="18.75" hidden="1">
      <c r="A941" s="56"/>
      <c r="B941" s="56"/>
      <c r="C941" s="50" t="s">
        <v>16</v>
      </c>
      <c r="D941" s="50"/>
      <c r="E941" s="50" t="s">
        <v>92</v>
      </c>
      <c r="F941" s="50" t="s">
        <v>3101</v>
      </c>
      <c r="G941" s="55">
        <v>10000000</v>
      </c>
      <c r="H941" s="55"/>
      <c r="I941" s="55"/>
      <c r="J941" s="51">
        <v>800000</v>
      </c>
      <c r="K941" s="51"/>
      <c r="L941" s="52">
        <v>46091</v>
      </c>
      <c r="M941" s="53">
        <v>46032</v>
      </c>
      <c r="N941" s="50" t="s">
        <v>155</v>
      </c>
      <c r="O941" s="50" t="s">
        <v>3102</v>
      </c>
      <c r="P941" s="50" t="s">
        <v>3103</v>
      </c>
      <c r="Q941" s="55" t="s">
        <v>3104</v>
      </c>
      <c r="R941" s="55" t="s">
        <v>3105</v>
      </c>
      <c r="S941" s="53">
        <v>47127</v>
      </c>
      <c r="T941" s="50"/>
      <c r="U941" s="50" t="s">
        <v>166</v>
      </c>
      <c r="V941" s="56"/>
      <c r="W941" s="50"/>
      <c r="X941" s="50"/>
      <c r="Y941" s="56"/>
      <c r="Z941" s="56"/>
      <c r="AA941" s="56"/>
      <c r="AB941" s="56"/>
      <c r="AC941" s="56"/>
      <c r="AD941" s="56"/>
    </row>
    <row x14ac:dyDescent="0.25" r="942" customHeight="1" ht="18.75" hidden="1">
      <c r="A942" s="56"/>
      <c r="B942" s="56"/>
      <c r="C942" s="50" t="s">
        <v>16</v>
      </c>
      <c r="D942" s="50"/>
      <c r="E942" s="50"/>
      <c r="F942" s="50" t="s">
        <v>3106</v>
      </c>
      <c r="G942" s="55">
        <v>60000000</v>
      </c>
      <c r="H942" s="55"/>
      <c r="I942" s="55"/>
      <c r="J942" s="51">
        <v>4056000</v>
      </c>
      <c r="K942" s="51"/>
      <c r="L942" s="52">
        <v>46082</v>
      </c>
      <c r="M942" s="53">
        <v>46022</v>
      </c>
      <c r="N942" s="50" t="s">
        <v>988</v>
      </c>
      <c r="O942" s="50" t="s">
        <v>3107</v>
      </c>
      <c r="P942" s="50" t="s">
        <v>3106</v>
      </c>
      <c r="Q942" s="55" t="s">
        <v>3108</v>
      </c>
      <c r="R942" s="55" t="s">
        <v>3109</v>
      </c>
      <c r="S942" s="53">
        <v>47118</v>
      </c>
      <c r="T942" s="50"/>
      <c r="U942" s="50"/>
      <c r="V942" s="56"/>
      <c r="W942" s="50"/>
      <c r="X942" s="50"/>
      <c r="Y942" s="56"/>
      <c r="Z942" s="56"/>
      <c r="AA942" s="56"/>
      <c r="AB942" s="56"/>
      <c r="AC942" s="56"/>
      <c r="AD942" s="56"/>
    </row>
    <row x14ac:dyDescent="0.25" r="943" customHeight="1" ht="18.75">
      <c r="A943" s="56"/>
      <c r="B943" s="56"/>
      <c r="C943" s="50" t="s">
        <v>16</v>
      </c>
      <c r="D943" s="50" t="s">
        <v>737</v>
      </c>
      <c r="E943" s="50" t="s">
        <v>669</v>
      </c>
      <c r="F943" s="50" t="s">
        <v>2552</v>
      </c>
      <c r="G943" s="51">
        <v>60000000</v>
      </c>
      <c r="H943" s="51"/>
      <c r="I943" s="51"/>
      <c r="J943" s="51">
        <v>2400000</v>
      </c>
      <c r="K943" s="51"/>
      <c r="L943" s="52">
        <v>46242</v>
      </c>
      <c r="M943" s="53">
        <f>IF(L943&gt;0,EDATE(L943,-2),"")</f>
        <v>25569.375</v>
      </c>
      <c r="N943" s="50" t="s">
        <v>302</v>
      </c>
      <c r="O943" s="50" t="s">
        <v>2553</v>
      </c>
      <c r="P943" s="54">
        <f>IF(F943&gt;0,F943,"")</f>
      </c>
      <c r="Q943" s="55">
        <v>6103132018620</v>
      </c>
      <c r="R943" s="55">
        <v>40479774</v>
      </c>
      <c r="S943" s="53">
        <f>IF(ISNUMBER(M943), EDATE(M943,36)-1, "")</f>
        <v>25569.375</v>
      </c>
      <c r="T943" s="50"/>
      <c r="U943" s="50"/>
      <c r="V943" s="56"/>
      <c r="W943" s="50"/>
      <c r="X943" s="50"/>
      <c r="Y943" s="56"/>
      <c r="Z943" s="56"/>
      <c r="AA943" s="56"/>
      <c r="AB943" s="56"/>
      <c r="AC943" s="56"/>
      <c r="AD943" s="56"/>
    </row>
    <row x14ac:dyDescent="0.25" r="944" customHeight="1" ht="18.75" hidden="1">
      <c r="A944" s="56"/>
      <c r="B944" s="56"/>
      <c r="C944" s="50" t="s">
        <v>16</v>
      </c>
      <c r="D944" s="50"/>
      <c r="E944" s="50"/>
      <c r="F944" s="50" t="s">
        <v>3114</v>
      </c>
      <c r="G944" s="55">
        <v>10000000</v>
      </c>
      <c r="H944" s="55"/>
      <c r="I944" s="55"/>
      <c r="J944" s="51">
        <v>800000</v>
      </c>
      <c r="K944" s="51"/>
      <c r="L944" s="52">
        <v>46044</v>
      </c>
      <c r="M944" s="53">
        <v>45983</v>
      </c>
      <c r="N944" s="50" t="s">
        <v>168</v>
      </c>
      <c r="O944" s="50" t="s">
        <v>3115</v>
      </c>
      <c r="P944" s="50" t="s">
        <v>3114</v>
      </c>
      <c r="Q944" s="55" t="s">
        <v>3116</v>
      </c>
      <c r="R944" s="55" t="s">
        <v>2134</v>
      </c>
      <c r="S944" s="53">
        <v>47078</v>
      </c>
      <c r="T944" s="50"/>
      <c r="U944" s="50"/>
      <c r="V944" s="56"/>
      <c r="W944" s="50"/>
      <c r="X944" s="50"/>
      <c r="Y944" s="56"/>
      <c r="Z944" s="56"/>
      <c r="AA944" s="56"/>
      <c r="AB944" s="56"/>
      <c r="AC944" s="56"/>
      <c r="AD944" s="56"/>
    </row>
    <row x14ac:dyDescent="0.25" r="945" customHeight="1" ht="18.75">
      <c r="A945" s="56"/>
      <c r="B945" s="56"/>
      <c r="C945" s="50" t="s">
        <v>16</v>
      </c>
      <c r="D945" s="50" t="s">
        <v>454</v>
      </c>
      <c r="E945" s="50" t="s">
        <v>538</v>
      </c>
      <c r="F945" s="50" t="s">
        <v>1237</v>
      </c>
      <c r="G945" s="51">
        <v>10000000</v>
      </c>
      <c r="H945" s="51"/>
      <c r="I945" s="51"/>
      <c r="J945" s="87">
        <f>IF(G945&gt;0,_xludf.IFS(G945=10000000,1200000,G945=20000000,1800000,G945=30000000,2400000,G945=60000000,4000000),"")</f>
      </c>
      <c r="K945" s="51"/>
      <c r="L945" s="52">
        <v>46243</v>
      </c>
      <c r="M945" s="53">
        <f>IF(L945&gt;0,EDATE(L945,-2),"")</f>
        <v>25569.375</v>
      </c>
      <c r="N945" s="50" t="s">
        <v>168</v>
      </c>
      <c r="O945" s="50" t="s">
        <v>1238</v>
      </c>
      <c r="P945" s="54">
        <f>IF(F945&gt;0,F945,"")</f>
      </c>
      <c r="Q945" s="55">
        <v>6403272682812</v>
      </c>
      <c r="R945" s="55">
        <v>85567698</v>
      </c>
      <c r="S945" s="53">
        <f>IF(ISNUMBER(M945), EDATE(M945,36)-1, "")</f>
        <v>25569.375</v>
      </c>
      <c r="T945" s="50"/>
      <c r="U945" s="50"/>
      <c r="V945" s="56"/>
      <c r="W945" s="50"/>
      <c r="X945" s="50"/>
      <c r="Y945" s="56"/>
      <c r="Z945" s="56"/>
      <c r="AA945" s="56"/>
      <c r="AB945" s="56"/>
      <c r="AC945" s="56"/>
      <c r="AD945" s="56"/>
    </row>
    <row x14ac:dyDescent="0.25" r="946" customHeight="1" ht="18.75" hidden="1">
      <c r="A946" s="56"/>
      <c r="B946" s="56"/>
      <c r="C946" s="50" t="s">
        <v>16</v>
      </c>
      <c r="D946" s="50"/>
      <c r="E946" s="50"/>
      <c r="F946" s="50" t="s">
        <v>3120</v>
      </c>
      <c r="G946" s="55">
        <v>10000000</v>
      </c>
      <c r="H946" s="55"/>
      <c r="I946" s="55"/>
      <c r="J946" s="51">
        <v>800000</v>
      </c>
      <c r="K946" s="51"/>
      <c r="L946" s="52">
        <v>46084</v>
      </c>
      <c r="M946" s="53">
        <v>46022</v>
      </c>
      <c r="N946" s="50" t="s">
        <v>302</v>
      </c>
      <c r="O946" s="50" t="s">
        <v>3121</v>
      </c>
      <c r="P946" s="50" t="s">
        <v>3120</v>
      </c>
      <c r="Q946" s="55" t="s">
        <v>3122</v>
      </c>
      <c r="R946" s="55" t="s">
        <v>3123</v>
      </c>
      <c r="S946" s="53">
        <v>47120</v>
      </c>
      <c r="T946" s="50"/>
      <c r="U946" s="50"/>
      <c r="V946" s="56"/>
      <c r="W946" s="50"/>
      <c r="X946" s="50"/>
      <c r="Y946" s="56"/>
      <c r="Z946" s="56"/>
      <c r="AA946" s="56"/>
      <c r="AB946" s="56"/>
      <c r="AC946" s="56"/>
      <c r="AD946" s="56"/>
    </row>
    <row x14ac:dyDescent="0.25" r="947" customHeight="1" ht="18.75" hidden="1">
      <c r="A947" s="63" t="s">
        <v>152</v>
      </c>
      <c r="B947" s="63"/>
      <c r="C947" s="49" t="s">
        <v>16</v>
      </c>
      <c r="D947" s="49" t="s">
        <v>80</v>
      </c>
      <c r="E947" s="49" t="s">
        <v>97</v>
      </c>
      <c r="F947" s="49" t="s">
        <v>141</v>
      </c>
      <c r="G947" s="64">
        <v>30000000</v>
      </c>
      <c r="H947" s="64"/>
      <c r="I947" s="64"/>
      <c r="J947" s="65">
        <f>IF(G947&gt;0,_xludf.IFS(G947=10000000,800000,G947=20000000,1528000,G947=30000000,2028000,G947=60000000,4056000),"")</f>
      </c>
      <c r="K947" s="64"/>
      <c r="L947" s="66">
        <v>46167</v>
      </c>
      <c r="M947" s="67">
        <v>45971</v>
      </c>
      <c r="N947" s="49" t="s">
        <v>168</v>
      </c>
      <c r="O947" s="49" t="s">
        <v>3124</v>
      </c>
      <c r="P947" s="68">
        <f>IF(F947&gt;0,F947,"")</f>
      </c>
      <c r="Q947" s="69" t="s">
        <v>3125</v>
      </c>
      <c r="R947" s="69">
        <v>53224753</v>
      </c>
      <c r="S947" s="67">
        <f>IF(ISNUMBER(M947), EDATE(M947,36)-1, "")</f>
        <v>25569.375</v>
      </c>
      <c r="T947" s="49"/>
      <c r="U947" s="49"/>
      <c r="V947" s="63" t="s">
        <v>142</v>
      </c>
      <c r="W947" s="50"/>
      <c r="X947" s="50"/>
      <c r="Y947" s="56"/>
      <c r="Z947" s="56"/>
      <c r="AA947" s="56"/>
      <c r="AB947" s="56"/>
      <c r="AC947" s="56"/>
      <c r="AD947" s="56"/>
    </row>
    <row x14ac:dyDescent="0.25" r="948" customHeight="1" ht="18.75" hidden="1">
      <c r="A948" s="56"/>
      <c r="B948" s="56"/>
      <c r="C948" s="50" t="s">
        <v>27</v>
      </c>
      <c r="D948" s="50"/>
      <c r="E948" s="50"/>
      <c r="F948" s="50" t="s">
        <v>141</v>
      </c>
      <c r="G948" s="51">
        <v>3000000</v>
      </c>
      <c r="H948" s="51"/>
      <c r="I948" s="51"/>
      <c r="J948" s="51">
        <v>300000</v>
      </c>
      <c r="K948" s="51"/>
      <c r="L948" s="52">
        <v>45986</v>
      </c>
      <c r="M948" s="53">
        <v>45955</v>
      </c>
      <c r="N948" s="50" t="s">
        <v>282</v>
      </c>
      <c r="O948" s="50" t="s">
        <v>3124</v>
      </c>
      <c r="P948" s="50" t="s">
        <v>141</v>
      </c>
      <c r="Q948" s="55">
        <v>7809142357119</v>
      </c>
      <c r="R948" s="55">
        <v>53224753</v>
      </c>
      <c r="S948" s="53">
        <f>IF(ISNUMBER(M948), EDATE(M948,36)-1, "")</f>
        <v>25569.375</v>
      </c>
      <c r="T948" s="50"/>
      <c r="U948" s="50"/>
      <c r="V948" s="56"/>
      <c r="W948" s="50"/>
      <c r="X948" s="50"/>
      <c r="Y948" s="56"/>
      <c r="Z948" s="56"/>
      <c r="AA948" s="56"/>
      <c r="AB948" s="56"/>
      <c r="AC948" s="56"/>
      <c r="AD948" s="56"/>
    </row>
    <row x14ac:dyDescent="0.25" r="949" customHeight="1" ht="18.75" hidden="1">
      <c r="A949" s="56"/>
      <c r="B949" s="56"/>
      <c r="C949" s="50" t="s">
        <v>16</v>
      </c>
      <c r="D949" s="50"/>
      <c r="E949" s="50"/>
      <c r="F949" s="50" t="s">
        <v>3126</v>
      </c>
      <c r="G949" s="55">
        <v>30000000</v>
      </c>
      <c r="H949" s="55"/>
      <c r="I949" s="55"/>
      <c r="J949" s="51">
        <v>2028000</v>
      </c>
      <c r="K949" s="51"/>
      <c r="L949" s="52">
        <v>46086</v>
      </c>
      <c r="M949" s="53">
        <v>46022</v>
      </c>
      <c r="N949" s="50" t="s">
        <v>379</v>
      </c>
      <c r="O949" s="50" t="s">
        <v>3127</v>
      </c>
      <c r="P949" s="50" t="s">
        <v>3128</v>
      </c>
      <c r="Q949" s="55" t="s">
        <v>3129</v>
      </c>
      <c r="R949" s="55" t="s">
        <v>3130</v>
      </c>
      <c r="S949" s="53">
        <v>46816</v>
      </c>
      <c r="T949" s="50"/>
      <c r="U949" s="50"/>
      <c r="V949" s="56"/>
      <c r="W949" s="50"/>
      <c r="X949" s="50"/>
      <c r="Y949" s="56"/>
      <c r="Z949" s="56"/>
      <c r="AA949" s="56"/>
      <c r="AB949" s="56"/>
      <c r="AC949" s="56"/>
      <c r="AD949" s="56"/>
    </row>
    <row x14ac:dyDescent="0.25" r="950" customHeight="1" ht="18.75" hidden="1">
      <c r="A950" s="56"/>
      <c r="B950" s="56"/>
      <c r="C950" s="50" t="s">
        <v>16</v>
      </c>
      <c r="D950" s="50"/>
      <c r="E950" s="50"/>
      <c r="F950" s="50" t="s">
        <v>3126</v>
      </c>
      <c r="G950" s="55">
        <v>30000000</v>
      </c>
      <c r="H950" s="55"/>
      <c r="I950" s="55"/>
      <c r="J950" s="51">
        <v>2028000</v>
      </c>
      <c r="K950" s="51"/>
      <c r="L950" s="52">
        <v>46086</v>
      </c>
      <c r="M950" s="53">
        <v>46027</v>
      </c>
      <c r="N950" s="50" t="s">
        <v>379</v>
      </c>
      <c r="O950" s="50" t="s">
        <v>3368</v>
      </c>
      <c r="P950" s="50" t="s">
        <v>3128</v>
      </c>
      <c r="Q950" s="55" t="s">
        <v>3129</v>
      </c>
      <c r="R950" s="55" t="s">
        <v>3130</v>
      </c>
      <c r="S950" s="53">
        <v>47122</v>
      </c>
      <c r="T950" s="50"/>
      <c r="U950" s="50" t="s">
        <v>166</v>
      </c>
      <c r="V950" s="56"/>
      <c r="W950" s="50"/>
      <c r="X950" s="50"/>
      <c r="Y950" s="56"/>
      <c r="Z950" s="56"/>
      <c r="AA950" s="56"/>
      <c r="AB950" s="56"/>
      <c r="AC950" s="56"/>
      <c r="AD950" s="56"/>
    </row>
    <row x14ac:dyDescent="0.25" r="951" customHeight="1" ht="18.75" hidden="1">
      <c r="A951" s="71" t="s">
        <v>152</v>
      </c>
      <c r="B951" s="71"/>
      <c r="C951" s="72" t="s">
        <v>16</v>
      </c>
      <c r="D951" s="72" t="s">
        <v>143</v>
      </c>
      <c r="E951" s="72" t="s">
        <v>22</v>
      </c>
      <c r="F951" s="72" t="s">
        <v>144</v>
      </c>
      <c r="G951" s="74">
        <v>120000000</v>
      </c>
      <c r="H951" s="74"/>
      <c r="I951" s="74"/>
      <c r="J951" s="74">
        <v>9600000</v>
      </c>
      <c r="K951" s="74"/>
      <c r="L951" s="75">
        <v>46088</v>
      </c>
      <c r="M951" s="76">
        <f>IF(L951&gt;0,EDATE(L951,-2),"")</f>
        <v>25569.375</v>
      </c>
      <c r="N951" s="72" t="s">
        <v>217</v>
      </c>
      <c r="O951" s="72" t="s">
        <v>3131</v>
      </c>
      <c r="P951" s="96">
        <f>IF(F951&gt;0,F951,"")</f>
      </c>
      <c r="Q951" s="73">
        <v>7001241149613</v>
      </c>
      <c r="R951" s="73">
        <v>23010208</v>
      </c>
      <c r="S951" s="76">
        <f>IF(ISNUMBER(M951), EDATE(M951,36)-1, "")</f>
        <v>25569.375</v>
      </c>
      <c r="T951" s="72"/>
      <c r="U951" s="72"/>
      <c r="V951" s="71" t="s">
        <v>145</v>
      </c>
      <c r="W951" s="50"/>
      <c r="X951" s="50"/>
      <c r="Y951" s="56"/>
      <c r="Z951" s="56"/>
      <c r="AA951" s="56"/>
      <c r="AB951" s="56"/>
      <c r="AC951" s="56"/>
      <c r="AD951" s="56"/>
    </row>
    <row x14ac:dyDescent="0.25" r="952" customHeight="1" ht="18.75" hidden="1">
      <c r="A952" s="56"/>
      <c r="B952" s="56"/>
      <c r="C952" s="50" t="s">
        <v>16</v>
      </c>
      <c r="D952" s="50"/>
      <c r="E952" s="50"/>
      <c r="F952" s="50" t="s">
        <v>3132</v>
      </c>
      <c r="G952" s="55">
        <v>20000000</v>
      </c>
      <c r="H952" s="55"/>
      <c r="I952" s="55"/>
      <c r="J952" s="51">
        <v>1528000</v>
      </c>
      <c r="K952" s="51"/>
      <c r="L952" s="52">
        <v>46018</v>
      </c>
      <c r="M952" s="53">
        <v>45957</v>
      </c>
      <c r="N952" s="50" t="s">
        <v>379</v>
      </c>
      <c r="O952" s="50" t="s">
        <v>3133</v>
      </c>
      <c r="P952" s="50" t="s">
        <v>3132</v>
      </c>
      <c r="Q952" s="55" t="s">
        <v>3134</v>
      </c>
      <c r="R952" s="55" t="s">
        <v>3135</v>
      </c>
      <c r="S952" s="53">
        <v>47052</v>
      </c>
      <c r="T952" s="50"/>
      <c r="U952" s="50"/>
      <c r="V952" s="56"/>
      <c r="W952" s="50"/>
      <c r="X952" s="50"/>
      <c r="Y952" s="56"/>
      <c r="Z952" s="56"/>
      <c r="AA952" s="56"/>
      <c r="AB952" s="56"/>
      <c r="AC952" s="56"/>
      <c r="AD952" s="56"/>
    </row>
    <row x14ac:dyDescent="0.25" r="953" customHeight="1" ht="18.75" hidden="1">
      <c r="A953" s="56"/>
      <c r="B953" s="56"/>
      <c r="C953" s="50" t="s">
        <v>16</v>
      </c>
      <c r="D953" s="50" t="s">
        <v>80</v>
      </c>
      <c r="E953" s="50" t="s">
        <v>97</v>
      </c>
      <c r="F953" s="50" t="s">
        <v>3136</v>
      </c>
      <c r="G953" s="55">
        <v>10000000</v>
      </c>
      <c r="H953" s="55"/>
      <c r="I953" s="55"/>
      <c r="J953" s="51">
        <v>1200000</v>
      </c>
      <c r="K953" s="51"/>
      <c r="L953" s="52">
        <v>46152</v>
      </c>
      <c r="M953" s="53">
        <v>46091</v>
      </c>
      <c r="N953" s="50" t="s">
        <v>3137</v>
      </c>
      <c r="O953" s="50" t="s">
        <v>3138</v>
      </c>
      <c r="P953" s="50" t="s">
        <v>3136</v>
      </c>
      <c r="Q953" s="55" t="s">
        <v>3139</v>
      </c>
      <c r="R953" s="55" t="s">
        <v>3140</v>
      </c>
      <c r="S953" s="53">
        <v>47186</v>
      </c>
      <c r="T953" s="50" t="s">
        <v>3141</v>
      </c>
      <c r="U953" s="50"/>
      <c r="V953" s="56"/>
      <c r="W953" s="50"/>
      <c r="X953" s="50"/>
      <c r="Y953" s="56"/>
      <c r="Z953" s="56"/>
      <c r="AA953" s="56"/>
      <c r="AB953" s="56"/>
      <c r="AC953" s="56"/>
      <c r="AD953" s="56"/>
    </row>
    <row x14ac:dyDescent="0.25" r="954" customHeight="1" ht="18.75">
      <c r="A954" s="56"/>
      <c r="B954" s="56"/>
      <c r="C954" s="50" t="s">
        <v>16</v>
      </c>
      <c r="D954" s="50" t="s">
        <v>143</v>
      </c>
      <c r="E954" s="50" t="s">
        <v>14</v>
      </c>
      <c r="F954" s="50" t="s">
        <v>768</v>
      </c>
      <c r="G954" s="51">
        <v>40000000</v>
      </c>
      <c r="H954" s="51"/>
      <c r="I954" s="51"/>
      <c r="J954" s="51">
        <v>2900000</v>
      </c>
      <c r="K954" s="51"/>
      <c r="L954" s="52">
        <v>46244</v>
      </c>
      <c r="M954" s="53">
        <f>IF(L954&gt;0,EDATE(L954,-2),"")</f>
        <v>25569.375</v>
      </c>
      <c r="N954" s="50" t="s">
        <v>217</v>
      </c>
      <c r="O954" s="50" t="s">
        <v>769</v>
      </c>
      <c r="P954" s="50" t="s">
        <v>770</v>
      </c>
      <c r="Q954" s="55" t="s">
        <v>771</v>
      </c>
      <c r="R954" s="55">
        <v>82006445</v>
      </c>
      <c r="S954" s="53">
        <f>IF(ISNUMBER(M954), EDATE(M954,36)-1, "")</f>
        <v>25569.375</v>
      </c>
      <c r="T954" s="50"/>
      <c r="U954" s="50"/>
      <c r="V954" s="56" t="s">
        <v>772</v>
      </c>
      <c r="W954" s="50"/>
      <c r="X954" s="50"/>
      <c r="Y954" s="56"/>
      <c r="Z954" s="56"/>
      <c r="AA954" s="56"/>
      <c r="AB954" s="56"/>
      <c r="AC954" s="56"/>
      <c r="AD954" s="56"/>
    </row>
    <row x14ac:dyDescent="0.25" r="955" customHeight="1" ht="18.75">
      <c r="A955" s="56"/>
      <c r="B955" s="56"/>
      <c r="C955" s="50" t="s">
        <v>16</v>
      </c>
      <c r="D955" s="50" t="s">
        <v>143</v>
      </c>
      <c r="E955" s="50" t="s">
        <v>14</v>
      </c>
      <c r="F955" s="50" t="s">
        <v>1985</v>
      </c>
      <c r="G955" s="51">
        <v>50000000</v>
      </c>
      <c r="H955" s="51"/>
      <c r="I955" s="51"/>
      <c r="J955" s="51">
        <v>3400000</v>
      </c>
      <c r="K955" s="51"/>
      <c r="L955" s="52">
        <v>46244</v>
      </c>
      <c r="M955" s="53">
        <f>IF(L955&gt;0,EDATE(L955,-2),"")</f>
        <v>25569.375</v>
      </c>
      <c r="N955" s="50" t="s">
        <v>168</v>
      </c>
      <c r="O955" s="50" t="s">
        <v>1986</v>
      </c>
      <c r="P955" s="54">
        <f>IF(F955&gt;0,F955,"")</f>
      </c>
      <c r="Q955" s="55">
        <v>6711112412011</v>
      </c>
      <c r="R955" s="55">
        <v>26333139</v>
      </c>
      <c r="S955" s="53">
        <f>IF(ISNUMBER(M955), EDATE(M955,36)-1, "")</f>
        <v>25569.375</v>
      </c>
      <c r="T955" s="50"/>
      <c r="U955" s="50"/>
      <c r="V955" s="56" t="s">
        <v>772</v>
      </c>
      <c r="W955" s="50"/>
      <c r="X955" s="50"/>
      <c r="Y955" s="56"/>
      <c r="Z955" s="56"/>
      <c r="AA955" s="56"/>
      <c r="AB955" s="56"/>
      <c r="AC955" s="56"/>
      <c r="AD955" s="56"/>
    </row>
    <row x14ac:dyDescent="0.25" r="956" customHeight="1" ht="18.75" hidden="1">
      <c r="A956" s="56"/>
      <c r="B956" s="56"/>
      <c r="C956" s="50" t="s">
        <v>16</v>
      </c>
      <c r="D956" s="50"/>
      <c r="E956" s="50" t="s">
        <v>141</v>
      </c>
      <c r="F956" s="50" t="s">
        <v>3148</v>
      </c>
      <c r="G956" s="55">
        <v>30000000</v>
      </c>
      <c r="H956" s="55"/>
      <c r="I956" s="55"/>
      <c r="J956" s="51">
        <v>2028000</v>
      </c>
      <c r="K956" s="51"/>
      <c r="L956" s="52">
        <v>46137</v>
      </c>
      <c r="M956" s="53">
        <v>46078</v>
      </c>
      <c r="N956" s="50" t="s">
        <v>282</v>
      </c>
      <c r="O956" s="50" t="s">
        <v>3149</v>
      </c>
      <c r="P956" s="50" t="s">
        <v>3148</v>
      </c>
      <c r="Q956" s="55" t="s">
        <v>3150</v>
      </c>
      <c r="R956" s="55" t="s">
        <v>3151</v>
      </c>
      <c r="S956" s="53">
        <v>47173</v>
      </c>
      <c r="T956" s="50" t="s">
        <v>3152</v>
      </c>
      <c r="U956" s="50" t="s">
        <v>166</v>
      </c>
      <c r="V956" s="56"/>
      <c r="W956" s="50"/>
      <c r="X956" s="50"/>
      <c r="Y956" s="56"/>
      <c r="Z956" s="56"/>
      <c r="AA956" s="56"/>
      <c r="AB956" s="56"/>
      <c r="AC956" s="56"/>
      <c r="AD956" s="56"/>
    </row>
    <row x14ac:dyDescent="0.25" r="957" customHeight="1" ht="18.75" hidden="1">
      <c r="A957" s="56"/>
      <c r="B957" s="56"/>
      <c r="C957" s="50" t="s">
        <v>16</v>
      </c>
      <c r="D957" s="50"/>
      <c r="E957" s="50"/>
      <c r="F957" s="50" t="s">
        <v>3153</v>
      </c>
      <c r="G957" s="55">
        <v>10000000</v>
      </c>
      <c r="H957" s="55"/>
      <c r="I957" s="55"/>
      <c r="J957" s="51">
        <v>800000</v>
      </c>
      <c r="K957" s="51"/>
      <c r="L957" s="52">
        <v>46022</v>
      </c>
      <c r="M957" s="53">
        <v>45961</v>
      </c>
      <c r="N957" s="50" t="s">
        <v>302</v>
      </c>
      <c r="O957" s="50" t="s">
        <v>3154</v>
      </c>
      <c r="P957" s="50" t="s">
        <v>3153</v>
      </c>
      <c r="Q957" s="55" t="s">
        <v>3155</v>
      </c>
      <c r="R957" s="55" t="s">
        <v>3156</v>
      </c>
      <c r="S957" s="53">
        <v>47056</v>
      </c>
      <c r="T957" s="50"/>
      <c r="U957" s="50"/>
      <c r="V957" s="56"/>
      <c r="W957" s="50"/>
      <c r="X957" s="50"/>
      <c r="Y957" s="56"/>
      <c r="Z957" s="56"/>
      <c r="AA957" s="56"/>
      <c r="AB957" s="56"/>
      <c r="AC957" s="56"/>
      <c r="AD957" s="56"/>
    </row>
    <row x14ac:dyDescent="0.25" r="958" customHeight="1" ht="18.75" hidden="1">
      <c r="A958" s="56"/>
      <c r="B958" s="56"/>
      <c r="C958" s="49" t="s">
        <v>16</v>
      </c>
      <c r="D958" s="50"/>
      <c r="E958" s="50"/>
      <c r="F958" s="50" t="s">
        <v>3157</v>
      </c>
      <c r="G958" s="51">
        <v>10000000</v>
      </c>
      <c r="H958" s="51"/>
      <c r="I958" s="51"/>
      <c r="J958" s="51">
        <v>800000</v>
      </c>
      <c r="K958" s="51"/>
      <c r="L958" s="52">
        <v>46148</v>
      </c>
      <c r="M958" s="53">
        <f>IF(L958&gt;0,EDATE(L958,-2),"")</f>
        <v>25569.375</v>
      </c>
      <c r="N958" s="50" t="s">
        <v>239</v>
      </c>
      <c r="O958" s="50" t="s">
        <v>3158</v>
      </c>
      <c r="P958" s="54">
        <f>IF(F958&gt;0,F958,"")</f>
      </c>
      <c r="Q958" s="55" t="s">
        <v>3159</v>
      </c>
      <c r="R958" s="55">
        <v>37240978</v>
      </c>
      <c r="S958" s="53">
        <f>IF(ISNUMBER(M958), EDATE(M958,36)-1, "")</f>
        <v>25569.375</v>
      </c>
      <c r="T958" s="50"/>
      <c r="U958" s="50"/>
      <c r="V958" s="56"/>
      <c r="W958" s="50"/>
      <c r="X958" s="50"/>
      <c r="Y958" s="56"/>
      <c r="Z958" s="56"/>
      <c r="AA958" s="56"/>
      <c r="AB958" s="56"/>
      <c r="AC958" s="56"/>
      <c r="AD958" s="56"/>
    </row>
    <row x14ac:dyDescent="0.25" r="959" customHeight="1" ht="18.75">
      <c r="A959" s="56"/>
      <c r="B959" s="56"/>
      <c r="C959" s="50" t="s">
        <v>16</v>
      </c>
      <c r="D959" s="50" t="s">
        <v>1999</v>
      </c>
      <c r="E959" s="50" t="s">
        <v>14</v>
      </c>
      <c r="F959" s="50" t="s">
        <v>3179</v>
      </c>
      <c r="G959" s="51">
        <v>10000000</v>
      </c>
      <c r="H959" s="51"/>
      <c r="I959" s="51"/>
      <c r="J959" s="87">
        <f>IF(G959&gt;0,_xludf.IFS(G959=10000000,1200000,G959=20000000,1800000,G959=30000000,2400000,G959=60000000,4000000),"")</f>
      </c>
      <c r="K959" s="51"/>
      <c r="L959" s="52">
        <v>46247</v>
      </c>
      <c r="M959" s="53">
        <v>46183</v>
      </c>
      <c r="N959" s="50" t="s">
        <v>155</v>
      </c>
      <c r="O959" s="50" t="s">
        <v>3180</v>
      </c>
      <c r="P959" s="54">
        <f>IF(F959&gt;0,F959,"")</f>
      </c>
      <c r="Q959" s="55">
        <v>9904012199321</v>
      </c>
      <c r="R959" s="55">
        <v>87796328</v>
      </c>
      <c r="S959" s="53">
        <f>IF(ISNUMBER(M959), EDATE(M959,36)-1, "")</f>
        <v>25569.375</v>
      </c>
      <c r="T959" s="50"/>
      <c r="U959" s="56"/>
      <c r="V959" s="56" t="s">
        <v>772</v>
      </c>
      <c r="W959" s="50"/>
      <c r="X959" s="50"/>
      <c r="Y959" s="56"/>
      <c r="Z959" s="56"/>
      <c r="AA959" s="56"/>
      <c r="AB959" s="56"/>
      <c r="AC959" s="56"/>
      <c r="AD959" s="56"/>
    </row>
    <row x14ac:dyDescent="0.25" r="960" customHeight="1" ht="18.75" hidden="1">
      <c r="A960" s="56"/>
      <c r="B960" s="56"/>
      <c r="C960" s="50" t="s">
        <v>16</v>
      </c>
      <c r="D960" s="50"/>
      <c r="E960" s="50" t="s">
        <v>2536</v>
      </c>
      <c r="F960" s="50" t="s">
        <v>3162</v>
      </c>
      <c r="G960" s="55">
        <v>10000000</v>
      </c>
      <c r="H960" s="55"/>
      <c r="I960" s="55"/>
      <c r="J960" s="51">
        <v>800000</v>
      </c>
      <c r="K960" s="51"/>
      <c r="L960" s="52">
        <v>46158</v>
      </c>
      <c r="M960" s="53">
        <v>46097</v>
      </c>
      <c r="N960" s="50" t="s">
        <v>217</v>
      </c>
      <c r="O960" s="50" t="s">
        <v>3163</v>
      </c>
      <c r="P960" s="50" t="s">
        <v>3162</v>
      </c>
      <c r="Q960" s="55" t="s">
        <v>3164</v>
      </c>
      <c r="R960" s="55" t="s">
        <v>3165</v>
      </c>
      <c r="S960" s="53">
        <v>47192</v>
      </c>
      <c r="T960" s="50" t="s">
        <v>3166</v>
      </c>
      <c r="U960" s="50" t="s">
        <v>166</v>
      </c>
      <c r="V960" s="56"/>
      <c r="W960" s="50"/>
      <c r="X960" s="50"/>
      <c r="Y960" s="56"/>
      <c r="Z960" s="56"/>
      <c r="AA960" s="56"/>
      <c r="AB960" s="56"/>
      <c r="AC960" s="56"/>
      <c r="AD960" s="56"/>
    </row>
    <row x14ac:dyDescent="0.25" r="961" customHeight="1" ht="18.75" hidden="1">
      <c r="A961" s="56"/>
      <c r="B961" s="56"/>
      <c r="C961" s="50" t="s">
        <v>16</v>
      </c>
      <c r="D961" s="50"/>
      <c r="E961" s="50"/>
      <c r="F961" s="50" t="s">
        <v>2258</v>
      </c>
      <c r="G961" s="55">
        <v>10000000</v>
      </c>
      <c r="H961" s="55"/>
      <c r="I961" s="55"/>
      <c r="J961" s="51">
        <v>800000</v>
      </c>
      <c r="K961" s="51"/>
      <c r="L961" s="52">
        <v>46081</v>
      </c>
      <c r="M961" s="53">
        <v>46022</v>
      </c>
      <c r="N961" s="50" t="s">
        <v>239</v>
      </c>
      <c r="O961" s="50" t="s">
        <v>2674</v>
      </c>
      <c r="P961" s="50" t="s">
        <v>2258</v>
      </c>
      <c r="Q961" s="55" t="s">
        <v>3167</v>
      </c>
      <c r="R961" s="55" t="s">
        <v>3168</v>
      </c>
      <c r="S961" s="53">
        <v>47117</v>
      </c>
      <c r="T961" s="50"/>
      <c r="U961" s="50"/>
      <c r="V961" s="56"/>
      <c r="W961" s="50"/>
      <c r="X961" s="50"/>
      <c r="Y961" s="56"/>
      <c r="Z961" s="56"/>
      <c r="AA961" s="56"/>
      <c r="AB961" s="56"/>
      <c r="AC961" s="56"/>
      <c r="AD961" s="56"/>
    </row>
    <row x14ac:dyDescent="0.25" r="962" customHeight="1" ht="18.75" hidden="1">
      <c r="A962" s="56"/>
      <c r="B962" s="56"/>
      <c r="C962" s="50" t="s">
        <v>16</v>
      </c>
      <c r="D962" s="50"/>
      <c r="E962" s="50" t="s">
        <v>3162</v>
      </c>
      <c r="F962" s="50" t="s">
        <v>3169</v>
      </c>
      <c r="G962" s="55">
        <v>10000000</v>
      </c>
      <c r="H962" s="55"/>
      <c r="I962" s="55"/>
      <c r="J962" s="51">
        <v>500000</v>
      </c>
      <c r="K962" s="51"/>
      <c r="L962" s="52">
        <v>46158</v>
      </c>
      <c r="M962" s="53">
        <v>46097</v>
      </c>
      <c r="N962" s="50" t="s">
        <v>239</v>
      </c>
      <c r="O962" s="50" t="s">
        <v>3170</v>
      </c>
      <c r="P962" s="50" t="s">
        <v>3169</v>
      </c>
      <c r="Q962" s="55" t="s">
        <v>3171</v>
      </c>
      <c r="R962" s="55" t="s">
        <v>3172</v>
      </c>
      <c r="S962" s="53">
        <v>47192</v>
      </c>
      <c r="T962" s="50" t="s">
        <v>3173</v>
      </c>
      <c r="U962" s="50" t="s">
        <v>166</v>
      </c>
      <c r="V962" s="56"/>
      <c r="W962" s="50"/>
      <c r="X962" s="50"/>
      <c r="Y962" s="56"/>
      <c r="Z962" s="56"/>
      <c r="AA962" s="56"/>
      <c r="AB962" s="56"/>
      <c r="AC962" s="56"/>
      <c r="AD962" s="56"/>
    </row>
    <row x14ac:dyDescent="0.25" r="963" customHeight="1" ht="18.75" hidden="1">
      <c r="A963" s="56"/>
      <c r="B963" s="56"/>
      <c r="C963" s="50" t="s">
        <v>16</v>
      </c>
      <c r="D963" s="50"/>
      <c r="E963" s="50"/>
      <c r="F963" s="50" t="s">
        <v>3174</v>
      </c>
      <c r="G963" s="55">
        <v>10000000</v>
      </c>
      <c r="H963" s="55"/>
      <c r="I963" s="55"/>
      <c r="J963" s="51">
        <v>800000</v>
      </c>
      <c r="K963" s="51"/>
      <c r="L963" s="52">
        <v>46147</v>
      </c>
      <c r="M963" s="53">
        <v>46086</v>
      </c>
      <c r="N963" s="50" t="s">
        <v>161</v>
      </c>
      <c r="O963" s="50" t="s">
        <v>3175</v>
      </c>
      <c r="P963" s="50" t="s">
        <v>3174</v>
      </c>
      <c r="Q963" s="55" t="s">
        <v>3176</v>
      </c>
      <c r="R963" s="55" t="s">
        <v>3177</v>
      </c>
      <c r="S963" s="53">
        <v>47181</v>
      </c>
      <c r="T963" s="50" t="s">
        <v>3178</v>
      </c>
      <c r="U963" s="50" t="s">
        <v>166</v>
      </c>
      <c r="V963" s="56"/>
      <c r="W963" s="50"/>
      <c r="X963" s="50"/>
      <c r="Y963" s="56"/>
      <c r="Z963" s="56"/>
      <c r="AA963" s="56"/>
      <c r="AB963" s="56"/>
      <c r="AC963" s="56"/>
      <c r="AD963" s="56"/>
    </row>
    <row x14ac:dyDescent="0.25" r="964" customHeight="1" ht="18.75">
      <c r="A964" s="56"/>
      <c r="B964" s="56"/>
      <c r="C964" s="50" t="s">
        <v>16</v>
      </c>
      <c r="D964" s="50" t="s">
        <v>1999</v>
      </c>
      <c r="E964" s="50" t="s">
        <v>14</v>
      </c>
      <c r="F964" s="50" t="s">
        <v>3196</v>
      </c>
      <c r="G964" s="51">
        <v>10000000</v>
      </c>
      <c r="H964" s="51"/>
      <c r="I964" s="51"/>
      <c r="J964" s="87">
        <f>IF(G964&gt;0,_xludf.IFS(G964=10000000,1200000,G964=20000000,1800000,G964=30000000,2400000,G964=60000000,4000000),"")</f>
      </c>
      <c r="K964" s="51"/>
      <c r="L964" s="52">
        <v>46247</v>
      </c>
      <c r="M964" s="53">
        <v>46183</v>
      </c>
      <c r="N964" s="50" t="s">
        <v>699</v>
      </c>
      <c r="O964" s="50" t="s">
        <v>3197</v>
      </c>
      <c r="P964" s="54">
        <f>IF(F964&gt;0,F964,"")</f>
      </c>
      <c r="Q964" s="55">
        <v>6305281637513</v>
      </c>
      <c r="R964" s="55">
        <v>54246328</v>
      </c>
      <c r="S964" s="53">
        <f>IF(ISNUMBER(M964), EDATE(M964,36)-1, "")</f>
        <v>25569.375</v>
      </c>
      <c r="T964" s="50"/>
      <c r="U964" s="56"/>
      <c r="V964" s="56" t="s">
        <v>772</v>
      </c>
      <c r="W964" s="50"/>
      <c r="X964" s="50"/>
      <c r="Y964" s="56"/>
      <c r="Z964" s="56"/>
      <c r="AA964" s="56"/>
      <c r="AB964" s="56"/>
      <c r="AC964" s="56"/>
      <c r="AD964" s="56"/>
    </row>
    <row x14ac:dyDescent="0.25" r="965" customHeight="1" ht="18.75" hidden="1">
      <c r="A965" s="56"/>
      <c r="B965" s="56"/>
      <c r="C965" s="50" t="s">
        <v>16</v>
      </c>
      <c r="D965" s="50"/>
      <c r="E965" s="50"/>
      <c r="F965" s="50" t="s">
        <v>3181</v>
      </c>
      <c r="G965" s="55">
        <v>10000000</v>
      </c>
      <c r="H965" s="55"/>
      <c r="I965" s="55"/>
      <c r="J965" s="51">
        <v>800000</v>
      </c>
      <c r="K965" s="51"/>
      <c r="L965" s="52">
        <v>45990</v>
      </c>
      <c r="M965" s="53">
        <v>45929</v>
      </c>
      <c r="N965" s="50" t="s">
        <v>2054</v>
      </c>
      <c r="O965" s="50" t="s">
        <v>3182</v>
      </c>
      <c r="P965" s="50" t="s">
        <v>3181</v>
      </c>
      <c r="Q965" s="55" t="s">
        <v>3183</v>
      </c>
      <c r="R965" s="55" t="s">
        <v>3184</v>
      </c>
      <c r="S965" s="53">
        <v>47024</v>
      </c>
      <c r="T965" s="50"/>
      <c r="U965" s="50"/>
      <c r="V965" s="56"/>
      <c r="W965" s="50"/>
      <c r="X965" s="50"/>
      <c r="Y965" s="56"/>
      <c r="Z965" s="56"/>
      <c r="AA965" s="56"/>
      <c r="AB965" s="56"/>
      <c r="AC965" s="56"/>
      <c r="AD965" s="56"/>
    </row>
    <row x14ac:dyDescent="0.25" r="966" customHeight="1" ht="18.75">
      <c r="A966" s="56"/>
      <c r="B966" s="56"/>
      <c r="C966" s="50" t="s">
        <v>16</v>
      </c>
      <c r="D966" s="50" t="s">
        <v>454</v>
      </c>
      <c r="E966" s="50" t="s">
        <v>1397</v>
      </c>
      <c r="F966" s="50" t="s">
        <v>1398</v>
      </c>
      <c r="G966" s="51">
        <v>10000000</v>
      </c>
      <c r="H966" s="51"/>
      <c r="I966" s="51"/>
      <c r="J966" s="87">
        <f>IF(G966&gt;0,_xludf.IFS(G966=10000000,1200000,G966=20000000,1800000,G966=30000000,2400000,G966=60000000,4000000),"")</f>
      </c>
      <c r="K966" s="51"/>
      <c r="L966" s="52">
        <v>46245</v>
      </c>
      <c r="M966" s="53">
        <f>IF(L966&gt;0,EDATE(L966,-2),"")</f>
        <v>25569.375</v>
      </c>
      <c r="N966" s="50" t="s">
        <v>155</v>
      </c>
      <c r="O966" s="50" t="s">
        <v>1399</v>
      </c>
      <c r="P966" s="54">
        <f>IF(F966&gt;0,F966,"")</f>
      </c>
      <c r="Q966" s="55">
        <v>7906222683828</v>
      </c>
      <c r="R966" s="55">
        <v>87849810</v>
      </c>
      <c r="S966" s="53">
        <f>IF(ISNUMBER(M966), EDATE(M966,36)-1, "")</f>
        <v>25569.375</v>
      </c>
      <c r="T966" s="50"/>
      <c r="U966" s="50"/>
      <c r="V966" s="56"/>
      <c r="W966" s="50"/>
      <c r="X966" s="50"/>
      <c r="Y966" s="56"/>
      <c r="Z966" s="56"/>
      <c r="AA966" s="56"/>
      <c r="AB966" s="56"/>
      <c r="AC966" s="56"/>
      <c r="AD966" s="56"/>
    </row>
    <row x14ac:dyDescent="0.25" r="967" customHeight="1" ht="18.75">
      <c r="A967" s="56"/>
      <c r="B967" s="56"/>
      <c r="C967" s="50" t="s">
        <v>16</v>
      </c>
      <c r="D967" s="50" t="s">
        <v>1999</v>
      </c>
      <c r="E967" s="50" t="s">
        <v>14</v>
      </c>
      <c r="F967" s="50" t="s">
        <v>2000</v>
      </c>
      <c r="G967" s="51">
        <v>10000000</v>
      </c>
      <c r="H967" s="51"/>
      <c r="I967" s="51"/>
      <c r="J967" s="87">
        <f>IF(G967&gt;0,_xludf.IFS(G967=10000000,1200000,G967=20000000,1800000,G967=30000000,2400000,G967=60000000,4000000),"")</f>
      </c>
      <c r="K967" s="51"/>
      <c r="L967" s="52">
        <v>46245</v>
      </c>
      <c r="M967" s="53">
        <f>IF(L967&gt;0,EDATE(L967,-2),"")</f>
        <v>25569.375</v>
      </c>
      <c r="N967" s="50" t="s">
        <v>155</v>
      </c>
      <c r="O967" s="50" t="s">
        <v>2001</v>
      </c>
      <c r="P967" s="50" t="s">
        <v>2002</v>
      </c>
      <c r="Q967" s="55">
        <v>6202072468518</v>
      </c>
      <c r="R967" s="55">
        <v>75704456</v>
      </c>
      <c r="S967" s="53">
        <f>IF(ISNUMBER(M967), EDATE(M967,36)-1, "")</f>
        <v>25569.375</v>
      </c>
      <c r="T967" s="50"/>
      <c r="U967" s="56"/>
      <c r="V967" s="56" t="s">
        <v>772</v>
      </c>
      <c r="W967" s="50"/>
      <c r="X967" s="50"/>
      <c r="Y967" s="56"/>
      <c r="Z967" s="56"/>
      <c r="AA967" s="56"/>
      <c r="AB967" s="56"/>
      <c r="AC967" s="56"/>
      <c r="AD967" s="56"/>
    </row>
    <row x14ac:dyDescent="0.25" r="968" customHeight="1" ht="18.75">
      <c r="A968" s="56"/>
      <c r="B968" s="56"/>
      <c r="C968" s="50" t="s">
        <v>16</v>
      </c>
      <c r="D968" s="50" t="s">
        <v>454</v>
      </c>
      <c r="E968" s="50" t="s">
        <v>647</v>
      </c>
      <c r="F968" s="50" t="s">
        <v>2890</v>
      </c>
      <c r="G968" s="51">
        <v>10000000</v>
      </c>
      <c r="H968" s="51"/>
      <c r="I968" s="51"/>
      <c r="J968" s="87">
        <f>IF(G968&gt;0,_xludf.IFS(G968=10000000,1200000,G968=20000000,1800000,G968=30000000,2400000,G968=60000000,4000000),"")</f>
      </c>
      <c r="K968" s="51"/>
      <c r="L968" s="52">
        <v>46245</v>
      </c>
      <c r="M968" s="53">
        <f>IF(L968&gt;0,EDATE(L968,-2),"")</f>
        <v>25569.375</v>
      </c>
      <c r="N968" s="50" t="s">
        <v>155</v>
      </c>
      <c r="O968" s="50" t="s">
        <v>2891</v>
      </c>
      <c r="P968" s="54">
        <f>IF(F968&gt;0,F968,"")</f>
      </c>
      <c r="Q968" s="55">
        <v>7802082691227</v>
      </c>
      <c r="R968" s="55">
        <v>27362968</v>
      </c>
      <c r="S968" s="53">
        <f>IF(ISNUMBER(M968), EDATE(M968,36)-1, "")</f>
        <v>25569.375</v>
      </c>
      <c r="T968" s="50"/>
      <c r="U968" s="50"/>
      <c r="V968" s="56"/>
      <c r="W968" s="50"/>
      <c r="X968" s="50"/>
      <c r="Y968" s="56"/>
      <c r="Z968" s="56"/>
      <c r="AA968" s="56"/>
      <c r="AB968" s="56"/>
      <c r="AC968" s="56"/>
      <c r="AD968" s="56"/>
    </row>
    <row x14ac:dyDescent="0.25" r="969" customHeight="1" ht="18.75">
      <c r="A969" s="56"/>
      <c r="B969" s="56"/>
      <c r="C969" s="50" t="s">
        <v>16</v>
      </c>
      <c r="D969" s="50" t="s">
        <v>153</v>
      </c>
      <c r="E969" s="50" t="s">
        <v>154</v>
      </c>
      <c r="F969" s="50" t="s">
        <v>731</v>
      </c>
      <c r="G969" s="51">
        <v>10000000</v>
      </c>
      <c r="H969" s="51"/>
      <c r="I969" s="51"/>
      <c r="J969" s="87">
        <f>IF(G969&gt;0,_xludf.IFS(G969=10000000,1200000,G969=20000000,1800000,G969=30000000,2400000,G969=60000000,4000000),"")</f>
      </c>
      <c r="K969" s="51"/>
      <c r="L969" s="52">
        <v>46246</v>
      </c>
      <c r="M969" s="53">
        <f>IF(L969&gt;0,EDATE(L969,-2),"")</f>
        <v>25569.375</v>
      </c>
      <c r="N969" s="50" t="s">
        <v>155</v>
      </c>
      <c r="O969" s="50" t="s">
        <v>732</v>
      </c>
      <c r="P969" s="54">
        <f>IF(F969&gt;0,F969,"")</f>
      </c>
      <c r="Q969" s="55">
        <v>6702072812341</v>
      </c>
      <c r="R969" s="55">
        <v>92836777</v>
      </c>
      <c r="S969" s="53">
        <f>IF(ISNUMBER(M969), EDATE(M969,36)-1, "")</f>
        <v>25569.375</v>
      </c>
      <c r="T969" s="50"/>
      <c r="U969" s="50"/>
      <c r="V969" s="56"/>
      <c r="W969" s="50"/>
      <c r="X969" s="50"/>
      <c r="Y969" s="56"/>
      <c r="Z969" s="56"/>
      <c r="AA969" s="56"/>
      <c r="AB969" s="56"/>
      <c r="AC969" s="56"/>
      <c r="AD969" s="56"/>
    </row>
    <row x14ac:dyDescent="0.25" r="970" customHeight="1" ht="18.75" hidden="1">
      <c r="A970" s="71" t="s">
        <v>252</v>
      </c>
      <c r="B970" s="71"/>
      <c r="C970" s="72" t="s">
        <v>16</v>
      </c>
      <c r="D970" s="72" t="s">
        <v>143</v>
      </c>
      <c r="E970" s="72" t="s">
        <v>14</v>
      </c>
      <c r="F970" s="72" t="s">
        <v>3190</v>
      </c>
      <c r="G970" s="73"/>
      <c r="H970" s="73"/>
      <c r="I970" s="73"/>
      <c r="J970" s="74"/>
      <c r="K970" s="74"/>
      <c r="L970" s="75" t="s">
        <v>449</v>
      </c>
      <c r="M970" s="76" t="s">
        <v>449</v>
      </c>
      <c r="N970" s="72"/>
      <c r="O970" s="72"/>
      <c r="P970" s="72" t="s">
        <v>3190</v>
      </c>
      <c r="Q970" s="73" t="s">
        <v>1587</v>
      </c>
      <c r="R970" s="73" t="s">
        <v>1588</v>
      </c>
      <c r="S970" s="76" t="s">
        <v>449</v>
      </c>
      <c r="T970" s="72"/>
      <c r="U970" s="72"/>
      <c r="V970" s="71"/>
      <c r="W970" s="50"/>
      <c r="X970" s="50"/>
      <c r="Y970" s="56"/>
      <c r="Z970" s="56"/>
      <c r="AA970" s="56"/>
      <c r="AB970" s="56"/>
      <c r="AC970" s="56"/>
      <c r="AD970" s="56"/>
    </row>
    <row x14ac:dyDescent="0.25" r="971" customHeight="1" ht="18.75">
      <c r="A971" s="56"/>
      <c r="B971" s="56"/>
      <c r="C971" s="50" t="s">
        <v>16</v>
      </c>
      <c r="D971" s="50" t="s">
        <v>454</v>
      </c>
      <c r="E971" s="50" t="s">
        <v>538</v>
      </c>
      <c r="F971" s="50" t="s">
        <v>2639</v>
      </c>
      <c r="G971" s="51">
        <v>10000000</v>
      </c>
      <c r="H971" s="51"/>
      <c r="I971" s="51"/>
      <c r="J971" s="87">
        <f>IF(G971&gt;0,_xludf.IFS(G971=10000000,1200000,G971=20000000,1800000,G971=30000000,2400000,G971=60000000,4000000),"")</f>
      </c>
      <c r="K971" s="51"/>
      <c r="L971" s="52">
        <v>46246</v>
      </c>
      <c r="M971" s="53">
        <f>IF(L971&gt;0,EDATE(L971,-2),"")</f>
        <v>25569.375</v>
      </c>
      <c r="N971" s="50" t="s">
        <v>155</v>
      </c>
      <c r="O971" s="50" t="s">
        <v>2640</v>
      </c>
      <c r="P971" s="54">
        <f>IF(F971&gt;0,F971,"")</f>
      </c>
      <c r="Q971" s="55">
        <v>7508232917014</v>
      </c>
      <c r="R971" s="55">
        <v>45472007</v>
      </c>
      <c r="S971" s="53">
        <f>IF(ISNUMBER(M971), EDATE(M971,36)-1, "")</f>
        <v>25569.375</v>
      </c>
      <c r="T971" s="50"/>
      <c r="U971" s="50"/>
      <c r="V971" s="56"/>
      <c r="W971" s="50"/>
      <c r="X971" s="50"/>
      <c r="Y971" s="56"/>
      <c r="Z971" s="56"/>
      <c r="AA971" s="56"/>
      <c r="AB971" s="56"/>
      <c r="AC971" s="56"/>
      <c r="AD971" s="56"/>
    </row>
    <row x14ac:dyDescent="0.25" r="972" customHeight="1" ht="18.75">
      <c r="A972" s="56"/>
      <c r="B972" s="56"/>
      <c r="C972" s="50" t="s">
        <v>16</v>
      </c>
      <c r="D972" s="50" t="s">
        <v>48</v>
      </c>
      <c r="E972" s="50" t="s">
        <v>521</v>
      </c>
      <c r="F972" s="50" t="s">
        <v>522</v>
      </c>
      <c r="G972" s="51">
        <v>10000000</v>
      </c>
      <c r="H972" s="51"/>
      <c r="I972" s="51"/>
      <c r="J972" s="87">
        <f>IF(G972&gt;0,_xludf.IFS(G972=10000000,1200000,G972=20000000,1800000,G972=30000000,2400000,G972=60000000,4000000),"")</f>
      </c>
      <c r="K972" s="51"/>
      <c r="L972" s="52">
        <v>46247</v>
      </c>
      <c r="M972" s="53">
        <f>IF(L972&gt;0,EDATE(L972,-2),"")</f>
        <v>25569.375</v>
      </c>
      <c r="N972" s="50" t="s">
        <v>302</v>
      </c>
      <c r="O972" s="50" t="s">
        <v>523</v>
      </c>
      <c r="P972" s="54">
        <f>IF(F972&gt;0,F972,"")</f>
      </c>
      <c r="Q972" s="55">
        <v>6602062638011</v>
      </c>
      <c r="R972" s="55">
        <v>49237587</v>
      </c>
      <c r="S972" s="53">
        <f>IF(ISNUMBER(M972), EDATE(M972,36)-1, "")</f>
        <v>25569.375</v>
      </c>
      <c r="T972" s="50"/>
      <c r="U972" s="50"/>
      <c r="V972" s="56"/>
      <c r="W972" s="50"/>
      <c r="X972" s="50"/>
      <c r="Y972" s="56"/>
      <c r="Z972" s="56"/>
      <c r="AA972" s="56"/>
      <c r="AB972" s="56"/>
      <c r="AC972" s="56"/>
      <c r="AD972" s="56"/>
    </row>
    <row x14ac:dyDescent="0.25" r="973" customHeight="1" ht="18.75">
      <c r="A973" s="56"/>
      <c r="B973" s="56"/>
      <c r="C973" s="50" t="s">
        <v>16</v>
      </c>
      <c r="D973" s="50" t="s">
        <v>48</v>
      </c>
      <c r="E973" s="50" t="s">
        <v>521</v>
      </c>
      <c r="F973" s="50" t="s">
        <v>1809</v>
      </c>
      <c r="G973" s="51">
        <v>10000000</v>
      </c>
      <c r="H973" s="51"/>
      <c r="I973" s="51"/>
      <c r="J973" s="87">
        <f>IF(G973&gt;0,_xludf.IFS(G973=10000000,1200000,G973=20000000,1800000,G973=30000000,2400000,G973=60000000,4000000),"")</f>
      </c>
      <c r="K973" s="51"/>
      <c r="L973" s="52">
        <v>46247</v>
      </c>
      <c r="M973" s="53">
        <f>IF(L973&gt;0,EDATE(L973,-2),"")</f>
        <v>25569.375</v>
      </c>
      <c r="N973" s="50" t="s">
        <v>988</v>
      </c>
      <c r="O973" s="50" t="s">
        <v>1810</v>
      </c>
      <c r="P973" s="54">
        <f>IF(F973&gt;0,F973,"")</f>
      </c>
      <c r="Q973" s="55">
        <v>6307102476814</v>
      </c>
      <c r="R973" s="55">
        <v>82328250</v>
      </c>
      <c r="S973" s="53">
        <f>IF(ISNUMBER(M973), EDATE(M973,36)-1, "")</f>
        <v>25569.375</v>
      </c>
      <c r="T973" s="50"/>
      <c r="U973" s="50"/>
      <c r="V973" s="56"/>
      <c r="W973" s="50"/>
      <c r="X973" s="50"/>
      <c r="Y973" s="56"/>
      <c r="Z973" s="56"/>
      <c r="AA973" s="56"/>
      <c r="AB973" s="56"/>
      <c r="AC973" s="56"/>
      <c r="AD973" s="56"/>
    </row>
    <row x14ac:dyDescent="0.25" r="974" customHeight="1" ht="18.75">
      <c r="A974" s="56"/>
      <c r="B974" s="56"/>
      <c r="C974" s="50" t="s">
        <v>16</v>
      </c>
      <c r="D974" s="50" t="s">
        <v>143</v>
      </c>
      <c r="E974" s="50" t="s">
        <v>14</v>
      </c>
      <c r="F974" s="50" t="s">
        <v>2518</v>
      </c>
      <c r="G974" s="51">
        <v>10000000</v>
      </c>
      <c r="H974" s="51"/>
      <c r="I974" s="51"/>
      <c r="J974" s="87">
        <f>IF(G974&gt;0,_xludf.IFS(G974=10000000,1200000,G974=20000000,1800000,G974=30000000,2400000,G974=60000000,4000000),"")</f>
      </c>
      <c r="K974" s="51"/>
      <c r="L974" s="52">
        <v>46249</v>
      </c>
      <c r="M974" s="53">
        <f>IF(L974&gt;0,EDATE(L974,-2),"")</f>
        <v>25569.375</v>
      </c>
      <c r="N974" s="50" t="s">
        <v>205</v>
      </c>
      <c r="O974" s="50" t="s">
        <v>2519</v>
      </c>
      <c r="P974" s="54">
        <f>IF(F974&gt;0,F974,"")</f>
      </c>
      <c r="Q974" s="55">
        <v>7602121051619</v>
      </c>
      <c r="R974" s="55">
        <v>28741864</v>
      </c>
      <c r="S974" s="53">
        <f>IF(ISNUMBER(M974), EDATE(M974,36)-1, "")</f>
        <v>25569.375</v>
      </c>
      <c r="T974" s="50"/>
      <c r="U974" s="50"/>
      <c r="V974" s="56"/>
      <c r="W974" s="50"/>
      <c r="X974" s="50"/>
      <c r="Y974" s="56"/>
      <c r="Z974" s="56"/>
      <c r="AA974" s="56"/>
      <c r="AB974" s="56"/>
      <c r="AC974" s="56"/>
      <c r="AD974" s="56"/>
    </row>
    <row x14ac:dyDescent="0.25" r="975" customHeight="1" ht="18.75" hidden="1">
      <c r="A975" s="56"/>
      <c r="B975" s="56"/>
      <c r="C975" s="50" t="s">
        <v>16</v>
      </c>
      <c r="D975" s="50" t="s">
        <v>202</v>
      </c>
      <c r="E975" s="50" t="s">
        <v>203</v>
      </c>
      <c r="F975" s="50" t="s">
        <v>3208</v>
      </c>
      <c r="G975" s="51">
        <v>10000000</v>
      </c>
      <c r="H975" s="51"/>
      <c r="I975" s="51"/>
      <c r="J975" s="51">
        <v>800000</v>
      </c>
      <c r="K975" s="51"/>
      <c r="L975" s="52">
        <v>46073</v>
      </c>
      <c r="M975" s="53">
        <v>46015</v>
      </c>
      <c r="N975" s="50" t="s">
        <v>155</v>
      </c>
      <c r="O975" s="50" t="s">
        <v>3209</v>
      </c>
      <c r="P975" s="54">
        <f>IF(F975&gt;0,F975,"")</f>
      </c>
      <c r="Q975" s="55">
        <v>6907172912814</v>
      </c>
      <c r="R975" s="55">
        <v>85194747</v>
      </c>
      <c r="S975" s="53">
        <f>IF(ISNUMBER(M975), EDATE(M975,36)-1, "")</f>
        <v>25569.375</v>
      </c>
      <c r="T975" s="50"/>
      <c r="U975" s="50"/>
      <c r="V975" s="56"/>
      <c r="W975" s="50" t="s">
        <v>3238</v>
      </c>
      <c r="X975" s="50" t="s">
        <v>3238</v>
      </c>
      <c r="Y975" s="56"/>
      <c r="Z975" s="56"/>
      <c r="AA975" s="56"/>
      <c r="AB975" s="56"/>
      <c r="AC975" s="56"/>
      <c r="AD975" s="56"/>
    </row>
    <row x14ac:dyDescent="0.25" r="976" customHeight="1" ht="18.75" hidden="1">
      <c r="A976" s="56"/>
      <c r="B976" s="56"/>
      <c r="C976" s="50" t="s">
        <v>16</v>
      </c>
      <c r="D976" s="50"/>
      <c r="E976" s="50"/>
      <c r="F976" s="50" t="s">
        <v>3210</v>
      </c>
      <c r="G976" s="55">
        <v>10000000</v>
      </c>
      <c r="H976" s="55"/>
      <c r="I976" s="55"/>
      <c r="J976" s="51">
        <v>800000</v>
      </c>
      <c r="K976" s="51"/>
      <c r="L976" s="52">
        <v>45965</v>
      </c>
      <c r="M976" s="53">
        <v>45904</v>
      </c>
      <c r="N976" s="50" t="s">
        <v>155</v>
      </c>
      <c r="O976" s="50" t="s">
        <v>3211</v>
      </c>
      <c r="P976" s="50" t="s">
        <v>3210</v>
      </c>
      <c r="Q976" s="55" t="s">
        <v>3212</v>
      </c>
      <c r="R976" s="55" t="s">
        <v>3213</v>
      </c>
      <c r="S976" s="53">
        <v>46999</v>
      </c>
      <c r="T976" s="50"/>
      <c r="U976" s="50"/>
      <c r="V976" s="56"/>
      <c r="W976" s="50"/>
      <c r="X976" s="50"/>
      <c r="Y976" s="56"/>
      <c r="Z976" s="56"/>
      <c r="AA976" s="56"/>
      <c r="AB976" s="56"/>
      <c r="AC976" s="56"/>
      <c r="AD976" s="56"/>
    </row>
    <row x14ac:dyDescent="0.25" r="977" customHeight="1" ht="18.75" hidden="1">
      <c r="A977" s="56"/>
      <c r="B977" s="56"/>
      <c r="C977" s="50" t="s">
        <v>16</v>
      </c>
      <c r="D977" s="50"/>
      <c r="E977" s="50"/>
      <c r="F977" s="50" t="s">
        <v>3214</v>
      </c>
      <c r="G977" s="55">
        <v>10000000</v>
      </c>
      <c r="H977" s="55"/>
      <c r="I977" s="55"/>
      <c r="J977" s="51">
        <v>800000</v>
      </c>
      <c r="K977" s="51"/>
      <c r="L977" s="52">
        <v>46024</v>
      </c>
      <c r="M977" s="53">
        <v>45963</v>
      </c>
      <c r="N977" s="50" t="s">
        <v>217</v>
      </c>
      <c r="O977" s="50" t="s">
        <v>3215</v>
      </c>
      <c r="P977" s="50" t="s">
        <v>3214</v>
      </c>
      <c r="Q977" s="55" t="s">
        <v>3216</v>
      </c>
      <c r="R977" s="55" t="s">
        <v>3217</v>
      </c>
      <c r="S977" s="53">
        <v>47058</v>
      </c>
      <c r="T977" s="50"/>
      <c r="U977" s="50"/>
      <c r="V977" s="56"/>
      <c r="W977" s="50"/>
      <c r="X977" s="50"/>
      <c r="Y977" s="56"/>
      <c r="Z977" s="56"/>
      <c r="AA977" s="56"/>
      <c r="AB977" s="56"/>
      <c r="AC977" s="56"/>
      <c r="AD977" s="56"/>
    </row>
    <row x14ac:dyDescent="0.25" r="978" customHeight="1" ht="18.75" hidden="1">
      <c r="A978" s="56"/>
      <c r="B978" s="56"/>
      <c r="C978" s="50"/>
      <c r="D978" s="50"/>
      <c r="E978" s="50"/>
      <c r="F978" s="50"/>
      <c r="G978" s="51"/>
      <c r="H978" s="51"/>
      <c r="I978" s="51"/>
      <c r="J978" s="51">
        <f>IF(G978&gt;0,_xludf.IFS(G978=10000000,800000,G978=20000000,1528000,G978=30000000,2028000,G978=60000000,4056000),"")</f>
      </c>
      <c r="K978" s="51"/>
      <c r="L978" s="52"/>
      <c r="M978" s="53">
        <f>IF(L978&gt;0,EDATE(L978,-2),"")</f>
        <v>25569.375</v>
      </c>
      <c r="N978" s="50"/>
      <c r="O978" s="50"/>
      <c r="P978" s="54">
        <f>IF(F978&gt;0,F978,"")</f>
      </c>
      <c r="Q978" s="55"/>
      <c r="R978" s="55"/>
      <c r="S978" s="53">
        <f>IF(ISNUMBER(M978), EDATE(M978,36)-1, "")</f>
        <v>25569.375</v>
      </c>
      <c r="T978" s="50"/>
      <c r="U978" s="50"/>
      <c r="V978" s="56"/>
      <c r="W978" s="50"/>
      <c r="X978" s="50"/>
      <c r="Y978" s="56"/>
      <c r="Z978" s="56"/>
      <c r="AA978" s="56"/>
      <c r="AB978" s="56"/>
      <c r="AC978" s="56"/>
      <c r="AD978" s="56"/>
    </row>
    <row x14ac:dyDescent="0.25" r="979" customHeight="1" ht="18.75" hidden="1">
      <c r="A979" s="56"/>
      <c r="B979" s="56"/>
      <c r="C979" s="50"/>
      <c r="D979" s="50"/>
      <c r="E979" s="50"/>
      <c r="F979" s="50"/>
      <c r="G979" s="51"/>
      <c r="H979" s="51"/>
      <c r="I979" s="51"/>
      <c r="J979" s="51">
        <f>IF(G979&gt;0,_xludf.IFS(G979=10000000,1200000,G979=20000000,1800000,G979=30000000,2400000,G979=60000000,4000000),"")</f>
      </c>
      <c r="K979" s="51"/>
      <c r="L979" s="52"/>
      <c r="M979" s="53">
        <f>IF(L979&gt;0,EDATE(L979,-2),"")</f>
        <v>25569.375</v>
      </c>
      <c r="N979" s="50"/>
      <c r="O979" s="50"/>
      <c r="P979" s="54">
        <f>IF(F979&gt;0,F979,"")</f>
      </c>
      <c r="Q979" s="55"/>
      <c r="R979" s="55"/>
      <c r="S979" s="53">
        <f>IF(ISNUMBER(M979), EDATE(M979,36)-1, "")</f>
        <v>25569.375</v>
      </c>
      <c r="T979" s="50"/>
      <c r="U979" s="50"/>
      <c r="V979" s="56"/>
      <c r="W979" s="50"/>
      <c r="X979" s="50"/>
      <c r="Y979" s="56"/>
      <c r="Z979" s="56"/>
      <c r="AA979" s="56"/>
      <c r="AB979" s="56"/>
      <c r="AC979" s="56"/>
      <c r="AD979" s="56"/>
    </row>
    <row x14ac:dyDescent="0.25" r="980" customHeight="1" ht="18.75" hidden="1">
      <c r="A980" s="56"/>
      <c r="B980" s="56"/>
      <c r="C980" s="50"/>
      <c r="D980" s="50"/>
      <c r="E980" s="50"/>
      <c r="F980" s="50"/>
      <c r="G980" s="51"/>
      <c r="H980" s="51"/>
      <c r="I980" s="51"/>
      <c r="J980" s="51">
        <f>IF(G980&gt;0,_xludf.IFS(G980=10000000,1200000,G980=20000000,1800000,G980=30000000,2400000,G980=60000000,4000000),"")</f>
      </c>
      <c r="K980" s="51"/>
      <c r="L980" s="52"/>
      <c r="M980" s="53">
        <f>IF(L980&gt;0,EDATE(L980,-2),"")</f>
        <v>25569.375</v>
      </c>
      <c r="N980" s="50"/>
      <c r="O980" s="50"/>
      <c r="P980" s="54">
        <f>IF(F980&gt;0,F980,"")</f>
      </c>
      <c r="Q980" s="55"/>
      <c r="R980" s="55"/>
      <c r="S980" s="53">
        <f>IF(ISNUMBER(M980), EDATE(M980,36)-1, "")</f>
        <v>25569.375</v>
      </c>
      <c r="T980" s="50"/>
      <c r="U980" s="50"/>
      <c r="V980" s="56"/>
      <c r="W980" s="50"/>
      <c r="X980" s="50"/>
      <c r="Y980" s="56"/>
      <c r="Z980" s="56"/>
      <c r="AA980" s="56"/>
      <c r="AB980" s="56"/>
      <c r="AC980" s="56"/>
      <c r="AD980" s="56"/>
    </row>
    <row x14ac:dyDescent="0.25" r="981" customHeight="1" ht="18.75" hidden="1">
      <c r="A981" s="56"/>
      <c r="B981" s="56"/>
      <c r="C981" s="50"/>
      <c r="D981" s="50"/>
      <c r="E981" s="50"/>
      <c r="F981" s="50"/>
      <c r="G981" s="51"/>
      <c r="H981" s="51"/>
      <c r="I981" s="51"/>
      <c r="J981" s="51">
        <f>IF(G981&gt;0,_xludf.IFS(G981=10000000,1200000,G981=20000000,1800000,G981=30000000,2400000,G981=60000000,4000000),"")</f>
      </c>
      <c r="K981" s="51"/>
      <c r="L981" s="52"/>
      <c r="M981" s="53">
        <f>IF(L981&gt;0,EDATE(L981,-2),"")</f>
        <v>25569.375</v>
      </c>
      <c r="N981" s="50"/>
      <c r="O981" s="50"/>
      <c r="P981" s="54">
        <f>IF(F981&gt;0,F981,"")</f>
      </c>
      <c r="Q981" s="55"/>
      <c r="R981" s="55"/>
      <c r="S981" s="53">
        <f>IF(ISNUMBER(M981), EDATE(M981,36)-1, "")</f>
        <v>25569.375</v>
      </c>
      <c r="T981" s="50"/>
      <c r="U981" s="50"/>
      <c r="V981" s="56"/>
      <c r="W981" s="50"/>
      <c r="X981" s="50"/>
      <c r="Y981" s="56"/>
      <c r="Z981" s="56"/>
      <c r="AA981" s="56"/>
      <c r="AB981" s="56"/>
      <c r="AC981" s="56"/>
      <c r="AD981" s="56"/>
    </row>
    <row x14ac:dyDescent="0.25" r="982" customHeight="1" ht="18.75" hidden="1">
      <c r="A982" s="56"/>
      <c r="B982" s="56"/>
      <c r="C982" s="50"/>
      <c r="D982" s="50"/>
      <c r="E982" s="50"/>
      <c r="F982" s="50"/>
      <c r="G982" s="51"/>
      <c r="H982" s="51"/>
      <c r="I982" s="51"/>
      <c r="J982" s="51">
        <f>IF(G982&gt;0,_xludf.IFS(G982=10000000,1200000,G982=20000000,1800000,G982=30000000,2400000,G982=60000000,4000000),"")</f>
      </c>
      <c r="K982" s="51"/>
      <c r="L982" s="52"/>
      <c r="M982" s="53">
        <f>IF(L982&gt;0,EDATE(L982,-2),"")</f>
        <v>25569.375</v>
      </c>
      <c r="N982" s="50"/>
      <c r="O982" s="50"/>
      <c r="P982" s="54">
        <f>IF(F982&gt;0,F982,"")</f>
      </c>
      <c r="Q982" s="55"/>
      <c r="R982" s="55"/>
      <c r="S982" s="53">
        <f>IF(ISNUMBER(M982), EDATE(M982,36)-1, "")</f>
        <v>25569.375</v>
      </c>
      <c r="T982" s="50"/>
      <c r="U982" s="50"/>
      <c r="V982" s="56"/>
      <c r="W982" s="50"/>
      <c r="X982" s="50"/>
      <c r="Y982" s="56"/>
      <c r="Z982" s="56"/>
      <c r="AA982" s="56"/>
      <c r="AB982" s="56"/>
      <c r="AC982" s="56"/>
      <c r="AD982" s="56"/>
    </row>
    <row x14ac:dyDescent="0.25" r="983" customHeight="1" ht="18.75" hidden="1">
      <c r="A983" s="56"/>
      <c r="B983" s="56"/>
      <c r="C983" s="50"/>
      <c r="D983" s="50"/>
      <c r="E983" s="50"/>
      <c r="F983" s="50"/>
      <c r="G983" s="51"/>
      <c r="H983" s="51"/>
      <c r="I983" s="51"/>
      <c r="J983" s="51">
        <f>IF(G983&gt;0,_xludf.IFS(G983=10000000,1200000,G983=20000000,1800000,G983=30000000,2400000,G983=60000000,4000000),"")</f>
      </c>
      <c r="K983" s="51"/>
      <c r="L983" s="52"/>
      <c r="M983" s="53">
        <f>IF(L983&gt;0,EDATE(L983,-2),"")</f>
        <v>25569.375</v>
      </c>
      <c r="N983" s="50"/>
      <c r="O983" s="50"/>
      <c r="P983" s="54">
        <f>IF(F983&gt;0,F983,"")</f>
      </c>
      <c r="Q983" s="55"/>
      <c r="R983" s="55"/>
      <c r="S983" s="53">
        <f>IF(ISNUMBER(M983), EDATE(M983,36)-1, "")</f>
        <v>25569.375</v>
      </c>
      <c r="T983" s="50"/>
      <c r="U983" s="50"/>
      <c r="V983" s="56"/>
      <c r="W983" s="50"/>
      <c r="X983" s="50"/>
      <c r="Y983" s="56"/>
      <c r="Z983" s="56"/>
      <c r="AA983" s="56"/>
      <c r="AB983" s="56"/>
      <c r="AC983" s="56"/>
      <c r="AD983" s="56"/>
    </row>
    <row x14ac:dyDescent="0.25" r="984" customHeight="1" ht="18.75" hidden="1">
      <c r="A984" s="56"/>
      <c r="B984" s="56"/>
      <c r="C984" s="50"/>
      <c r="D984" s="50"/>
      <c r="E984" s="50"/>
      <c r="F984" s="50"/>
      <c r="G984" s="51"/>
      <c r="H984" s="51"/>
      <c r="I984" s="51"/>
      <c r="J984" s="51">
        <f>IF(G984&gt;0,_xludf.IFS(G984=10000000,1200000,G984=20000000,1800000,G984=30000000,2400000,G984=60000000,4000000),"")</f>
      </c>
      <c r="K984" s="51"/>
      <c r="L984" s="52"/>
      <c r="M984" s="53">
        <f>IF(L984&gt;0,EDATE(L984,-2),"")</f>
        <v>25569.375</v>
      </c>
      <c r="N984" s="50"/>
      <c r="O984" s="50"/>
      <c r="P984" s="54">
        <f>IF(F984&gt;0,F984,"")</f>
      </c>
      <c r="Q984" s="55"/>
      <c r="R984" s="55"/>
      <c r="S984" s="53">
        <f>IF(ISNUMBER(M984), EDATE(M984,36)-1, "")</f>
        <v>25569.375</v>
      </c>
      <c r="T984" s="50"/>
      <c r="U984" s="50"/>
      <c r="V984" s="56"/>
      <c r="W984" s="50"/>
      <c r="X984" s="50"/>
      <c r="Y984" s="56"/>
      <c r="Z984" s="56"/>
      <c r="AA984" s="56"/>
      <c r="AB984" s="56"/>
      <c r="AC984" s="56"/>
      <c r="AD984" s="56"/>
    </row>
    <row x14ac:dyDescent="0.25" r="985" customHeight="1" ht="18.75" hidden="1">
      <c r="A985" s="56"/>
      <c r="B985" s="56"/>
      <c r="C985" s="50"/>
      <c r="D985" s="50"/>
      <c r="E985" s="50"/>
      <c r="F985" s="50"/>
      <c r="G985" s="51"/>
      <c r="H985" s="51"/>
      <c r="I985" s="51"/>
      <c r="J985" s="51">
        <f>IF(G985&gt;0,_xludf.IFS(G985=10000000,1200000,G985=20000000,1800000,G985=30000000,2400000,G985=60000000,4000000),"")</f>
      </c>
      <c r="K985" s="51"/>
      <c r="L985" s="52"/>
      <c r="M985" s="53">
        <f>IF(L985&gt;0,EDATE(L985,-2),"")</f>
        <v>25569.375</v>
      </c>
      <c r="N985" s="50"/>
      <c r="O985" s="50"/>
      <c r="P985" s="54">
        <f>IF(F985&gt;0,F985,"")</f>
      </c>
      <c r="Q985" s="55"/>
      <c r="R985" s="55"/>
      <c r="S985" s="53">
        <f>IF(ISNUMBER(M985), EDATE(M985,36)-1, "")</f>
        <v>25569.375</v>
      </c>
      <c r="T985" s="50"/>
      <c r="U985" s="50"/>
      <c r="V985" s="56"/>
      <c r="W985" s="50"/>
      <c r="X985" s="50"/>
      <c r="Y985" s="56"/>
      <c r="Z985" s="56"/>
      <c r="AA985" s="56"/>
      <c r="AB985" s="56"/>
      <c r="AC985" s="56"/>
      <c r="AD985" s="56"/>
    </row>
    <row x14ac:dyDescent="0.25" r="986" customHeight="1" ht="18.75" hidden="1">
      <c r="A986" s="56"/>
      <c r="B986" s="56"/>
      <c r="C986" s="50"/>
      <c r="D986" s="50"/>
      <c r="E986" s="50"/>
      <c r="F986" s="50"/>
      <c r="G986" s="51"/>
      <c r="H986" s="51"/>
      <c r="I986" s="51"/>
      <c r="J986" s="51">
        <f>IF(G986&gt;0,_xludf.IFS(G986=10000000,1200000,G986=20000000,1800000,G986=30000000,2400000,G986=60000000,4000000),"")</f>
      </c>
      <c r="K986" s="51"/>
      <c r="L986" s="52"/>
      <c r="M986" s="53">
        <f>IF(L986&gt;0,EDATE(L986,-2),"")</f>
        <v>25569.375</v>
      </c>
      <c r="N986" s="50"/>
      <c r="O986" s="50"/>
      <c r="P986" s="54">
        <f>IF(F986&gt;0,F986,"")</f>
      </c>
      <c r="Q986" s="55"/>
      <c r="R986" s="55"/>
      <c r="S986" s="53">
        <f>IF(ISNUMBER(M986), EDATE(M986,36)-1, "")</f>
        <v>25569.375</v>
      </c>
      <c r="T986" s="50"/>
      <c r="U986" s="50"/>
      <c r="V986" s="56"/>
      <c r="W986" s="50"/>
      <c r="X986" s="50"/>
      <c r="Y986" s="56"/>
      <c r="Z986" s="56"/>
      <c r="AA986" s="56"/>
      <c r="AB986" s="56"/>
      <c r="AC986" s="56"/>
      <c r="AD986" s="56"/>
    </row>
    <row x14ac:dyDescent="0.25" r="987" customHeight="1" ht="18.75" hidden="1">
      <c r="A987" s="56"/>
      <c r="B987" s="56"/>
      <c r="C987" s="50"/>
      <c r="D987" s="50"/>
      <c r="E987" s="50"/>
      <c r="F987" s="50"/>
      <c r="G987" s="51"/>
      <c r="H987" s="51"/>
      <c r="I987" s="51"/>
      <c r="J987" s="51">
        <f>IF(G987&gt;0,_xludf.IFS(G987=10000000,1200000,G987=20000000,1800000,G987=30000000,2400000,G987=60000000,4000000),"")</f>
      </c>
      <c r="K987" s="51"/>
      <c r="L987" s="52"/>
      <c r="M987" s="53">
        <f>IF(L987&gt;0,EDATE(L987,-2),"")</f>
        <v>25569.375</v>
      </c>
      <c r="N987" s="50"/>
      <c r="O987" s="50"/>
      <c r="P987" s="54">
        <f>IF(F987&gt;0,F987,"")</f>
      </c>
      <c r="Q987" s="55"/>
      <c r="R987" s="55"/>
      <c r="S987" s="53">
        <f>IF(ISNUMBER(M987), EDATE(M987,36)-1, "")</f>
        <v>25569.375</v>
      </c>
      <c r="T987" s="50"/>
      <c r="U987" s="50"/>
      <c r="V987" s="56"/>
      <c r="W987" s="50"/>
      <c r="X987" s="50"/>
      <c r="Y987" s="56"/>
      <c r="Z987" s="56"/>
      <c r="AA987" s="56"/>
      <c r="AB987" s="56"/>
      <c r="AC987" s="56"/>
      <c r="AD987" s="56"/>
    </row>
    <row x14ac:dyDescent="0.25" r="988" customHeight="1" ht="18.75" hidden="1">
      <c r="A988" s="56"/>
      <c r="B988" s="56"/>
      <c r="C988" s="50"/>
      <c r="D988" s="50"/>
      <c r="E988" s="50"/>
      <c r="F988" s="50"/>
      <c r="G988" s="51"/>
      <c r="H988" s="51"/>
      <c r="I988" s="51"/>
      <c r="J988" s="51">
        <f>IF(G988&gt;0,_xludf.IFS(G988=10000000,1200000,G988=20000000,1800000,G988=30000000,2400000,G988=60000000,4000000),"")</f>
      </c>
      <c r="K988" s="51"/>
      <c r="L988" s="52"/>
      <c r="M988" s="53">
        <f>IF(L988&gt;0,EDATE(L988,-2),"")</f>
        <v>25569.375</v>
      </c>
      <c r="N988" s="50"/>
      <c r="O988" s="50"/>
      <c r="P988" s="54">
        <f>IF(F988&gt;0,F988,"")</f>
      </c>
      <c r="Q988" s="55"/>
      <c r="R988" s="55"/>
      <c r="S988" s="53">
        <f>IF(ISNUMBER(M988), EDATE(M988,36)-1, "")</f>
        <v>25569.375</v>
      </c>
      <c r="T988" s="50"/>
      <c r="U988" s="50"/>
      <c r="V988" s="56"/>
      <c r="W988" s="50"/>
      <c r="X988" s="50"/>
      <c r="Y988" s="56"/>
      <c r="Z988" s="56"/>
      <c r="AA988" s="56"/>
      <c r="AB988" s="56"/>
      <c r="AC988" s="56"/>
      <c r="AD988" s="56"/>
    </row>
    <row x14ac:dyDescent="0.25" r="989" customHeight="1" ht="18.75" hidden="1">
      <c r="A989" s="56"/>
      <c r="B989" s="56"/>
      <c r="C989" s="50"/>
      <c r="D989" s="50"/>
      <c r="E989" s="50"/>
      <c r="F989" s="50"/>
      <c r="G989" s="51"/>
      <c r="H989" s="51"/>
      <c r="I989" s="51"/>
      <c r="J989" s="51">
        <f>IF(G989&gt;0,_xludf.IFS(G989=10000000,1200000,G989=20000000,1800000,G989=30000000,2400000,G989=60000000,4000000),"")</f>
      </c>
      <c r="K989" s="51"/>
      <c r="L989" s="52"/>
      <c r="M989" s="53">
        <f>IF(L989&gt;0,EDATE(L989,-2),"")</f>
        <v>25569.375</v>
      </c>
      <c r="N989" s="50"/>
      <c r="O989" s="50"/>
      <c r="P989" s="54">
        <f>IF(F989&gt;0,F989,"")</f>
      </c>
      <c r="Q989" s="55"/>
      <c r="R989" s="55"/>
      <c r="S989" s="53">
        <f>IF(ISNUMBER(M989), EDATE(M989,36)-1, "")</f>
        <v>25569.375</v>
      </c>
      <c r="T989" s="50"/>
      <c r="U989" s="50"/>
      <c r="V989" s="56"/>
      <c r="W989" s="50"/>
      <c r="X989" s="50"/>
      <c r="Y989" s="56"/>
      <c r="Z989" s="56"/>
      <c r="AA989" s="56"/>
      <c r="AB989" s="56"/>
      <c r="AC989" s="56"/>
      <c r="AD989" s="56"/>
    </row>
    <row x14ac:dyDescent="0.25" r="990" customHeight="1" ht="18.75" hidden="1">
      <c r="A990" s="56"/>
      <c r="B990" s="56"/>
      <c r="C990" s="50"/>
      <c r="D990" s="50"/>
      <c r="E990" s="50"/>
      <c r="F990" s="50"/>
      <c r="G990" s="51"/>
      <c r="H990" s="51"/>
      <c r="I990" s="51"/>
      <c r="J990" s="51">
        <f>IF(G990&gt;0,_xludf.IFS(G990=10000000,1200000,G990=20000000,1800000,G990=30000000,2400000,G990=60000000,4000000),"")</f>
      </c>
      <c r="K990" s="51"/>
      <c r="L990" s="52"/>
      <c r="M990" s="53">
        <f>IF(L990&gt;0,EDATE(L990,-2),"")</f>
        <v>25569.375</v>
      </c>
      <c r="N990" s="50"/>
      <c r="O990" s="50"/>
      <c r="P990" s="54">
        <f>IF(F990&gt;0,F990,"")</f>
      </c>
      <c r="Q990" s="55"/>
      <c r="R990" s="55"/>
      <c r="S990" s="53">
        <f>IF(ISNUMBER(M990), EDATE(M990,36)-1, "")</f>
        <v>25569.375</v>
      </c>
      <c r="T990" s="50"/>
      <c r="U990" s="50"/>
      <c r="V990" s="56"/>
      <c r="W990" s="50"/>
      <c r="X990" s="50"/>
      <c r="Y990" s="56"/>
      <c r="Z990" s="56"/>
      <c r="AA990" s="56"/>
      <c r="AB990" s="56"/>
      <c r="AC990" s="56"/>
      <c r="AD990" s="56"/>
    </row>
    <row x14ac:dyDescent="0.25" r="991" customHeight="1" ht="18.75" hidden="1">
      <c r="A991" s="56"/>
      <c r="B991" s="56"/>
      <c r="C991" s="50"/>
      <c r="D991" s="50"/>
      <c r="E991" s="50"/>
      <c r="F991" s="50"/>
      <c r="G991" s="51"/>
      <c r="H991" s="51"/>
      <c r="I991" s="51"/>
      <c r="J991" s="51">
        <f>IF(G991&gt;0,_xludf.IFS(G991=10000000,1200000,G991=20000000,1800000,G991=30000000,2400000,G991=60000000,4000000),"")</f>
      </c>
      <c r="K991" s="51"/>
      <c r="L991" s="52"/>
      <c r="M991" s="53">
        <f>IF(L991&gt;0,EDATE(L991,-2),"")</f>
        <v>25569.375</v>
      </c>
      <c r="N991" s="50"/>
      <c r="O991" s="50"/>
      <c r="P991" s="54">
        <f>IF(F991&gt;0,F991,"")</f>
      </c>
      <c r="Q991" s="55"/>
      <c r="R991" s="55"/>
      <c r="S991" s="53">
        <f>IF(ISNUMBER(M991), EDATE(M991,36)-1, "")</f>
        <v>25569.375</v>
      </c>
      <c r="T991" s="50"/>
      <c r="U991" s="50"/>
      <c r="V991" s="56"/>
      <c r="W991" s="50"/>
      <c r="X991" s="50"/>
      <c r="Y991" s="56"/>
      <c r="Z991" s="56"/>
      <c r="AA991" s="56"/>
      <c r="AB991" s="56"/>
      <c r="AC991" s="56"/>
      <c r="AD991" s="56"/>
    </row>
    <row x14ac:dyDescent="0.25" r="992" customHeight="1" ht="18.75" hidden="1">
      <c r="A992" s="56"/>
      <c r="B992" s="56"/>
      <c r="C992" s="50"/>
      <c r="D992" s="50"/>
      <c r="E992" s="50"/>
      <c r="F992" s="50"/>
      <c r="G992" s="51"/>
      <c r="H992" s="51"/>
      <c r="I992" s="51"/>
      <c r="J992" s="51">
        <f>IF(G992&gt;0,_xludf.IFS(G992=10000000,1200000,G992=20000000,1800000,G992=30000000,2400000,G992=60000000,4000000),"")</f>
      </c>
      <c r="K992" s="51"/>
      <c r="L992" s="52"/>
      <c r="M992" s="53">
        <f>IF(L992&gt;0,EDATE(L992,-2),"")</f>
        <v>25569.375</v>
      </c>
      <c r="N992" s="50"/>
      <c r="O992" s="50"/>
      <c r="P992" s="54">
        <f>IF(F992&gt;0,F992,"")</f>
      </c>
      <c r="Q992" s="55"/>
      <c r="R992" s="55"/>
      <c r="S992" s="53">
        <f>IF(ISNUMBER(M992), EDATE(M992,36)-1, "")</f>
        <v>25569.375</v>
      </c>
      <c r="T992" s="50"/>
      <c r="U992" s="50"/>
      <c r="V992" s="56"/>
      <c r="W992" s="50"/>
      <c r="X992" s="50"/>
      <c r="Y992" s="56"/>
      <c r="Z992" s="56"/>
      <c r="AA992" s="56"/>
      <c r="AB992" s="56"/>
      <c r="AC992" s="56"/>
      <c r="AD992" s="56"/>
    </row>
    <row x14ac:dyDescent="0.25" r="993" customHeight="1" ht="18.75" hidden="1">
      <c r="A993" s="56"/>
      <c r="B993" s="56"/>
      <c r="C993" s="50"/>
      <c r="D993" s="50"/>
      <c r="E993" s="50"/>
      <c r="F993" s="50"/>
      <c r="G993" s="51"/>
      <c r="H993" s="51"/>
      <c r="I993" s="51"/>
      <c r="J993" s="51">
        <f>IF(G993&gt;0,_xludf.IFS(G993=10000000,1200000,G993=20000000,1800000,G993=30000000,2400000,G993=60000000,4000000),"")</f>
      </c>
      <c r="K993" s="51"/>
      <c r="L993" s="52"/>
      <c r="M993" s="53">
        <f>IF(L993&gt;0,EDATE(L993,-2),"")</f>
        <v>25569.375</v>
      </c>
      <c r="N993" s="50"/>
      <c r="O993" s="50"/>
      <c r="P993" s="54">
        <f>IF(F993&gt;0,F993,"")</f>
      </c>
      <c r="Q993" s="55"/>
      <c r="R993" s="55"/>
      <c r="S993" s="53">
        <f>IF(ISNUMBER(M993), EDATE(M993,36)-1, "")</f>
        <v>25569.375</v>
      </c>
      <c r="T993" s="50"/>
      <c r="U993" s="50"/>
      <c r="V993" s="56"/>
      <c r="W993" s="50"/>
      <c r="X993" s="50"/>
      <c r="Y993" s="56"/>
      <c r="Z993" s="56"/>
      <c r="AA993" s="56"/>
      <c r="AB993" s="56"/>
      <c r="AC993" s="56"/>
      <c r="AD993" s="56"/>
    </row>
    <row x14ac:dyDescent="0.25" r="994" customHeight="1" ht="18.75" hidden="1">
      <c r="A994" s="56"/>
      <c r="B994" s="56"/>
      <c r="C994" s="50"/>
      <c r="D994" s="50"/>
      <c r="E994" s="50"/>
      <c r="F994" s="50"/>
      <c r="G994" s="51"/>
      <c r="H994" s="51"/>
      <c r="I994" s="51"/>
      <c r="J994" s="51">
        <f>IF(G994&gt;0,_xludf.IFS(G994=10000000,1200000,G994=20000000,1800000,G994=30000000,2400000,G994=60000000,4000000),"")</f>
      </c>
      <c r="K994" s="51"/>
      <c r="L994" s="52"/>
      <c r="M994" s="53">
        <f>IF(L994&gt;0,EDATE(L994,-2),"")</f>
        <v>25569.375</v>
      </c>
      <c r="N994" s="50"/>
      <c r="O994" s="50"/>
      <c r="P994" s="54">
        <f>IF(F994&gt;0,F994,"")</f>
      </c>
      <c r="Q994" s="55"/>
      <c r="R994" s="55"/>
      <c r="S994" s="53">
        <f>IF(ISNUMBER(M994), EDATE(M994,36)-1, "")</f>
        <v>25569.375</v>
      </c>
      <c r="T994" s="50"/>
      <c r="U994" s="50"/>
      <c r="V994" s="56"/>
      <c r="W994" s="50"/>
      <c r="X994" s="50"/>
      <c r="Y994" s="56"/>
      <c r="Z994" s="56"/>
      <c r="AA994" s="56"/>
      <c r="AB994" s="56"/>
      <c r="AC994" s="56"/>
      <c r="AD994" s="56"/>
    </row>
    <row x14ac:dyDescent="0.25" r="995" customHeight="1" ht="18.75" hidden="1">
      <c r="A995" s="56"/>
      <c r="B995" s="56"/>
      <c r="C995" s="50"/>
      <c r="D995" s="50"/>
      <c r="E995" s="50"/>
      <c r="F995" s="50"/>
      <c r="G995" s="51"/>
      <c r="H995" s="51"/>
      <c r="I995" s="51"/>
      <c r="J995" s="51">
        <f>IF(G995&gt;0,_xludf.IFS(G995=10000000,1200000,G995=20000000,1800000,G995=30000000,2400000,G995=60000000,4000000),"")</f>
      </c>
      <c r="K995" s="51"/>
      <c r="L995" s="52"/>
      <c r="M995" s="53">
        <f>IF(L995&gt;0,EDATE(L995,-2),"")</f>
        <v>25569.375</v>
      </c>
      <c r="N995" s="50"/>
      <c r="O995" s="50"/>
      <c r="P995" s="54">
        <f>IF(F995&gt;0,F995,"")</f>
      </c>
      <c r="Q995" s="55"/>
      <c r="R995" s="55"/>
      <c r="S995" s="53">
        <f>IF(ISNUMBER(M995), EDATE(M995,36)-1, "")</f>
        <v>25569.375</v>
      </c>
      <c r="T995" s="50"/>
      <c r="U995" s="50"/>
      <c r="V995" s="56"/>
      <c r="W995" s="50"/>
      <c r="X995" s="50"/>
      <c r="Y995" s="56"/>
      <c r="Z995" s="56"/>
      <c r="AA995" s="56"/>
      <c r="AB995" s="56"/>
      <c r="AC995" s="56"/>
      <c r="AD995" s="56"/>
    </row>
    <row x14ac:dyDescent="0.25" r="996" customHeight="1" ht="18.75" hidden="1">
      <c r="A996" s="56"/>
      <c r="B996" s="56"/>
      <c r="C996" s="50"/>
      <c r="D996" s="50"/>
      <c r="E996" s="50"/>
      <c r="F996" s="50"/>
      <c r="G996" s="51"/>
      <c r="H996" s="51"/>
      <c r="I996" s="51"/>
      <c r="J996" s="51">
        <f>IF(G996&gt;0,_xludf.IFS(G996=10000000,1200000,G996=20000000,1800000,G996=30000000,2400000,G996=60000000,4000000),"")</f>
      </c>
      <c r="K996" s="51"/>
      <c r="L996" s="52"/>
      <c r="M996" s="53">
        <f>IF(L996&gt;0,EDATE(L996,-2),"")</f>
        <v>25569.375</v>
      </c>
      <c r="N996" s="50"/>
      <c r="O996" s="50"/>
      <c r="P996" s="54">
        <f>IF(F996&gt;0,F996,"")</f>
      </c>
      <c r="Q996" s="55"/>
      <c r="R996" s="55"/>
      <c r="S996" s="53">
        <f>IF(ISNUMBER(M996), EDATE(M996,36)-1, "")</f>
        <v>25569.375</v>
      </c>
      <c r="T996" s="50"/>
      <c r="U996" s="50"/>
      <c r="V996" s="56"/>
      <c r="W996" s="50"/>
      <c r="X996" s="50"/>
      <c r="Y996" s="56"/>
      <c r="Z996" s="56"/>
      <c r="AA996" s="56"/>
      <c r="AB996" s="56"/>
      <c r="AC996" s="56"/>
      <c r="AD996" s="56"/>
    </row>
    <row x14ac:dyDescent="0.25" r="997" customHeight="1" ht="18.75" hidden="1">
      <c r="A997" s="56"/>
      <c r="B997" s="56"/>
      <c r="C997" s="50"/>
      <c r="D997" s="50"/>
      <c r="E997" s="50"/>
      <c r="F997" s="50"/>
      <c r="G997" s="51"/>
      <c r="H997" s="51"/>
      <c r="I997" s="51"/>
      <c r="J997" s="51">
        <f>IF(G997&gt;0,_xludf.IFS(G997=10000000,1200000,G997=20000000,1800000,G997=30000000,2400000,G997=60000000,4000000),"")</f>
      </c>
      <c r="K997" s="51"/>
      <c r="L997" s="52"/>
      <c r="M997" s="53">
        <f>IF(L997&gt;0,EDATE(L997,-2),"")</f>
        <v>25569.375</v>
      </c>
      <c r="N997" s="50"/>
      <c r="O997" s="50"/>
      <c r="P997" s="54">
        <f>IF(F997&gt;0,F997,"")</f>
      </c>
      <c r="Q997" s="55"/>
      <c r="R997" s="55"/>
      <c r="S997" s="53">
        <f>IF(ISNUMBER(M997), EDATE(M997,36)-1, "")</f>
        <v>25569.375</v>
      </c>
      <c r="T997" s="50"/>
      <c r="U997" s="50"/>
      <c r="V997" s="56"/>
      <c r="W997" s="50"/>
      <c r="X997" s="50"/>
      <c r="Y997" s="56"/>
      <c r="Z997" s="56"/>
      <c r="AA997" s="56"/>
      <c r="AB997" s="56"/>
      <c r="AC997" s="56"/>
      <c r="AD997" s="56"/>
    </row>
    <row x14ac:dyDescent="0.25" r="998" customHeight="1" ht="18.75" hidden="1">
      <c r="A998" s="56"/>
      <c r="B998" s="56"/>
      <c r="C998" s="50"/>
      <c r="D998" s="50"/>
      <c r="E998" s="50"/>
      <c r="F998" s="50"/>
      <c r="G998" s="55"/>
      <c r="H998" s="55"/>
      <c r="I998" s="53"/>
      <c r="J998" s="51">
        <f>IF(G998&gt;0,_xludf.IFS(G998=10000000,1200000,G998=20000000,1800000,G998=30000000,2400000,G998=60000000,4000000),"")</f>
      </c>
      <c r="K998" s="51"/>
      <c r="L998" s="52"/>
      <c r="M998" s="53"/>
      <c r="N998" s="50"/>
      <c r="O998" s="50"/>
      <c r="P998" s="54">
        <f>IF(F998&gt;0,F998,"")</f>
      </c>
      <c r="Q998" s="55"/>
      <c r="R998" s="55"/>
      <c r="S998" s="53">
        <f>IF(M998&gt;0,EDATE(M998,36)-1,"")</f>
        <v>25569.375</v>
      </c>
      <c r="T998" s="50"/>
      <c r="U998" s="50"/>
      <c r="V998" s="56"/>
      <c r="W998" s="50"/>
      <c r="X998" s="50"/>
      <c r="Y998" s="56"/>
      <c r="Z998" s="56"/>
      <c r="AA998" s="56"/>
      <c r="AB998" s="56"/>
      <c r="AC998" s="56"/>
      <c r="AD998" s="56"/>
    </row>
    <row x14ac:dyDescent="0.25" r="999" customHeight="1" ht="18.75" hidden="1">
      <c r="A999" s="56"/>
      <c r="B999" s="56"/>
      <c r="C999" s="50"/>
      <c r="D999" s="50"/>
      <c r="E999" s="50"/>
      <c r="F999" s="50"/>
      <c r="G999" s="55"/>
      <c r="H999" s="55"/>
      <c r="I999" s="53"/>
      <c r="J999" s="51">
        <f>IF(G999&gt;0,_xludf.IFS(G999=10000000,1200000,G999=20000000,1800000,G999=30000000,2400000,G999=60000000,4000000),"")</f>
      </c>
      <c r="K999" s="51"/>
      <c r="L999" s="52"/>
      <c r="M999" s="53"/>
      <c r="N999" s="50"/>
      <c r="O999" s="50"/>
      <c r="P999" s="50"/>
      <c r="Q999" s="55"/>
      <c r="R999" s="55"/>
      <c r="S999" s="53"/>
      <c r="T999" s="50"/>
      <c r="U999" s="50"/>
      <c r="V999" s="56"/>
      <c r="W999" s="50"/>
      <c r="X999" s="50"/>
      <c r="Y999" s="56"/>
      <c r="Z999" s="56"/>
      <c r="AA999" s="56"/>
      <c r="AB999" s="56"/>
      <c r="AC999" s="56"/>
      <c r="AD999" s="56"/>
    </row>
    <row x14ac:dyDescent="0.25" r="1000" customHeight="1" ht="18.75" hidden="1">
      <c r="A1000" s="56"/>
      <c r="B1000" s="56"/>
      <c r="C1000" s="50"/>
      <c r="D1000" s="50"/>
      <c r="E1000" s="50"/>
      <c r="F1000" s="50"/>
      <c r="G1000" s="55"/>
      <c r="H1000" s="55"/>
      <c r="I1000" s="53"/>
      <c r="J1000" s="51">
        <f>IF(G1000&gt;0,_xludf.IFS(G1000=10000000,1200000,G1000=20000000,1800000,G1000=30000000,2400000,G1000=60000000,4000000),"")</f>
      </c>
      <c r="K1000" s="51"/>
      <c r="L1000" s="52"/>
      <c r="M1000" s="53"/>
      <c r="N1000" s="50"/>
      <c r="O1000" s="50"/>
      <c r="P1000" s="50"/>
      <c r="Q1000" s="55"/>
      <c r="R1000" s="55"/>
      <c r="S1000" s="53"/>
      <c r="T1000" s="50"/>
      <c r="U1000" s="50"/>
      <c r="V1000" s="56"/>
      <c r="W1000" s="50"/>
      <c r="X1000" s="50"/>
      <c r="Y1000" s="56"/>
      <c r="Z1000" s="56"/>
      <c r="AA1000" s="56"/>
      <c r="AB1000" s="56"/>
      <c r="AC1000" s="56"/>
      <c r="AD1000" s="56"/>
    </row>
    <row x14ac:dyDescent="0.25" r="1001" customHeight="1" ht="18.75" hidden="1">
      <c r="A1001" s="56"/>
      <c r="B1001" s="56"/>
      <c r="C1001" s="50"/>
      <c r="D1001" s="50"/>
      <c r="E1001" s="50"/>
      <c r="F1001" s="50"/>
      <c r="G1001" s="55"/>
      <c r="H1001" s="55"/>
      <c r="I1001" s="53"/>
      <c r="J1001" s="51">
        <f>IF(G1001&gt;0,_xludf.IFS(G1001=10000000,1200000,G1001=20000000,1800000,G1001=30000000,2400000,G1001=60000000,4000000),"")</f>
      </c>
      <c r="K1001" s="51"/>
      <c r="L1001" s="52"/>
      <c r="M1001" s="53"/>
      <c r="N1001" s="50"/>
      <c r="O1001" s="50"/>
      <c r="P1001" s="50"/>
      <c r="Q1001" s="55"/>
      <c r="R1001" s="55"/>
      <c r="S1001" s="53"/>
      <c r="T1001" s="50"/>
      <c r="U1001" s="50"/>
      <c r="V1001" s="56"/>
      <c r="W1001" s="50"/>
      <c r="X1001" s="50"/>
      <c r="Y1001" s="56"/>
      <c r="Z1001" s="56"/>
      <c r="AA1001" s="56"/>
      <c r="AB1001" s="56"/>
      <c r="AC1001" s="56"/>
      <c r="AD1001" s="56"/>
    </row>
    <row x14ac:dyDescent="0.25" r="1002" customHeight="1" ht="18.75" hidden="1">
      <c r="A1002" s="56"/>
      <c r="B1002" s="56"/>
      <c r="C1002" s="50"/>
      <c r="D1002" s="50"/>
      <c r="E1002" s="50"/>
      <c r="F1002" s="50"/>
      <c r="G1002" s="55"/>
      <c r="H1002" s="55"/>
      <c r="I1002" s="53"/>
      <c r="J1002" s="51">
        <f>IF(G1002&gt;0,_xludf.IFS(G1002=10000000,1200000,G1002=20000000,1800000,G1002=30000000,2400000,G1002=60000000,4000000),"")</f>
      </c>
      <c r="K1002" s="51"/>
      <c r="L1002" s="52"/>
      <c r="M1002" s="53"/>
      <c r="N1002" s="50"/>
      <c r="O1002" s="50"/>
      <c r="P1002" s="50"/>
      <c r="Q1002" s="55"/>
      <c r="R1002" s="55"/>
      <c r="S1002" s="53"/>
      <c r="T1002" s="50"/>
      <c r="U1002" s="50"/>
      <c r="V1002" s="56"/>
      <c r="W1002" s="50"/>
      <c r="X1002" s="50"/>
      <c r="Y1002" s="56"/>
      <c r="Z1002" s="56"/>
      <c r="AA1002" s="56"/>
      <c r="AB1002" s="56"/>
      <c r="AC1002" s="56"/>
      <c r="AD1002" s="56"/>
    </row>
    <row x14ac:dyDescent="0.25" r="1003" customHeight="1" ht="18.75" hidden="1">
      <c r="A1003" s="56"/>
      <c r="B1003" s="56"/>
      <c r="C1003" s="50"/>
      <c r="D1003" s="50"/>
      <c r="E1003" s="50"/>
      <c r="F1003" s="50"/>
      <c r="G1003" s="55"/>
      <c r="H1003" s="55"/>
      <c r="I1003" s="53"/>
      <c r="J1003" s="51">
        <f>IF(G1003&gt;0,_xludf.IFS(G1003=10000000,1200000,G1003=20000000,1800000,G1003=30000000,2400000,G1003=60000000,4000000),"")</f>
      </c>
      <c r="K1003" s="51"/>
      <c r="L1003" s="52"/>
      <c r="M1003" s="53"/>
      <c r="N1003" s="50"/>
      <c r="O1003" s="50"/>
      <c r="P1003" s="50"/>
      <c r="Q1003" s="55"/>
      <c r="R1003" s="55"/>
      <c r="S1003" s="53"/>
      <c r="T1003" s="50"/>
      <c r="U1003" s="50"/>
      <c r="V1003" s="56"/>
      <c r="W1003" s="50"/>
      <c r="X1003" s="50"/>
      <c r="Y1003" s="56"/>
      <c r="Z1003" s="56"/>
      <c r="AA1003" s="56"/>
      <c r="AB1003" s="56"/>
      <c r="AC1003" s="56"/>
      <c r="AD1003" s="56"/>
    </row>
    <row x14ac:dyDescent="0.25" r="1004" customHeight="1" ht="18.75" hidden="1">
      <c r="A1004" s="56"/>
      <c r="B1004" s="56"/>
      <c r="C1004" s="50"/>
      <c r="D1004" s="50"/>
      <c r="E1004" s="50"/>
      <c r="F1004" s="50"/>
      <c r="G1004" s="55"/>
      <c r="H1004" s="55"/>
      <c r="I1004" s="53"/>
      <c r="J1004" s="51">
        <f>IF(G1004&gt;0,_xludf.IFS(G1004=10000000,1200000,G1004=20000000,1800000,G1004=30000000,2400000,G1004=60000000,4000000),"")</f>
      </c>
      <c r="K1004" s="51"/>
      <c r="L1004" s="52"/>
      <c r="M1004" s="53"/>
      <c r="N1004" s="50"/>
      <c r="O1004" s="50"/>
      <c r="P1004" s="50"/>
      <c r="Q1004" s="55"/>
      <c r="R1004" s="55"/>
      <c r="S1004" s="53"/>
      <c r="T1004" s="50"/>
      <c r="U1004" s="50"/>
      <c r="V1004" s="56"/>
      <c r="W1004" s="50"/>
      <c r="X1004" s="50"/>
      <c r="Y1004" s="56"/>
      <c r="Z1004" s="56"/>
      <c r="AA1004" s="56"/>
      <c r="AB1004" s="56"/>
      <c r="AC1004" s="56"/>
      <c r="AD1004" s="56"/>
    </row>
    <row x14ac:dyDescent="0.25" r="1005" customHeight="1" ht="18.75" hidden="1">
      <c r="A1005" s="56"/>
      <c r="B1005" s="56"/>
      <c r="C1005" s="50"/>
      <c r="D1005" s="50"/>
      <c r="E1005" s="50"/>
      <c r="F1005" s="50"/>
      <c r="G1005" s="55"/>
      <c r="H1005" s="55"/>
      <c r="I1005" s="53"/>
      <c r="J1005" s="51">
        <f>IF(G1005&gt;0,_xludf.IFS(G1005=10000000,1200000,G1005=20000000,1800000,G1005=30000000,2400000,G1005=60000000,4000000),"")</f>
      </c>
      <c r="K1005" s="51"/>
      <c r="L1005" s="52"/>
      <c r="M1005" s="53"/>
      <c r="N1005" s="50"/>
      <c r="O1005" s="50"/>
      <c r="P1005" s="50"/>
      <c r="Q1005" s="55"/>
      <c r="R1005" s="55"/>
      <c r="S1005" s="53"/>
      <c r="T1005" s="50"/>
      <c r="U1005" s="50"/>
      <c r="V1005" s="56"/>
      <c r="W1005" s="50"/>
      <c r="X1005" s="50"/>
      <c r="Y1005" s="56"/>
      <c r="Z1005" s="56"/>
      <c r="AA1005" s="56"/>
      <c r="AB1005" s="56"/>
      <c r="AC1005" s="56"/>
      <c r="AD1005" s="56"/>
    </row>
    <row x14ac:dyDescent="0.25" r="1006" customHeight="1" ht="18.75" hidden="1">
      <c r="A1006" s="56"/>
      <c r="B1006" s="56"/>
      <c r="C1006" s="50"/>
      <c r="D1006" s="50"/>
      <c r="E1006" s="50"/>
      <c r="F1006" s="50"/>
      <c r="G1006" s="55"/>
      <c r="H1006" s="55"/>
      <c r="I1006" s="53"/>
      <c r="J1006" s="51">
        <f>IF(G1006&gt;0,_xludf.IFS(G1006=10000000,1200000,G1006=20000000,1800000,G1006=30000000,2400000,G1006=60000000,4000000),"")</f>
      </c>
      <c r="K1006" s="51"/>
      <c r="L1006" s="52"/>
      <c r="M1006" s="53"/>
      <c r="N1006" s="50"/>
      <c r="O1006" s="50"/>
      <c r="P1006" s="50"/>
      <c r="Q1006" s="55"/>
      <c r="R1006" s="55"/>
      <c r="S1006" s="53"/>
      <c r="T1006" s="50"/>
      <c r="U1006" s="50"/>
      <c r="V1006" s="56"/>
      <c r="W1006" s="50"/>
      <c r="X1006" s="50"/>
      <c r="Y1006" s="56"/>
      <c r="Z1006" s="56"/>
      <c r="AA1006" s="56"/>
      <c r="AB1006" s="56"/>
      <c r="AC1006" s="56"/>
      <c r="AD1006" s="56"/>
    </row>
    <row x14ac:dyDescent="0.25" r="1007" customHeight="1" ht="18.75" hidden="1">
      <c r="A1007" s="56"/>
      <c r="B1007" s="56"/>
      <c r="C1007" s="50"/>
      <c r="D1007" s="50"/>
      <c r="E1007" s="50"/>
      <c r="F1007" s="50"/>
      <c r="G1007" s="55"/>
      <c r="H1007" s="55"/>
      <c r="I1007" s="53"/>
      <c r="J1007" s="51">
        <f>IF(G1007&gt;0,_xludf.IFS(G1007=10000000,1200000,G1007=20000000,1800000,G1007=30000000,2400000,G1007=60000000,4000000),"")</f>
      </c>
      <c r="K1007" s="51"/>
      <c r="L1007" s="52"/>
      <c r="M1007" s="53"/>
      <c r="N1007" s="50"/>
      <c r="O1007" s="50"/>
      <c r="P1007" s="50"/>
      <c r="Q1007" s="55"/>
      <c r="R1007" s="55"/>
      <c r="S1007" s="53"/>
      <c r="T1007" s="50"/>
      <c r="U1007" s="50"/>
      <c r="V1007" s="56"/>
      <c r="W1007" s="50"/>
      <c r="X1007" s="50"/>
      <c r="Y1007" s="56"/>
      <c r="Z1007" s="56"/>
      <c r="AA1007" s="56"/>
      <c r="AB1007" s="56"/>
      <c r="AC1007" s="56"/>
      <c r="AD1007" s="56"/>
    </row>
    <row x14ac:dyDescent="0.25" r="1008" customHeight="1" ht="18.75" hidden="1">
      <c r="A1008" s="56"/>
      <c r="B1008" s="56"/>
      <c r="C1008" s="50"/>
      <c r="D1008" s="50"/>
      <c r="E1008" s="50"/>
      <c r="F1008" s="50"/>
      <c r="G1008" s="55"/>
      <c r="H1008" s="55"/>
      <c r="I1008" s="53"/>
      <c r="J1008" s="51">
        <f>IF(G1008&gt;0,_xludf.IFS(G1008=10000000,1200000,G1008=20000000,1800000,G1008=30000000,2400000,G1008=60000000,4000000),"")</f>
      </c>
      <c r="K1008" s="51"/>
      <c r="L1008" s="52"/>
      <c r="M1008" s="53"/>
      <c r="N1008" s="50"/>
      <c r="O1008" s="50"/>
      <c r="P1008" s="50"/>
      <c r="Q1008" s="55"/>
      <c r="R1008" s="55"/>
      <c r="S1008" s="53"/>
      <c r="T1008" s="50"/>
      <c r="U1008" s="50"/>
      <c r="V1008" s="56"/>
      <c r="W1008" s="50"/>
      <c r="X1008" s="50"/>
      <c r="Y1008" s="56"/>
      <c r="Z1008" s="56"/>
      <c r="AA1008" s="56"/>
      <c r="AB1008" s="56"/>
      <c r="AC1008" s="56"/>
      <c r="AD1008" s="56"/>
    </row>
    <row x14ac:dyDescent="0.25" r="1009" customHeight="1" ht="18.75" hidden="1">
      <c r="A1009" s="56"/>
      <c r="B1009" s="56"/>
      <c r="C1009" s="50"/>
      <c r="D1009" s="50"/>
      <c r="E1009" s="50"/>
      <c r="F1009" s="50"/>
      <c r="G1009" s="55"/>
      <c r="H1009" s="55"/>
      <c r="I1009" s="53"/>
      <c r="J1009" s="51">
        <f>IF(G1009&gt;0,_xludf.IFS(G1009=10000000,1200000,G1009=20000000,1800000,G1009=30000000,2400000,G1009=60000000,4000000),"")</f>
      </c>
      <c r="K1009" s="51"/>
      <c r="L1009" s="52"/>
      <c r="M1009" s="53"/>
      <c r="N1009" s="50"/>
      <c r="O1009" s="50"/>
      <c r="P1009" s="50"/>
      <c r="Q1009" s="55"/>
      <c r="R1009" s="55"/>
      <c r="S1009" s="53"/>
      <c r="T1009" s="50"/>
      <c r="U1009" s="50"/>
      <c r="V1009" s="56"/>
      <c r="W1009" s="50"/>
      <c r="X1009" s="50"/>
      <c r="Y1009" s="56"/>
      <c r="Z1009" s="56"/>
      <c r="AA1009" s="56"/>
      <c r="AB1009" s="56"/>
      <c r="AC1009" s="56"/>
      <c r="AD1009" s="56"/>
    </row>
    <row x14ac:dyDescent="0.25" r="1010" customHeight="1" ht="18.75" hidden="1">
      <c r="A1010" s="56"/>
      <c r="B1010" s="56"/>
      <c r="C1010" s="50"/>
      <c r="D1010" s="50"/>
      <c r="E1010" s="50"/>
      <c r="F1010" s="50"/>
      <c r="G1010" s="55"/>
      <c r="H1010" s="55"/>
      <c r="I1010" s="53"/>
      <c r="J1010" s="51">
        <f>IF(G1010&gt;0,_xludf.IFS(G1010=10000000,1200000,G1010=20000000,1800000,G1010=30000000,2400000,G1010=60000000,4000000),"")</f>
      </c>
      <c r="K1010" s="51"/>
      <c r="L1010" s="52"/>
      <c r="M1010" s="53"/>
      <c r="N1010" s="50"/>
      <c r="O1010" s="50"/>
      <c r="P1010" s="50"/>
      <c r="Q1010" s="55"/>
      <c r="R1010" s="55"/>
      <c r="S1010" s="53"/>
      <c r="T1010" s="50"/>
      <c r="U1010" s="50"/>
      <c r="V1010" s="56"/>
      <c r="W1010" s="50"/>
      <c r="X1010" s="50"/>
      <c r="Y1010" s="56"/>
      <c r="Z1010" s="56"/>
      <c r="AA1010" s="56"/>
      <c r="AB1010" s="56"/>
      <c r="AC1010" s="56"/>
      <c r="AD1010" s="56"/>
    </row>
    <row x14ac:dyDescent="0.25" r="1011" customHeight="1" ht="18.75" hidden="1">
      <c r="A1011" s="56"/>
      <c r="B1011" s="56"/>
      <c r="C1011" s="50"/>
      <c r="D1011" s="50"/>
      <c r="E1011" s="50"/>
      <c r="F1011" s="50"/>
      <c r="G1011" s="55"/>
      <c r="H1011" s="55"/>
      <c r="I1011" s="53"/>
      <c r="J1011" s="51">
        <f>IF(G1011&gt;0,_xludf.IFS(G1011=10000000,1200000,G1011=20000000,1800000,G1011=30000000,2400000,G1011=60000000,4000000),"")</f>
      </c>
      <c r="K1011" s="51"/>
      <c r="L1011" s="52"/>
      <c r="M1011" s="53"/>
      <c r="N1011" s="50"/>
      <c r="O1011" s="50"/>
      <c r="P1011" s="50"/>
      <c r="Q1011" s="55"/>
      <c r="R1011" s="55"/>
      <c r="S1011" s="53"/>
      <c r="T1011" s="50"/>
      <c r="U1011" s="50"/>
      <c r="V1011" s="56"/>
      <c r="W1011" s="50"/>
      <c r="X1011" s="50"/>
      <c r="Y1011" s="56"/>
      <c r="Z1011" s="56"/>
      <c r="AA1011" s="56"/>
      <c r="AB1011" s="56"/>
      <c r="AC1011" s="56"/>
      <c r="AD1011" s="56"/>
    </row>
    <row x14ac:dyDescent="0.25" r="1012" customHeight="1" ht="18.75">
      <c r="A1012" s="56"/>
      <c r="B1012" s="56"/>
      <c r="C1012" s="50"/>
      <c r="D1012" s="50"/>
      <c r="E1012" s="50"/>
      <c r="F1012" s="50"/>
      <c r="G1012" s="55"/>
      <c r="H1012" s="55"/>
      <c r="I1012" s="53"/>
      <c r="J1012" s="87"/>
      <c r="K1012" s="87"/>
      <c r="L1012" s="52"/>
      <c r="M1012" s="53"/>
      <c r="N1012" s="50"/>
      <c r="O1012" s="50"/>
      <c r="P1012" s="50"/>
      <c r="Q1012" s="55"/>
      <c r="R1012" s="55"/>
      <c r="S1012" s="53"/>
      <c r="T1012" s="50"/>
      <c r="U1012" s="50"/>
      <c r="V1012" s="56"/>
      <c r="W1012" s="50"/>
      <c r="X1012" s="50"/>
      <c r="Y1012" s="56"/>
      <c r="Z1012" s="56"/>
      <c r="AA1012" s="56"/>
      <c r="AB1012" s="56"/>
      <c r="AC1012" s="56"/>
      <c r="AD1012" s="56"/>
    </row>
    <row x14ac:dyDescent="0.25" r="1013" customHeight="1" ht="18.75">
      <c r="A1013" s="56"/>
      <c r="B1013" s="56"/>
      <c r="C1013" s="50"/>
      <c r="D1013" s="50"/>
      <c r="E1013" s="50"/>
      <c r="F1013" s="50"/>
      <c r="G1013" s="55"/>
      <c r="H1013" s="55"/>
      <c r="I1013" s="53"/>
      <c r="J1013" s="87"/>
      <c r="K1013" s="87"/>
      <c r="L1013" s="52"/>
      <c r="M1013" s="53"/>
      <c r="N1013" s="50"/>
      <c r="O1013" s="50"/>
      <c r="P1013" s="50"/>
      <c r="Q1013" s="55"/>
      <c r="R1013" s="55"/>
      <c r="S1013" s="53"/>
      <c r="T1013" s="50"/>
      <c r="U1013" s="50"/>
      <c r="V1013" s="56"/>
      <c r="W1013" s="50"/>
      <c r="X1013" s="50"/>
      <c r="Y1013" s="56"/>
      <c r="Z1013" s="56"/>
      <c r="AA1013" s="56"/>
      <c r="AB1013" s="56"/>
      <c r="AC1013" s="56"/>
      <c r="AD1013" s="56"/>
    </row>
    <row x14ac:dyDescent="0.25" r="1014" customHeight="1" ht="18.75">
      <c r="A1014" s="56"/>
      <c r="B1014" s="56"/>
      <c r="C1014" s="50"/>
      <c r="D1014" s="50"/>
      <c r="E1014" s="50"/>
      <c r="F1014" s="50"/>
      <c r="G1014" s="55"/>
      <c r="H1014" s="55"/>
      <c r="I1014" s="53"/>
      <c r="J1014" s="87"/>
      <c r="K1014" s="87"/>
      <c r="L1014" s="52"/>
      <c r="M1014" s="53"/>
      <c r="N1014" s="50"/>
      <c r="O1014" s="50"/>
      <c r="P1014" s="50"/>
      <c r="Q1014" s="55"/>
      <c r="R1014" s="55"/>
      <c r="S1014" s="53"/>
      <c r="T1014" s="50"/>
      <c r="U1014" s="50"/>
      <c r="V1014" s="56"/>
      <c r="W1014" s="50"/>
      <c r="X1014" s="50"/>
      <c r="Y1014" s="56"/>
      <c r="Z1014" s="56"/>
      <c r="AA1014" s="56"/>
      <c r="AB1014" s="56"/>
      <c r="AC1014" s="56"/>
      <c r="AD1014" s="56"/>
    </row>
    <row x14ac:dyDescent="0.25" r="1015" customHeight="1" ht="18.75">
      <c r="A1015" s="56"/>
      <c r="B1015" s="56"/>
      <c r="C1015" s="50"/>
      <c r="D1015" s="50"/>
      <c r="E1015" s="50"/>
      <c r="F1015" s="50"/>
      <c r="G1015" s="55"/>
      <c r="H1015" s="55"/>
      <c r="I1015" s="53"/>
      <c r="J1015" s="87"/>
      <c r="K1015" s="87"/>
      <c r="L1015" s="52"/>
      <c r="M1015" s="53"/>
      <c r="N1015" s="50"/>
      <c r="O1015" s="50"/>
      <c r="P1015" s="50"/>
      <c r="Q1015" s="55"/>
      <c r="R1015" s="55"/>
      <c r="S1015" s="53"/>
      <c r="T1015" s="50"/>
      <c r="U1015" s="50"/>
      <c r="V1015" s="56"/>
      <c r="W1015" s="50"/>
      <c r="X1015" s="50"/>
      <c r="Y1015" s="56"/>
      <c r="Z1015" s="56"/>
      <c r="AA1015" s="56"/>
      <c r="AB1015" s="56"/>
      <c r="AC1015" s="56"/>
      <c r="AD1015" s="56"/>
    </row>
    <row x14ac:dyDescent="0.25" r="1016" customHeight="1" ht="18.75">
      <c r="A1016" s="56"/>
      <c r="B1016" s="56"/>
      <c r="C1016" s="50"/>
      <c r="D1016" s="50"/>
      <c r="E1016" s="50"/>
      <c r="F1016" s="50"/>
      <c r="G1016" s="55"/>
      <c r="H1016" s="55"/>
      <c r="I1016" s="53"/>
      <c r="J1016" s="87"/>
      <c r="K1016" s="87"/>
      <c r="L1016" s="52"/>
      <c r="M1016" s="53"/>
      <c r="N1016" s="50"/>
      <c r="O1016" s="50"/>
      <c r="P1016" s="50"/>
      <c r="Q1016" s="55"/>
      <c r="R1016" s="55"/>
      <c r="S1016" s="53"/>
      <c r="T1016" s="50"/>
      <c r="U1016" s="50"/>
      <c r="V1016" s="56"/>
      <c r="W1016" s="50"/>
      <c r="X1016" s="50"/>
      <c r="Y1016" s="56"/>
      <c r="Z1016" s="56"/>
      <c r="AA1016" s="56"/>
      <c r="AB1016" s="56"/>
      <c r="AC1016" s="56"/>
      <c r="AD1016" s="56"/>
    </row>
    <row x14ac:dyDescent="0.25" r="1017" customHeight="1" ht="18.75">
      <c r="A1017" s="56"/>
      <c r="B1017" s="56"/>
      <c r="C1017" s="50"/>
      <c r="D1017" s="50"/>
      <c r="E1017" s="50"/>
      <c r="F1017" s="50"/>
      <c r="G1017" s="55"/>
      <c r="H1017" s="55"/>
      <c r="I1017" s="53"/>
      <c r="J1017" s="87"/>
      <c r="K1017" s="87"/>
      <c r="L1017" s="52"/>
      <c r="M1017" s="53"/>
      <c r="N1017" s="50"/>
      <c r="O1017" s="50"/>
      <c r="P1017" s="50"/>
      <c r="Q1017" s="55"/>
      <c r="R1017" s="55"/>
      <c r="S1017" s="53"/>
      <c r="T1017" s="50"/>
      <c r="U1017" s="50"/>
      <c r="V1017" s="56"/>
      <c r="W1017" s="50"/>
      <c r="X1017" s="50"/>
      <c r="Y1017" s="56"/>
      <c r="Z1017" s="56"/>
      <c r="AA1017" s="56"/>
      <c r="AB1017" s="56"/>
      <c r="AC1017" s="56"/>
      <c r="AD1017" s="56"/>
    </row>
    <row x14ac:dyDescent="0.25" r="1018" customHeight="1" ht="18.75">
      <c r="A1018" s="56"/>
      <c r="B1018" s="56"/>
      <c r="C1018" s="50"/>
      <c r="D1018" s="50"/>
      <c r="E1018" s="50"/>
      <c r="F1018" s="50"/>
      <c r="G1018" s="55"/>
      <c r="H1018" s="55"/>
      <c r="I1018" s="53"/>
      <c r="J1018" s="87"/>
      <c r="K1018" s="87"/>
      <c r="L1018" s="52"/>
      <c r="M1018" s="53"/>
      <c r="N1018" s="50"/>
      <c r="O1018" s="50"/>
      <c r="P1018" s="50"/>
      <c r="Q1018" s="55"/>
      <c r="R1018" s="55"/>
      <c r="S1018" s="53"/>
      <c r="T1018" s="50"/>
      <c r="U1018" s="50"/>
      <c r="V1018" s="56"/>
      <c r="W1018" s="50"/>
      <c r="X1018" s="50"/>
      <c r="Y1018" s="56"/>
      <c r="Z1018" s="56"/>
      <c r="AA1018" s="56"/>
      <c r="AB1018" s="56"/>
      <c r="AC1018" s="56"/>
      <c r="AD1018" s="56"/>
    </row>
    <row x14ac:dyDescent="0.25" r="1019" customHeight="1" ht="18.75">
      <c r="A1019" s="56"/>
      <c r="B1019" s="56"/>
      <c r="C1019" s="50"/>
      <c r="D1019" s="50"/>
      <c r="E1019" s="50"/>
      <c r="F1019" s="50"/>
      <c r="G1019" s="55"/>
      <c r="H1019" s="55"/>
      <c r="I1019" s="53"/>
      <c r="J1019" s="87"/>
      <c r="K1019" s="87"/>
      <c r="L1019" s="52"/>
      <c r="M1019" s="53"/>
      <c r="N1019" s="50"/>
      <c r="O1019" s="50"/>
      <c r="P1019" s="50"/>
      <c r="Q1019" s="55"/>
      <c r="R1019" s="55"/>
      <c r="S1019" s="53"/>
      <c r="T1019" s="50"/>
      <c r="U1019" s="50"/>
      <c r="V1019" s="56"/>
      <c r="W1019" s="50"/>
      <c r="X1019" s="50"/>
      <c r="Y1019" s="56"/>
      <c r="Z1019" s="56"/>
      <c r="AA1019" s="56"/>
      <c r="AB1019" s="56"/>
      <c r="AC1019" s="56"/>
      <c r="AD1019" s="56"/>
    </row>
    <row x14ac:dyDescent="0.25" r="1020" customHeight="1" ht="18.75">
      <c r="A1020" s="56"/>
      <c r="B1020" s="56"/>
      <c r="C1020" s="50"/>
      <c r="D1020" s="50"/>
      <c r="E1020" s="50"/>
      <c r="F1020" s="50"/>
      <c r="G1020" s="55"/>
      <c r="H1020" s="55"/>
      <c r="I1020" s="53"/>
      <c r="J1020" s="87"/>
      <c r="K1020" s="87"/>
      <c r="L1020" s="52"/>
      <c r="M1020" s="53"/>
      <c r="N1020" s="50"/>
      <c r="O1020" s="50"/>
      <c r="P1020" s="50"/>
      <c r="Q1020" s="55"/>
      <c r="R1020" s="55"/>
      <c r="S1020" s="53"/>
      <c r="T1020" s="50"/>
      <c r="U1020" s="50"/>
      <c r="V1020" s="56"/>
      <c r="W1020" s="50"/>
      <c r="X1020" s="50"/>
      <c r="Y1020" s="56"/>
      <c r="Z1020" s="56"/>
      <c r="AA1020" s="56"/>
      <c r="AB1020" s="56"/>
      <c r="AC1020" s="56"/>
      <c r="AD1020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2" width="15.147857142857141" customWidth="1" bestFit="1"/>
    <col min="2" max="2" style="39" width="12.147857142857141" customWidth="1" bestFit="1"/>
    <col min="3" max="3" style="39" width="6.862142857142857" customWidth="1" bestFit="1"/>
    <col min="4" max="4" style="39" width="6.862142857142857" customWidth="1" bestFit="1"/>
    <col min="5" max="5" style="39" width="6.862142857142857" customWidth="1" bestFit="1"/>
    <col min="6" max="6" style="40" width="10.43357142857143" customWidth="1" bestFit="1"/>
    <col min="7" max="7" style="11" width="9.43357142857143" customWidth="1" bestFit="1"/>
    <col min="8" max="8" style="41" width="9.147857142857141" customWidth="1" bestFit="1"/>
    <col min="9" max="9" style="42" width="9.147857142857141" customWidth="1" bestFit="1"/>
    <col min="10" max="10" style="39" width="9.147857142857141" customWidth="1" bestFit="1"/>
    <col min="11" max="11" style="39" width="16.005" customWidth="1" bestFit="1"/>
    <col min="12" max="12" style="39" width="9.147857142857141" customWidth="1" bestFit="1"/>
    <col min="13" max="13" style="40" width="13.290714285714287" customWidth="1" bestFit="1"/>
    <col min="14" max="14" style="40" width="12.862142857142858" customWidth="1" bestFit="1"/>
    <col min="15" max="15" style="42" width="11.005" customWidth="1" bestFit="1"/>
    <col min="16" max="16" style="39" width="14.290714285714287" customWidth="1" bestFit="1"/>
    <col min="17" max="17" style="39" width="9.147857142857141" customWidth="1" bestFit="1"/>
    <col min="18" max="18" style="12" width="29.14785714285714" customWidth="1" bestFit="1"/>
    <col min="19" max="19" style="12" width="6.862142857142857" customWidth="1" bestFit="1"/>
    <col min="20" max="20" style="12" width="6.862142857142857" customWidth="1" bestFit="1"/>
    <col min="21" max="21" style="12" width="6.862142857142857" customWidth="1" bestFit="1"/>
    <col min="22" max="22" style="12" width="6.862142857142857" customWidth="1" bestFit="1"/>
    <col min="23" max="23" style="12" width="6.862142857142857" customWidth="1" bestFit="1"/>
    <col min="24" max="24" style="12" width="6.862142857142857" customWidth="1" bestFit="1"/>
    <col min="25" max="25" style="12" width="6.862142857142857" customWidth="1" bestFit="1"/>
    <col min="26" max="26" style="12" width="6.862142857142857" customWidth="1" bestFit="1"/>
  </cols>
  <sheetData>
    <row x14ac:dyDescent="0.25" r="1" customHeight="1" ht="18.75">
      <c r="A1" s="14"/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5" t="s">
        <v>6</v>
      </c>
      <c r="H1" s="16" t="s">
        <v>7</v>
      </c>
      <c r="I1" s="17" t="s">
        <v>8</v>
      </c>
      <c r="J1" s="14" t="s">
        <v>146</v>
      </c>
      <c r="K1" s="14" t="s">
        <v>147</v>
      </c>
      <c r="L1" s="14" t="s">
        <v>148</v>
      </c>
      <c r="M1" s="15" t="s">
        <v>149</v>
      </c>
      <c r="N1" s="15" t="s">
        <v>150</v>
      </c>
      <c r="O1" s="17" t="s">
        <v>9</v>
      </c>
      <c r="P1" s="14" t="s">
        <v>10</v>
      </c>
      <c r="Q1" s="14" t="s">
        <v>151</v>
      </c>
      <c r="R1" s="14" t="s">
        <v>11</v>
      </c>
      <c r="S1" s="14"/>
      <c r="T1" s="14"/>
      <c r="U1" s="14"/>
      <c r="V1" s="14"/>
      <c r="W1" s="14"/>
      <c r="X1" s="14"/>
      <c r="Y1" s="14"/>
      <c r="Z1" s="14"/>
    </row>
    <row x14ac:dyDescent="0.25" r="2" customHeight="1" ht="18.75">
      <c r="A2" s="9" t="s">
        <v>152</v>
      </c>
      <c r="B2" s="18" t="s">
        <v>16</v>
      </c>
      <c r="C2" s="9" t="s">
        <v>153</v>
      </c>
      <c r="D2" s="9" t="s">
        <v>154</v>
      </c>
      <c r="E2" s="18" t="s">
        <v>154</v>
      </c>
      <c r="F2" s="19">
        <v>10000000</v>
      </c>
      <c r="G2" s="20"/>
      <c r="H2" s="21">
        <v>46122</v>
      </c>
      <c r="I2" s="22">
        <f>IF(H2&gt;0,EDATE(H2,-2),"")</f>
        <v>25569.375</v>
      </c>
      <c r="J2" s="18" t="s">
        <v>155</v>
      </c>
      <c r="K2" s="18" t="s">
        <v>156</v>
      </c>
      <c r="L2" s="23">
        <f>IF(E774&gt;0,E774,"")</f>
      </c>
      <c r="M2" s="19" t="s">
        <v>157</v>
      </c>
      <c r="N2" s="19">
        <v>40079533</v>
      </c>
      <c r="O2" s="22">
        <f>IF(ISNUMBER(I2), EDATE(I2,36)-1, "")</f>
        <v>25569.375</v>
      </c>
      <c r="P2" s="9"/>
      <c r="Q2" s="9"/>
      <c r="R2" s="9" t="s">
        <v>158</v>
      </c>
      <c r="S2" s="9"/>
      <c r="T2" s="9"/>
      <c r="U2" s="9"/>
      <c r="V2" s="9"/>
      <c r="W2" s="9"/>
      <c r="X2" s="9"/>
      <c r="Y2" s="9"/>
      <c r="Z2" s="9"/>
    </row>
    <row x14ac:dyDescent="0.25" r="3" customHeight="1" ht="18.75">
      <c r="A3" s="9" t="s">
        <v>152</v>
      </c>
      <c r="B3" s="18" t="s">
        <v>16</v>
      </c>
      <c r="C3" s="18"/>
      <c r="D3" s="18"/>
      <c r="E3" s="18" t="s">
        <v>154</v>
      </c>
      <c r="F3" s="20">
        <v>20000000</v>
      </c>
      <c r="G3" s="20">
        <v>1528000</v>
      </c>
      <c r="H3" s="21">
        <v>46156</v>
      </c>
      <c r="I3" s="22">
        <f>IF(N893&gt;0,_xludf.IFS(N893=10000000,800000,N893=20000000,1528000,N893=30000000,2028000,N893=30000000,4056000),"")</f>
        <v>25569.375</v>
      </c>
      <c r="J3" s="18" t="s">
        <v>155</v>
      </c>
      <c r="K3" s="18" t="s">
        <v>156</v>
      </c>
      <c r="L3" s="23">
        <f>IF(E3&gt;0,E3,"")</f>
      </c>
      <c r="M3" s="19" t="s">
        <v>157</v>
      </c>
      <c r="N3" s="19">
        <v>40079533</v>
      </c>
      <c r="O3" s="22">
        <f>IF(ISNUMBER(I3), EDATE(I3,36)-1, "")</f>
        <v>25569.375</v>
      </c>
      <c r="P3" s="18"/>
      <c r="Q3" s="18"/>
      <c r="R3" s="9" t="s">
        <v>159</v>
      </c>
      <c r="S3" s="9"/>
      <c r="T3" s="9"/>
      <c r="U3" s="9"/>
      <c r="V3" s="9"/>
      <c r="W3" s="9"/>
      <c r="X3" s="9"/>
      <c r="Y3" s="9"/>
      <c r="Z3" s="9"/>
    </row>
    <row x14ac:dyDescent="0.25" r="4" customHeight="1" ht="18.75">
      <c r="A4" s="9"/>
      <c r="B4" s="18" t="s">
        <v>16</v>
      </c>
      <c r="C4" s="9"/>
      <c r="D4" s="9"/>
      <c r="E4" s="18" t="s">
        <v>160</v>
      </c>
      <c r="F4" s="19">
        <v>10000000</v>
      </c>
      <c r="G4" s="20">
        <v>800000</v>
      </c>
      <c r="H4" s="21">
        <v>46190</v>
      </c>
      <c r="I4" s="22">
        <f>IF(N894&gt;0,_xludf.IFS(N894=10000000,800000,N894=20000000,1528000,N894=30000000,2028000,N894=30000000,4056000),"")</f>
        <v>25569.375</v>
      </c>
      <c r="J4" s="18" t="s">
        <v>161</v>
      </c>
      <c r="K4" s="18" t="s">
        <v>162</v>
      </c>
      <c r="L4" s="18" t="s">
        <v>160</v>
      </c>
      <c r="M4" s="19" t="s">
        <v>163</v>
      </c>
      <c r="N4" s="19" t="s">
        <v>164</v>
      </c>
      <c r="O4" s="22">
        <f>IF(ISNUMBER(I4), EDATE(I4,36)-1, "")</f>
        <v>25569.375</v>
      </c>
      <c r="P4" s="9" t="s">
        <v>165</v>
      </c>
      <c r="Q4" s="9" t="s">
        <v>166</v>
      </c>
      <c r="R4" s="9"/>
      <c r="S4" s="9"/>
      <c r="T4" s="9"/>
      <c r="U4" s="9"/>
      <c r="V4" s="9"/>
      <c r="W4" s="9"/>
      <c r="X4" s="9"/>
      <c r="Y4" s="9"/>
      <c r="Z4" s="9"/>
    </row>
    <row x14ac:dyDescent="0.25" r="5" customHeight="1" ht="18.75">
      <c r="A5" s="9"/>
      <c r="B5" s="18" t="s">
        <v>16</v>
      </c>
      <c r="C5" s="9"/>
      <c r="D5" s="9"/>
      <c r="E5" s="18" t="s">
        <v>167</v>
      </c>
      <c r="F5" s="19">
        <v>20000000</v>
      </c>
      <c r="G5" s="20">
        <v>1528000</v>
      </c>
      <c r="H5" s="21">
        <v>46081</v>
      </c>
      <c r="I5" s="22">
        <f>IF(N895&gt;0,_xludf.IFS(N895=10000000,800000,N895=20000000,1528000,N895=30000000,2028000,N895=30000000,4056000),"")</f>
        <v>25569.375</v>
      </c>
      <c r="J5" s="18" t="s">
        <v>168</v>
      </c>
      <c r="K5" s="18" t="s">
        <v>169</v>
      </c>
      <c r="L5" s="18" t="s">
        <v>167</v>
      </c>
      <c r="M5" s="19" t="s">
        <v>170</v>
      </c>
      <c r="N5" s="19" t="s">
        <v>171</v>
      </c>
      <c r="O5" s="22">
        <f>IF(ISNUMBER(I5), EDATE(I5,36)-1, "")</f>
        <v>25569.375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x14ac:dyDescent="0.25" r="6" customHeight="1" ht="18.75">
      <c r="A6" s="9"/>
      <c r="B6" s="18" t="s">
        <v>16</v>
      </c>
      <c r="C6" s="9" t="s">
        <v>80</v>
      </c>
      <c r="D6" s="9" t="s">
        <v>172</v>
      </c>
      <c r="E6" s="18" t="s">
        <v>173</v>
      </c>
      <c r="F6" s="19">
        <v>20000000</v>
      </c>
      <c r="G6" s="20">
        <v>1528000</v>
      </c>
      <c r="H6" s="21">
        <v>46190</v>
      </c>
      <c r="I6" s="22">
        <f>IF(N896&gt;0,_xludf.IFS(N896=10000000,800000,N896=20000000,1528000,N896=30000000,2028000,N896=30000000,4056000),"")</f>
        <v>25569.375</v>
      </c>
      <c r="J6" s="18" t="s">
        <v>174</v>
      </c>
      <c r="K6" s="18" t="s">
        <v>175</v>
      </c>
      <c r="L6" s="18" t="s">
        <v>173</v>
      </c>
      <c r="M6" s="19" t="s">
        <v>176</v>
      </c>
      <c r="N6" s="19" t="s">
        <v>177</v>
      </c>
      <c r="O6" s="22">
        <f>IF(ISNUMBER(I6), EDATE(I6,36)-1, "")</f>
        <v>25569.375</v>
      </c>
      <c r="P6" s="9" t="s">
        <v>178</v>
      </c>
      <c r="Q6" s="9" t="s">
        <v>179</v>
      </c>
      <c r="R6" s="9" t="s">
        <v>180</v>
      </c>
      <c r="S6" s="9"/>
      <c r="T6" s="9"/>
      <c r="U6" s="9"/>
      <c r="V6" s="9"/>
      <c r="W6" s="9"/>
      <c r="X6" s="9"/>
      <c r="Y6" s="9"/>
      <c r="Z6" s="9"/>
    </row>
    <row x14ac:dyDescent="0.25" r="7" customHeight="1" ht="18.75">
      <c r="A7" s="9"/>
      <c r="B7" s="18" t="s">
        <v>16</v>
      </c>
      <c r="C7" s="9"/>
      <c r="D7" s="9"/>
      <c r="E7" s="18" t="s">
        <v>181</v>
      </c>
      <c r="F7" s="19">
        <v>10000000</v>
      </c>
      <c r="G7" s="20">
        <v>800000</v>
      </c>
      <c r="H7" s="21">
        <v>46133</v>
      </c>
      <c r="I7" s="22">
        <f>IF(N897&gt;0,_xludf.IFS(N897=10000000,800000,N897=20000000,1528000,N897=30000000,2028000,N897=30000000,4056000),"")</f>
        <v>25569.375</v>
      </c>
      <c r="J7" s="18" t="s">
        <v>182</v>
      </c>
      <c r="K7" s="18" t="s">
        <v>183</v>
      </c>
      <c r="L7" s="18" t="s">
        <v>181</v>
      </c>
      <c r="M7" s="19" t="s">
        <v>184</v>
      </c>
      <c r="N7" s="19" t="s">
        <v>185</v>
      </c>
      <c r="O7" s="22">
        <f>IF(ISNUMBER(I7), EDATE(I7,36)-1, "")</f>
        <v>25569.375</v>
      </c>
      <c r="P7" s="9" t="s">
        <v>186</v>
      </c>
      <c r="Q7" s="9" t="s">
        <v>166</v>
      </c>
      <c r="R7" s="9"/>
      <c r="S7" s="9"/>
      <c r="T7" s="9"/>
      <c r="U7" s="9"/>
      <c r="V7" s="9"/>
      <c r="W7" s="9"/>
      <c r="X7" s="9"/>
      <c r="Y7" s="9"/>
      <c r="Z7" s="9"/>
    </row>
    <row x14ac:dyDescent="0.25" r="8" customHeight="1" ht="18.75">
      <c r="A8" s="9"/>
      <c r="B8" s="18" t="s">
        <v>16</v>
      </c>
      <c r="C8" s="9" t="s">
        <v>143</v>
      </c>
      <c r="D8" s="9" t="s">
        <v>22</v>
      </c>
      <c r="E8" s="18" t="s">
        <v>187</v>
      </c>
      <c r="F8" s="19">
        <v>30000000</v>
      </c>
      <c r="G8" s="20">
        <v>2028000</v>
      </c>
      <c r="H8" s="21">
        <v>46150</v>
      </c>
      <c r="I8" s="22">
        <f>IF(N898&gt;0,_xludf.IFS(N898=10000000,800000,N898=20000000,1528000,N898=30000000,2028000,N898=30000000,4056000),"")</f>
        <v>25569.375</v>
      </c>
      <c r="J8" s="18" t="s">
        <v>168</v>
      </c>
      <c r="K8" s="18" t="s">
        <v>188</v>
      </c>
      <c r="L8" s="18" t="s">
        <v>187</v>
      </c>
      <c r="M8" s="19" t="s">
        <v>189</v>
      </c>
      <c r="N8" s="19" t="s">
        <v>190</v>
      </c>
      <c r="O8" s="22">
        <f>IF(ISNUMBER(I8), EDATE(I8,36)-1, "")</f>
        <v>25569.375</v>
      </c>
      <c r="P8" s="9" t="s">
        <v>191</v>
      </c>
      <c r="Q8" s="9" t="s">
        <v>166</v>
      </c>
      <c r="R8" s="9" t="s">
        <v>192</v>
      </c>
      <c r="S8" s="9"/>
      <c r="T8" s="9"/>
      <c r="U8" s="9"/>
      <c r="V8" s="9"/>
      <c r="W8" s="9"/>
      <c r="X8" s="9"/>
      <c r="Y8" s="9"/>
      <c r="Z8" s="9"/>
    </row>
    <row x14ac:dyDescent="0.25" r="9" customHeight="1" ht="18.75">
      <c r="A9" s="9" t="s">
        <v>152</v>
      </c>
      <c r="B9" s="18" t="s">
        <v>16</v>
      </c>
      <c r="C9" s="9"/>
      <c r="D9" s="9" t="s">
        <v>126</v>
      </c>
      <c r="E9" s="18" t="s">
        <v>193</v>
      </c>
      <c r="F9" s="19">
        <v>20000000</v>
      </c>
      <c r="G9" s="20"/>
      <c r="H9" s="21">
        <v>46058</v>
      </c>
      <c r="I9" s="22">
        <f>IF(N899&gt;0,_xludf.IFS(N899=10000000,800000,N899=20000000,1528000,N899=30000000,2028000,N899=30000000,4056000),"")</f>
        <v>25569.375</v>
      </c>
      <c r="J9" s="18" t="s">
        <v>168</v>
      </c>
      <c r="K9" s="18" t="s">
        <v>194</v>
      </c>
      <c r="L9" s="23">
        <f>IF(E719&gt;0,E719,"")</f>
      </c>
      <c r="M9" s="19" t="s">
        <v>195</v>
      </c>
      <c r="N9" s="19">
        <v>32404004</v>
      </c>
      <c r="O9" s="22">
        <f>IF(ISNUMBER(I9), EDATE(I9,36)-1, "")</f>
        <v>25569.375</v>
      </c>
      <c r="P9" s="9"/>
      <c r="Q9" s="9"/>
      <c r="R9" s="9" t="s">
        <v>196</v>
      </c>
      <c r="S9" s="9"/>
      <c r="T9" s="9"/>
      <c r="U9" s="9"/>
      <c r="V9" s="9"/>
      <c r="W9" s="9"/>
      <c r="X9" s="9"/>
      <c r="Y9" s="9"/>
      <c r="Z9" s="9"/>
    </row>
    <row x14ac:dyDescent="0.25" r="10" customHeight="1" ht="18.75">
      <c r="A10" s="9"/>
      <c r="B10" s="18" t="s">
        <v>16</v>
      </c>
      <c r="C10" s="9"/>
      <c r="D10" s="9"/>
      <c r="E10" s="18" t="s">
        <v>197</v>
      </c>
      <c r="F10" s="19">
        <v>10000000</v>
      </c>
      <c r="G10" s="20">
        <v>800000</v>
      </c>
      <c r="H10" s="21">
        <v>46176</v>
      </c>
      <c r="I10" s="22">
        <f>IF(N900&gt;0,_xludf.IFS(N900=10000000,800000,N900=20000000,1528000,N900=30000000,2028000,N900=30000000,4056000),"")</f>
        <v>25569.375</v>
      </c>
      <c r="J10" s="18" t="s">
        <v>161</v>
      </c>
      <c r="K10" s="18" t="s">
        <v>198</v>
      </c>
      <c r="L10" s="18" t="s">
        <v>197</v>
      </c>
      <c r="M10" s="19" t="s">
        <v>199</v>
      </c>
      <c r="N10" s="19" t="s">
        <v>200</v>
      </c>
      <c r="O10" s="22">
        <f>IF(ISNUMBER(I10), EDATE(I10,36)-1, "")</f>
        <v>25569.375</v>
      </c>
      <c r="P10" s="9" t="s">
        <v>201</v>
      </c>
      <c r="Q10" s="9" t="s">
        <v>179</v>
      </c>
      <c r="R10" s="9"/>
      <c r="S10" s="9"/>
      <c r="T10" s="9"/>
      <c r="U10" s="9"/>
      <c r="V10" s="9"/>
      <c r="W10" s="9"/>
      <c r="X10" s="9"/>
      <c r="Y10" s="9"/>
      <c r="Z10" s="9"/>
    </row>
    <row x14ac:dyDescent="0.25" r="11" customHeight="1" ht="18.75">
      <c r="A11" s="9"/>
      <c r="B11" s="18" t="s">
        <v>16</v>
      </c>
      <c r="C11" s="9" t="s">
        <v>202</v>
      </c>
      <c r="D11" s="9" t="s">
        <v>203</v>
      </c>
      <c r="E11" s="18" t="s">
        <v>204</v>
      </c>
      <c r="F11" s="19">
        <v>60000000</v>
      </c>
      <c r="G11" s="20">
        <v>4056000</v>
      </c>
      <c r="H11" s="21">
        <v>45952</v>
      </c>
      <c r="I11" s="22">
        <f>IF(N901&gt;0,_xludf.IFS(N901=10000000,800000,N901=20000000,1528000,N901=30000000,2028000,N901=30000000,4056000),"")</f>
        <v>25569.375</v>
      </c>
      <c r="J11" s="18" t="s">
        <v>205</v>
      </c>
      <c r="K11" s="18" t="s">
        <v>206</v>
      </c>
      <c r="L11" s="18" t="s">
        <v>204</v>
      </c>
      <c r="M11" s="19" t="s">
        <v>207</v>
      </c>
      <c r="N11" s="19" t="s">
        <v>208</v>
      </c>
      <c r="O11" s="22">
        <f>IF(ISNUMBER(I11), EDATE(I11,36)-1, "")</f>
        <v>25569.375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x14ac:dyDescent="0.25" r="12" customHeight="1" ht="18.75">
      <c r="A12" s="9"/>
      <c r="B12" s="18" t="s">
        <v>16</v>
      </c>
      <c r="C12" s="9" t="s">
        <v>202</v>
      </c>
      <c r="D12" s="9" t="s">
        <v>203</v>
      </c>
      <c r="E12" s="18" t="s">
        <v>204</v>
      </c>
      <c r="F12" s="19">
        <v>60000000</v>
      </c>
      <c r="G12" s="20">
        <v>4056000</v>
      </c>
      <c r="H12" s="21">
        <v>45977</v>
      </c>
      <c r="I12" s="22">
        <f>IF(N902&gt;0,_xludf.IFS(N902=10000000,800000,N902=20000000,1528000,N902=30000000,2028000,N902=30000000,4056000),"")</f>
        <v>25569.375</v>
      </c>
      <c r="J12" s="18" t="s">
        <v>205</v>
      </c>
      <c r="K12" s="18" t="s">
        <v>206</v>
      </c>
      <c r="L12" s="18" t="s">
        <v>204</v>
      </c>
      <c r="M12" s="19" t="s">
        <v>209</v>
      </c>
      <c r="N12" s="19" t="s">
        <v>210</v>
      </c>
      <c r="O12" s="22">
        <f>IF(ISNUMBER(I12), EDATE(I12,36)-1, "")</f>
        <v>25569.375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x14ac:dyDescent="0.25" r="13" customHeight="1" ht="18.75">
      <c r="A13" s="9"/>
      <c r="B13" s="18" t="s">
        <v>16</v>
      </c>
      <c r="C13" s="9"/>
      <c r="D13" s="9"/>
      <c r="E13" s="18" t="s">
        <v>211</v>
      </c>
      <c r="F13" s="19">
        <v>60000000</v>
      </c>
      <c r="G13" s="20">
        <v>4056000</v>
      </c>
      <c r="H13" s="21">
        <v>46046</v>
      </c>
      <c r="I13" s="22">
        <f>IF(N903&gt;0,_xludf.IFS(N903=10000000,800000,N903=20000000,1528000,N903=30000000,2028000,N903=30000000,4056000),"")</f>
        <v>25569.375</v>
      </c>
      <c r="J13" s="18" t="s">
        <v>212</v>
      </c>
      <c r="K13" s="18" t="s">
        <v>213</v>
      </c>
      <c r="L13" s="18" t="s">
        <v>211</v>
      </c>
      <c r="M13" s="19" t="s">
        <v>214</v>
      </c>
      <c r="N13" s="19" t="s">
        <v>215</v>
      </c>
      <c r="O13" s="22">
        <f>IF(ISNUMBER(I13), EDATE(I13,36)-1, "")</f>
        <v>25569.375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x14ac:dyDescent="0.25" r="14" customHeight="1" ht="18.75">
      <c r="A14" s="9" t="s">
        <v>216</v>
      </c>
      <c r="B14" s="18" t="s">
        <v>113</v>
      </c>
      <c r="C14" s="9"/>
      <c r="D14" s="9"/>
      <c r="E14" s="18" t="s">
        <v>14</v>
      </c>
      <c r="F14" s="19">
        <v>60000000</v>
      </c>
      <c r="G14" s="20"/>
      <c r="H14" s="21">
        <v>45657</v>
      </c>
      <c r="I14" s="22">
        <f>IF(N904&gt;0,_xludf.IFS(N904=10000000,800000,N904=20000000,1528000,N904=30000000,2028000,N904=30000000,4056000),"")</f>
        <v>25569.375</v>
      </c>
      <c r="J14" s="18" t="s">
        <v>217</v>
      </c>
      <c r="K14" s="18" t="s">
        <v>218</v>
      </c>
      <c r="L14" s="18" t="s">
        <v>14</v>
      </c>
      <c r="M14" s="19" t="s">
        <v>219</v>
      </c>
      <c r="N14" s="19" t="s">
        <v>220</v>
      </c>
      <c r="O14" s="22">
        <f>IF(ISNUMBER(I14), EDATE(I14,36)-1, "")</f>
        <v>25569.375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x14ac:dyDescent="0.25" r="15" customHeight="1" ht="18.75">
      <c r="A15" s="9"/>
      <c r="B15" s="18" t="s">
        <v>13</v>
      </c>
      <c r="C15" s="9"/>
      <c r="D15" s="9"/>
      <c r="E15" s="18" t="s">
        <v>14</v>
      </c>
      <c r="F15" s="19">
        <v>10000000</v>
      </c>
      <c r="G15" s="20">
        <v>900000</v>
      </c>
      <c r="H15" s="21">
        <v>45784</v>
      </c>
      <c r="I15" s="22">
        <f>IF(N905&gt;0,_xludf.IFS(N905=10000000,800000,N905=20000000,1528000,N905=30000000,2028000,N905=30000000,4056000),"")</f>
        <v>25569.375</v>
      </c>
      <c r="J15" s="18" t="s">
        <v>217</v>
      </c>
      <c r="K15" s="18" t="s">
        <v>218</v>
      </c>
      <c r="L15" s="18" t="s">
        <v>14</v>
      </c>
      <c r="M15" s="19" t="s">
        <v>221</v>
      </c>
      <c r="N15" s="19" t="s">
        <v>220</v>
      </c>
      <c r="O15" s="22">
        <f>IF(ISNUMBER(I15), EDATE(I15,36)-1, "")</f>
        <v>25569.375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x14ac:dyDescent="0.25" r="16" customHeight="1" ht="18.75">
      <c r="A16" s="9"/>
      <c r="B16" s="18" t="s">
        <v>16</v>
      </c>
      <c r="C16" s="9"/>
      <c r="D16" s="9"/>
      <c r="E16" s="18" t="s">
        <v>14</v>
      </c>
      <c r="F16" s="19">
        <v>60000000</v>
      </c>
      <c r="G16" s="20">
        <v>4800000</v>
      </c>
      <c r="H16" s="21">
        <v>45901</v>
      </c>
      <c r="I16" s="22">
        <f>IF(N906&gt;0,_xludf.IFS(N906=10000000,800000,N906=20000000,1528000,N906=30000000,2028000,N906=30000000,4056000),"")</f>
        <v>25569.375</v>
      </c>
      <c r="J16" s="18" t="s">
        <v>222</v>
      </c>
      <c r="K16" s="18" t="s">
        <v>223</v>
      </c>
      <c r="L16" s="18" t="s">
        <v>14</v>
      </c>
      <c r="M16" s="19" t="s">
        <v>221</v>
      </c>
      <c r="N16" s="19" t="s">
        <v>220</v>
      </c>
      <c r="O16" s="22">
        <f>IF(ISNUMBER(I16), EDATE(I16,36)-1, "")</f>
        <v>25569.375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x14ac:dyDescent="0.25" r="17" customHeight="1" ht="18.75">
      <c r="A17" s="9" t="s">
        <v>152</v>
      </c>
      <c r="B17" s="18" t="s">
        <v>16</v>
      </c>
      <c r="C17" s="9"/>
      <c r="D17" s="9"/>
      <c r="E17" s="18" t="s">
        <v>14</v>
      </c>
      <c r="F17" s="19">
        <v>30000000</v>
      </c>
      <c r="G17" s="20">
        <v>2400000</v>
      </c>
      <c r="H17" s="21">
        <v>46149</v>
      </c>
      <c r="I17" s="22">
        <f>IF(N907&gt;0,_xludf.IFS(N907=10000000,800000,N907=20000000,1528000,N907=30000000,2028000,N907=30000000,4056000),"")</f>
        <v>25569.375</v>
      </c>
      <c r="J17" s="18" t="s">
        <v>222</v>
      </c>
      <c r="K17" s="18" t="s">
        <v>223</v>
      </c>
      <c r="L17" s="18" t="s">
        <v>14</v>
      </c>
      <c r="M17" s="19" t="s">
        <v>221</v>
      </c>
      <c r="N17" s="19" t="s">
        <v>220</v>
      </c>
      <c r="O17" s="22">
        <f>IF(ISNUMBER(I17), EDATE(I17,36)-1, "")</f>
        <v>25569.375</v>
      </c>
      <c r="P17" s="9"/>
      <c r="Q17" s="9"/>
      <c r="R17" s="9" t="s">
        <v>17</v>
      </c>
      <c r="S17" s="9"/>
      <c r="T17" s="9"/>
      <c r="U17" s="9"/>
      <c r="V17" s="9"/>
      <c r="W17" s="9"/>
      <c r="X17" s="9"/>
      <c r="Y17" s="9"/>
      <c r="Z17" s="9"/>
    </row>
    <row x14ac:dyDescent="0.25" r="18" customHeight="1" ht="18.75">
      <c r="A18" s="9"/>
      <c r="B18" s="18" t="s">
        <v>16</v>
      </c>
      <c r="C18" s="9"/>
      <c r="D18" s="9"/>
      <c r="E18" s="18" t="s">
        <v>224</v>
      </c>
      <c r="F18" s="19">
        <v>50000000</v>
      </c>
      <c r="G18" s="20">
        <v>2400000</v>
      </c>
      <c r="H18" s="21">
        <v>45911</v>
      </c>
      <c r="I18" s="22">
        <f>IF(N908&gt;0,_xludf.IFS(N908=10000000,800000,N908=20000000,1528000,N908=30000000,2028000,N908=30000000,4056000),"")</f>
        <v>25569.375</v>
      </c>
      <c r="J18" s="18" t="s">
        <v>225</v>
      </c>
      <c r="K18" s="18" t="s">
        <v>226</v>
      </c>
      <c r="L18" s="18" t="s">
        <v>224</v>
      </c>
      <c r="M18" s="19" t="s">
        <v>227</v>
      </c>
      <c r="N18" s="19" t="s">
        <v>228</v>
      </c>
      <c r="O18" s="22">
        <f>IF(ISNUMBER(I18), EDATE(I18,36)-1, "")</f>
        <v>25569.375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x14ac:dyDescent="0.25" r="19" customHeight="1" ht="18.75">
      <c r="A19" s="9"/>
      <c r="B19" s="18" t="s">
        <v>16</v>
      </c>
      <c r="C19" s="9"/>
      <c r="D19" s="9"/>
      <c r="E19" s="18" t="s">
        <v>229</v>
      </c>
      <c r="F19" s="19">
        <v>20000000</v>
      </c>
      <c r="G19" s="20">
        <v>1528000</v>
      </c>
      <c r="H19" s="21">
        <v>46081</v>
      </c>
      <c r="I19" s="22">
        <f>IF(N909&gt;0,_xludf.IFS(N909=10000000,800000,N909=20000000,1528000,N909=30000000,2028000,N909=30000000,4056000),"")</f>
        <v>25569.375</v>
      </c>
      <c r="J19" s="18" t="s">
        <v>217</v>
      </c>
      <c r="K19" s="18" t="s">
        <v>230</v>
      </c>
      <c r="L19" s="18" t="s">
        <v>229</v>
      </c>
      <c r="M19" s="19" t="s">
        <v>231</v>
      </c>
      <c r="N19" s="19" t="s">
        <v>232</v>
      </c>
      <c r="O19" s="22">
        <f>IF(ISNUMBER(I19), EDATE(I19,36)-1, "")</f>
        <v>25569.375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x14ac:dyDescent="0.25" r="20" customHeight="1" ht="18.75">
      <c r="A20" s="9"/>
      <c r="B20" s="18" t="s">
        <v>16</v>
      </c>
      <c r="C20" s="9"/>
      <c r="D20" s="9"/>
      <c r="E20" s="18" t="s">
        <v>233</v>
      </c>
      <c r="F20" s="19">
        <v>10000000</v>
      </c>
      <c r="G20" s="20">
        <v>800000</v>
      </c>
      <c r="H20" s="21">
        <v>46103</v>
      </c>
      <c r="I20" s="22">
        <f>IF(N910&gt;0,_xludf.IFS(N910=10000000,800000,N910=20000000,1528000,N910=30000000,2028000,N910=30000000,4056000),"")</f>
        <v>25569.375</v>
      </c>
      <c r="J20" s="18" t="s">
        <v>234</v>
      </c>
      <c r="K20" s="18" t="s">
        <v>235</v>
      </c>
      <c r="L20" s="18" t="s">
        <v>233</v>
      </c>
      <c r="M20" s="19" t="s">
        <v>236</v>
      </c>
      <c r="N20" s="19">
        <v>86020733</v>
      </c>
      <c r="O20" s="22">
        <f>IF(ISNUMBER(I20), EDATE(I20,36)-1, "")</f>
        <v>25569.375</v>
      </c>
      <c r="P20" s="9"/>
      <c r="Q20" s="9"/>
      <c r="R20" s="9" t="s">
        <v>237</v>
      </c>
      <c r="S20" s="9"/>
      <c r="T20" s="9"/>
      <c r="U20" s="9"/>
      <c r="V20" s="9"/>
      <c r="W20" s="9"/>
      <c r="X20" s="9"/>
      <c r="Y20" s="9"/>
      <c r="Z20" s="9"/>
    </row>
    <row x14ac:dyDescent="0.25" r="21" customHeight="1" ht="18.75">
      <c r="A21" s="9"/>
      <c r="B21" s="18" t="s">
        <v>16</v>
      </c>
      <c r="C21" s="9"/>
      <c r="D21" s="9"/>
      <c r="E21" s="18" t="s">
        <v>238</v>
      </c>
      <c r="F21" s="19">
        <v>10000000</v>
      </c>
      <c r="G21" s="20">
        <v>800000</v>
      </c>
      <c r="H21" s="21">
        <v>46145</v>
      </c>
      <c r="I21" s="22">
        <f>IF(N911&gt;0,_xludf.IFS(N911=10000000,800000,N911=20000000,1528000,N911=30000000,2028000,N911=30000000,4056000),"")</f>
        <v>25569.375</v>
      </c>
      <c r="J21" s="18" t="s">
        <v>239</v>
      </c>
      <c r="K21" s="18" t="s">
        <v>240</v>
      </c>
      <c r="L21" s="18" t="s">
        <v>238</v>
      </c>
      <c r="M21" s="19" t="s">
        <v>241</v>
      </c>
      <c r="N21" s="19" t="s">
        <v>242</v>
      </c>
      <c r="O21" s="22">
        <f>IF(ISNUMBER(I21), EDATE(I21,36)-1, "")</f>
        <v>25569.375</v>
      </c>
      <c r="P21" s="9" t="s">
        <v>243</v>
      </c>
      <c r="Q21" s="9" t="s">
        <v>166</v>
      </c>
      <c r="R21" s="9"/>
      <c r="S21" s="9"/>
      <c r="T21" s="9"/>
      <c r="U21" s="9"/>
      <c r="V21" s="9"/>
      <c r="W21" s="9"/>
      <c r="X21" s="9"/>
      <c r="Y21" s="9"/>
      <c r="Z21" s="9"/>
    </row>
    <row x14ac:dyDescent="0.25" r="22" customHeight="1" ht="18.75">
      <c r="A22" s="9"/>
      <c r="B22" s="18" t="s">
        <v>16</v>
      </c>
      <c r="C22" s="9"/>
      <c r="D22" s="9"/>
      <c r="E22" s="18" t="s">
        <v>244</v>
      </c>
      <c r="F22" s="19">
        <v>10000000</v>
      </c>
      <c r="G22" s="20">
        <v>800000</v>
      </c>
      <c r="H22" s="21">
        <v>45957</v>
      </c>
      <c r="I22" s="22">
        <f>IF(N912&gt;0,_xludf.IFS(N912=10000000,800000,N912=20000000,1528000,N912=30000000,2028000,N912=30000000,4056000),"")</f>
        <v>25569.375</v>
      </c>
      <c r="J22" s="18" t="s">
        <v>212</v>
      </c>
      <c r="K22" s="18" t="s">
        <v>245</v>
      </c>
      <c r="L22" s="18" t="s">
        <v>244</v>
      </c>
      <c r="M22" s="19" t="s">
        <v>246</v>
      </c>
      <c r="N22" s="19" t="s">
        <v>247</v>
      </c>
      <c r="O22" s="22">
        <f>IF(ISNUMBER(I22), EDATE(I22,36)-1, "")</f>
        <v>25569.375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x14ac:dyDescent="0.25" r="23" customHeight="1" ht="18.75">
      <c r="A23" s="9"/>
      <c r="B23" s="18" t="s">
        <v>16</v>
      </c>
      <c r="C23" s="9"/>
      <c r="D23" s="9" t="s">
        <v>244</v>
      </c>
      <c r="E23" s="18" t="s">
        <v>248</v>
      </c>
      <c r="F23" s="19">
        <v>10000000</v>
      </c>
      <c r="G23" s="20">
        <v>800000</v>
      </c>
      <c r="H23" s="21">
        <v>46144</v>
      </c>
      <c r="I23" s="22">
        <f>IF(N913&gt;0,_xludf.IFS(N913=10000000,800000,N913=20000000,1528000,N913=30000000,2028000,N913=30000000,4056000),"")</f>
        <v>25569.375</v>
      </c>
      <c r="J23" s="18" t="s">
        <v>212</v>
      </c>
      <c r="K23" s="18" t="s">
        <v>249</v>
      </c>
      <c r="L23" s="18" t="s">
        <v>248</v>
      </c>
      <c r="M23" s="19" t="s">
        <v>250</v>
      </c>
      <c r="N23" s="19" t="s">
        <v>247</v>
      </c>
      <c r="O23" s="22">
        <f>IF(ISNUMBER(I23), EDATE(I23,36)-1, "")</f>
        <v>25569.375</v>
      </c>
      <c r="P23" s="9" t="s">
        <v>251</v>
      </c>
      <c r="Q23" s="9" t="s">
        <v>166</v>
      </c>
      <c r="R23" s="9"/>
      <c r="S23" s="9"/>
      <c r="T23" s="9"/>
      <c r="U23" s="9"/>
      <c r="V23" s="9"/>
      <c r="W23" s="9"/>
      <c r="X23" s="9"/>
      <c r="Y23" s="9"/>
      <c r="Z23" s="9"/>
    </row>
    <row x14ac:dyDescent="0.25" r="24" customHeight="1" ht="18.75">
      <c r="A24" s="9" t="s">
        <v>252</v>
      </c>
      <c r="B24" s="18" t="s">
        <v>16</v>
      </c>
      <c r="C24" s="9" t="s">
        <v>88</v>
      </c>
      <c r="D24" s="9" t="s">
        <v>14</v>
      </c>
      <c r="E24" s="18" t="s">
        <v>253</v>
      </c>
      <c r="F24" s="19">
        <v>30000000</v>
      </c>
      <c r="G24" s="20">
        <v>2028000</v>
      </c>
      <c r="H24" s="21">
        <v>46065</v>
      </c>
      <c r="I24" s="22">
        <f>IF(N914&gt;0,_xludf.IFS(N914=10000000,800000,N914=20000000,1528000,N914=30000000,2028000,N914=30000000,4056000),"")</f>
        <v>25569.375</v>
      </c>
      <c r="J24" s="18" t="s">
        <v>155</v>
      </c>
      <c r="K24" s="18" t="s">
        <v>254</v>
      </c>
      <c r="L24" s="18" t="s">
        <v>255</v>
      </c>
      <c r="M24" s="19" t="s">
        <v>256</v>
      </c>
      <c r="N24" s="19" t="s">
        <v>257</v>
      </c>
      <c r="O24" s="22">
        <f>IF(ISNUMBER(I24), EDATE(I24,36)-1, "")</f>
        <v>25569.375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x14ac:dyDescent="0.25" r="25" customHeight="1" ht="18.75">
      <c r="A25" s="9"/>
      <c r="B25" s="18" t="s">
        <v>16</v>
      </c>
      <c r="C25" s="9" t="s">
        <v>88</v>
      </c>
      <c r="D25" s="9" t="s">
        <v>14</v>
      </c>
      <c r="E25" s="18" t="s">
        <v>253</v>
      </c>
      <c r="F25" s="19">
        <v>120000000</v>
      </c>
      <c r="G25" s="20">
        <v>9600000</v>
      </c>
      <c r="H25" s="21">
        <v>45969</v>
      </c>
      <c r="I25" s="22">
        <f>IF(N915&gt;0,_xludf.IFS(N915=10000000,800000,N915=20000000,1528000,N915=30000000,2028000,N915=30000000,4056000),"")</f>
        <v>25569.375</v>
      </c>
      <c r="J25" s="18" t="s">
        <v>155</v>
      </c>
      <c r="K25" s="18" t="s">
        <v>258</v>
      </c>
      <c r="L25" s="23">
        <f>IF(E721&gt;0,E721,"")</f>
      </c>
      <c r="M25" s="19" t="s">
        <v>256</v>
      </c>
      <c r="N25" s="19">
        <v>37595831</v>
      </c>
      <c r="O25" s="22">
        <f>IF(ISNUMBER(I25), EDATE(I25,36)-1, "")</f>
        <v>25569.375</v>
      </c>
      <c r="P25" s="9"/>
      <c r="Q25" s="9"/>
      <c r="R25" s="9" t="s">
        <v>259</v>
      </c>
      <c r="S25" s="9"/>
      <c r="T25" s="9"/>
      <c r="U25" s="9"/>
      <c r="V25" s="9"/>
      <c r="W25" s="9"/>
      <c r="X25" s="9"/>
      <c r="Y25" s="9"/>
      <c r="Z25" s="9"/>
    </row>
    <row x14ac:dyDescent="0.25" r="26" customHeight="1" ht="18.75">
      <c r="A26" s="9"/>
      <c r="B26" s="18" t="s">
        <v>16</v>
      </c>
      <c r="C26" s="9"/>
      <c r="D26" s="9"/>
      <c r="E26" s="18" t="s">
        <v>260</v>
      </c>
      <c r="F26" s="19">
        <v>10000000</v>
      </c>
      <c r="G26" s="20">
        <v>800000</v>
      </c>
      <c r="H26" s="21">
        <v>46130</v>
      </c>
      <c r="I26" s="22">
        <f>IF(N916&gt;0,_xludf.IFS(N916=10000000,800000,N916=20000000,1528000,N916=30000000,2028000,N916=30000000,4056000),"")</f>
        <v>25569.375</v>
      </c>
      <c r="J26" s="18" t="s">
        <v>261</v>
      </c>
      <c r="K26" s="18" t="s">
        <v>262</v>
      </c>
      <c r="L26" s="18" t="s">
        <v>260</v>
      </c>
      <c r="M26" s="19" t="s">
        <v>263</v>
      </c>
      <c r="N26" s="19" t="s">
        <v>264</v>
      </c>
      <c r="O26" s="22">
        <f>IF(ISNUMBER(I26), EDATE(I26,36)-1, "")</f>
        <v>25569.375</v>
      </c>
      <c r="P26" s="9" t="s">
        <v>265</v>
      </c>
      <c r="Q26" s="9" t="s">
        <v>166</v>
      </c>
      <c r="R26" s="9"/>
      <c r="S26" s="9"/>
      <c r="T26" s="9"/>
      <c r="U26" s="9"/>
      <c r="V26" s="9"/>
      <c r="W26" s="9"/>
      <c r="X26" s="9"/>
      <c r="Y26" s="9"/>
      <c r="Z26" s="9"/>
    </row>
    <row x14ac:dyDescent="0.25" r="27" customHeight="1" ht="18.75">
      <c r="A27" s="9"/>
      <c r="B27" s="18" t="s">
        <v>16</v>
      </c>
      <c r="C27" s="9" t="s">
        <v>55</v>
      </c>
      <c r="D27" s="9" t="s">
        <v>56</v>
      </c>
      <c r="E27" s="18" t="s">
        <v>266</v>
      </c>
      <c r="F27" s="19">
        <v>60000000</v>
      </c>
      <c r="G27" s="20">
        <v>4056000</v>
      </c>
      <c r="H27" s="21">
        <v>46122</v>
      </c>
      <c r="I27" s="22">
        <f>IF(N917&gt;0,_xludf.IFS(N917=10000000,800000,N917=20000000,1528000,N917=30000000,2028000,N917=30000000,4056000),"")</f>
        <v>25569.375</v>
      </c>
      <c r="J27" s="18" t="s">
        <v>205</v>
      </c>
      <c r="K27" s="18" t="s">
        <v>267</v>
      </c>
      <c r="L27" s="18" t="s">
        <v>266</v>
      </c>
      <c r="M27" s="19" t="s">
        <v>268</v>
      </c>
      <c r="N27" s="19" t="s">
        <v>269</v>
      </c>
      <c r="O27" s="22">
        <f>IF(ISNUMBER(I27), EDATE(I27,36)-1, "")</f>
        <v>25569.375</v>
      </c>
      <c r="P27" s="9" t="s">
        <v>270</v>
      </c>
      <c r="Q27" s="9" t="s">
        <v>166</v>
      </c>
      <c r="R27" s="9"/>
      <c r="S27" s="9"/>
      <c r="T27" s="9"/>
      <c r="U27" s="9"/>
      <c r="V27" s="9"/>
      <c r="W27" s="9"/>
      <c r="X27" s="9"/>
      <c r="Y27" s="9"/>
      <c r="Z27" s="9"/>
    </row>
    <row x14ac:dyDescent="0.25" r="28" customHeight="1" ht="18.75">
      <c r="A28" s="9"/>
      <c r="B28" s="18" t="s">
        <v>16</v>
      </c>
      <c r="C28" s="9"/>
      <c r="D28" s="9"/>
      <c r="E28" s="18" t="s">
        <v>271</v>
      </c>
      <c r="F28" s="19">
        <v>20000000</v>
      </c>
      <c r="G28" s="20">
        <v>1528000</v>
      </c>
      <c r="H28" s="21">
        <v>46195</v>
      </c>
      <c r="I28" s="22">
        <f>IF(N918&gt;0,_xludf.IFS(N918=10000000,800000,N918=20000000,1528000,N918=30000000,2028000,N918=30000000,4056000),"")</f>
        <v>25569.375</v>
      </c>
      <c r="J28" s="18" t="s">
        <v>217</v>
      </c>
      <c r="K28" s="18" t="s">
        <v>272</v>
      </c>
      <c r="L28" s="18" t="s">
        <v>271</v>
      </c>
      <c r="M28" s="19" t="s">
        <v>273</v>
      </c>
      <c r="N28" s="19" t="s">
        <v>274</v>
      </c>
      <c r="O28" s="22">
        <f>IF(ISNUMBER(I28), EDATE(I28,36)-1, "")</f>
        <v>25569.375</v>
      </c>
      <c r="P28" s="9"/>
      <c r="Q28" s="9" t="s">
        <v>166</v>
      </c>
      <c r="R28" s="9"/>
      <c r="S28" s="9"/>
      <c r="T28" s="9"/>
      <c r="U28" s="9"/>
      <c r="V28" s="9"/>
      <c r="W28" s="9"/>
      <c r="X28" s="9"/>
      <c r="Y28" s="9"/>
      <c r="Z28" s="9"/>
    </row>
    <row x14ac:dyDescent="0.25" r="29" customHeight="1" ht="19.5">
      <c r="A29" s="24" t="s">
        <v>275</v>
      </c>
      <c r="B29" s="25" t="s">
        <v>16</v>
      </c>
      <c r="C29" s="24" t="s">
        <v>153</v>
      </c>
      <c r="D29" s="24" t="s">
        <v>276</v>
      </c>
      <c r="E29" s="25" t="s">
        <v>277</v>
      </c>
      <c r="F29" s="26">
        <v>10000000</v>
      </c>
      <c r="G29" s="27"/>
      <c r="H29" s="28">
        <v>46170</v>
      </c>
      <c r="I29" s="29">
        <f>IF(N919&gt;0,_xludf.IFS(N919=10000000,800000,N919=20000000,1528000,N919=30000000,2028000,N919=30000000,4056000),"")</f>
        <v>25569.375</v>
      </c>
      <c r="J29" s="25" t="s">
        <v>239</v>
      </c>
      <c r="K29" s="25" t="s">
        <v>278</v>
      </c>
      <c r="L29" s="30">
        <f>IF(E725&gt;0,E725,"")</f>
      </c>
      <c r="M29" s="26" t="s">
        <v>279</v>
      </c>
      <c r="N29" s="26">
        <v>95803367</v>
      </c>
      <c r="O29" s="29">
        <f>IF(ISNUMBER(I29), EDATE(I29,36)-1, "")</f>
        <v>25569.375</v>
      </c>
      <c r="P29" s="24"/>
      <c r="Q29" s="24"/>
      <c r="R29" s="24" t="s">
        <v>280</v>
      </c>
      <c r="S29" s="9"/>
      <c r="T29" s="9"/>
      <c r="U29" s="9"/>
      <c r="V29" s="9"/>
      <c r="W29" s="9"/>
      <c r="X29" s="9"/>
      <c r="Y29" s="9"/>
      <c r="Z29" s="9"/>
    </row>
    <row x14ac:dyDescent="0.25" r="30" customHeight="1" ht="18.75">
      <c r="A30" s="9"/>
      <c r="B30" s="18" t="s">
        <v>16</v>
      </c>
      <c r="C30" s="9" t="s">
        <v>153</v>
      </c>
      <c r="D30" s="9" t="s">
        <v>154</v>
      </c>
      <c r="E30" s="18" t="s">
        <v>281</v>
      </c>
      <c r="F30" s="19">
        <v>10000000</v>
      </c>
      <c r="G30" s="20">
        <v>800000</v>
      </c>
      <c r="H30" s="21">
        <v>46122</v>
      </c>
      <c r="I30" s="22">
        <f>IF(N920&gt;0,_xludf.IFS(N920=10000000,800000,N920=20000000,1528000,N920=30000000,2028000,N920=30000000,4056000),"")</f>
        <v>25569.375</v>
      </c>
      <c r="J30" s="18" t="s">
        <v>282</v>
      </c>
      <c r="K30" s="18" t="s">
        <v>283</v>
      </c>
      <c r="L30" s="18" t="s">
        <v>281</v>
      </c>
      <c r="M30" s="19" t="s">
        <v>284</v>
      </c>
      <c r="N30" s="19" t="s">
        <v>285</v>
      </c>
      <c r="O30" s="22">
        <f>IF(ISNUMBER(I30), EDATE(I30,36)-1, "")</f>
        <v>25569.375</v>
      </c>
      <c r="P30" s="9" t="s">
        <v>286</v>
      </c>
      <c r="Q30" s="9" t="s">
        <v>166</v>
      </c>
      <c r="R30" s="9"/>
      <c r="S30" s="9"/>
      <c r="T30" s="9"/>
      <c r="U30" s="9"/>
      <c r="V30" s="9"/>
      <c r="W30" s="9"/>
      <c r="X30" s="9"/>
      <c r="Y30" s="9"/>
      <c r="Z30" s="9"/>
    </row>
    <row x14ac:dyDescent="0.25" r="31" customHeight="1" ht="18.75">
      <c r="A31" s="9"/>
      <c r="B31" s="18" t="s">
        <v>16</v>
      </c>
      <c r="C31" s="9" t="s">
        <v>153</v>
      </c>
      <c r="D31" s="9" t="s">
        <v>154</v>
      </c>
      <c r="E31" s="18" t="s">
        <v>281</v>
      </c>
      <c r="F31" s="19">
        <v>10000000</v>
      </c>
      <c r="G31" s="20">
        <v>800000</v>
      </c>
      <c r="H31" s="21">
        <v>46156</v>
      </c>
      <c r="I31" s="22">
        <f>IF(N921&gt;0,_xludf.IFS(N921=10000000,800000,N921=20000000,1528000,N921=30000000,2028000,N921=30000000,4056000),"")</f>
        <v>25569.375</v>
      </c>
      <c r="J31" s="18" t="s">
        <v>168</v>
      </c>
      <c r="K31" s="18" t="s">
        <v>283</v>
      </c>
      <c r="L31" s="18" t="s">
        <v>281</v>
      </c>
      <c r="M31" s="19" t="s">
        <v>284</v>
      </c>
      <c r="N31" s="19" t="s">
        <v>285</v>
      </c>
      <c r="O31" s="22">
        <f>IF(ISNUMBER(I31), EDATE(I31,36)-1, "")</f>
        <v>25569.375</v>
      </c>
      <c r="P31" s="9" t="s">
        <v>287</v>
      </c>
      <c r="Q31" s="9" t="s">
        <v>166</v>
      </c>
      <c r="R31" s="9"/>
      <c r="S31" s="9"/>
      <c r="T31" s="9"/>
      <c r="U31" s="9"/>
      <c r="V31" s="9"/>
      <c r="W31" s="9"/>
      <c r="X31" s="9"/>
      <c r="Y31" s="9"/>
      <c r="Z31" s="9"/>
    </row>
    <row x14ac:dyDescent="0.25" r="32" customHeight="1" ht="18.75">
      <c r="A32" s="9"/>
      <c r="B32" s="18" t="s">
        <v>16</v>
      </c>
      <c r="C32" s="9"/>
      <c r="D32" s="9"/>
      <c r="E32" s="18" t="s">
        <v>288</v>
      </c>
      <c r="F32" s="19">
        <v>10000000</v>
      </c>
      <c r="G32" s="20">
        <v>800000</v>
      </c>
      <c r="H32" s="21">
        <v>46174</v>
      </c>
      <c r="I32" s="22">
        <f>IF(N922&gt;0,_xludf.IFS(N922=10000000,800000,N922=20000000,1528000,N922=30000000,2028000,N922=30000000,4056000),"")</f>
        <v>25569.375</v>
      </c>
      <c r="J32" s="18" t="s">
        <v>289</v>
      </c>
      <c r="K32" s="18" t="s">
        <v>290</v>
      </c>
      <c r="L32" s="18" t="s">
        <v>288</v>
      </c>
      <c r="M32" s="19" t="s">
        <v>291</v>
      </c>
      <c r="N32" s="19" t="s">
        <v>292</v>
      </c>
      <c r="O32" s="22">
        <f>IF(ISNUMBER(I32), EDATE(I32,36)-1, "")</f>
        <v>25569.375</v>
      </c>
      <c r="P32" s="9"/>
      <c r="Q32" s="9" t="s">
        <v>293</v>
      </c>
      <c r="R32" s="9"/>
      <c r="S32" s="9"/>
      <c r="T32" s="9"/>
      <c r="U32" s="9"/>
      <c r="V32" s="9"/>
      <c r="W32" s="9"/>
      <c r="X32" s="9"/>
      <c r="Y32" s="9"/>
      <c r="Z32" s="9"/>
    </row>
    <row x14ac:dyDescent="0.25" r="33" customHeight="1" ht="18.75">
      <c r="A33" s="9"/>
      <c r="B33" s="18" t="s">
        <v>16</v>
      </c>
      <c r="C33" s="9"/>
      <c r="D33" s="9"/>
      <c r="E33" s="18" t="s">
        <v>294</v>
      </c>
      <c r="F33" s="19">
        <v>30000000</v>
      </c>
      <c r="G33" s="20">
        <v>2028000</v>
      </c>
      <c r="H33" s="21">
        <v>46043</v>
      </c>
      <c r="I33" s="22">
        <f>IF(N923&gt;0,_xludf.IFS(N923=10000000,800000,N923=20000000,1528000,N923=30000000,2028000,N923=30000000,4056000),"")</f>
        <v>25569.375</v>
      </c>
      <c r="J33" s="18" t="s">
        <v>155</v>
      </c>
      <c r="K33" s="18" t="s">
        <v>295</v>
      </c>
      <c r="L33" s="18" t="s">
        <v>114</v>
      </c>
      <c r="M33" s="19" t="s">
        <v>296</v>
      </c>
      <c r="N33" s="19" t="s">
        <v>297</v>
      </c>
      <c r="O33" s="22">
        <f>IF(ISNUMBER(I33), EDATE(I33,36)-1, "")</f>
        <v>25569.375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x14ac:dyDescent="0.25" r="34" customHeight="1" ht="18.75">
      <c r="A34" s="9"/>
      <c r="B34" s="18" t="s">
        <v>13</v>
      </c>
      <c r="C34" s="9"/>
      <c r="D34" s="9"/>
      <c r="E34" s="18" t="s">
        <v>298</v>
      </c>
      <c r="F34" s="19">
        <v>60000000</v>
      </c>
      <c r="G34" s="20">
        <v>4800000</v>
      </c>
      <c r="H34" s="21">
        <v>45778</v>
      </c>
      <c r="I34" s="22">
        <f>IF(N924&gt;0,_xludf.IFS(N924=10000000,800000,N924=20000000,1528000,N924=30000000,2028000,N924=30000000,4056000),"")</f>
        <v>25569.375</v>
      </c>
      <c r="J34" s="18" t="s">
        <v>239</v>
      </c>
      <c r="K34" s="18" t="s">
        <v>299</v>
      </c>
      <c r="L34" s="18" t="s">
        <v>298</v>
      </c>
      <c r="M34" s="19" t="s">
        <v>300</v>
      </c>
      <c r="N34" s="19" t="s">
        <v>301</v>
      </c>
      <c r="O34" s="22">
        <f>IF(ISNUMBER(I34), EDATE(I34,36)-1, "")</f>
        <v>25569.375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x14ac:dyDescent="0.25" r="35" customHeight="1" ht="18.75">
      <c r="A35" s="9"/>
      <c r="B35" s="18" t="s">
        <v>16</v>
      </c>
      <c r="C35" s="9"/>
      <c r="D35" s="9"/>
      <c r="E35" s="18" t="s">
        <v>298</v>
      </c>
      <c r="F35" s="19">
        <v>60000000</v>
      </c>
      <c r="G35" s="20">
        <v>4800000</v>
      </c>
      <c r="H35" s="21">
        <v>45884</v>
      </c>
      <c r="I35" s="22">
        <f>IF(N925&gt;0,_xludf.IFS(N925=10000000,800000,N925=20000000,1528000,N925=30000000,2028000,N925=30000000,4056000),"")</f>
        <v>25569.375</v>
      </c>
      <c r="J35" s="18" t="s">
        <v>239</v>
      </c>
      <c r="K35" s="18" t="s">
        <v>299</v>
      </c>
      <c r="L35" s="18" t="s">
        <v>298</v>
      </c>
      <c r="M35" s="19" t="s">
        <v>300</v>
      </c>
      <c r="N35" s="19" t="s">
        <v>301</v>
      </c>
      <c r="O35" s="22">
        <f>IF(ISNUMBER(I35), EDATE(I35,36)-1, "")</f>
        <v>25569.375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x14ac:dyDescent="0.25" r="36" customHeight="1" ht="18.75">
      <c r="A36" s="9" t="s">
        <v>275</v>
      </c>
      <c r="B36" s="18" t="s">
        <v>16</v>
      </c>
      <c r="C36" s="9"/>
      <c r="D36" s="9"/>
      <c r="E36" s="18" t="s">
        <v>298</v>
      </c>
      <c r="F36" s="19">
        <v>60000000</v>
      </c>
      <c r="G36" s="20">
        <v>4800000</v>
      </c>
      <c r="H36" s="21">
        <v>45910</v>
      </c>
      <c r="I36" s="22">
        <f>IF(N926&gt;0,_xludf.IFS(N926=10000000,800000,N926=20000000,1528000,N926=30000000,2028000,N926=30000000,4056000),"")</f>
        <v>25569.375</v>
      </c>
      <c r="J36" s="18" t="s">
        <v>302</v>
      </c>
      <c r="K36" s="18" t="s">
        <v>303</v>
      </c>
      <c r="L36" s="18" t="s">
        <v>298</v>
      </c>
      <c r="M36" s="19" t="s">
        <v>300</v>
      </c>
      <c r="N36" s="19" t="s">
        <v>301</v>
      </c>
      <c r="O36" s="22">
        <f>IF(ISNUMBER(I36), EDATE(I36,36)-1, "")</f>
        <v>25569.375</v>
      </c>
      <c r="P36" s="9"/>
      <c r="Q36" s="9"/>
      <c r="R36" s="9" t="s">
        <v>304</v>
      </c>
      <c r="S36" s="9"/>
      <c r="T36" s="9"/>
      <c r="U36" s="9"/>
      <c r="V36" s="9"/>
      <c r="W36" s="9"/>
      <c r="X36" s="9"/>
      <c r="Y36" s="9"/>
      <c r="Z36" s="9"/>
    </row>
    <row x14ac:dyDescent="0.25" r="37" customHeight="1" ht="18.75">
      <c r="A37" s="9"/>
      <c r="B37" s="18" t="s">
        <v>16</v>
      </c>
      <c r="C37" s="9"/>
      <c r="D37" s="9"/>
      <c r="E37" s="18" t="s">
        <v>305</v>
      </c>
      <c r="F37" s="19">
        <v>20000000</v>
      </c>
      <c r="G37" s="20">
        <v>1528000</v>
      </c>
      <c r="H37" s="21">
        <v>46018</v>
      </c>
      <c r="I37" s="22">
        <f>IF(N927&gt;0,_xludf.IFS(N927=10000000,800000,N927=20000000,1528000,N927=30000000,2028000,N927=30000000,4056000),"")</f>
        <v>25569.375</v>
      </c>
      <c r="J37" s="18" t="s">
        <v>306</v>
      </c>
      <c r="K37" s="18" t="s">
        <v>307</v>
      </c>
      <c r="L37" s="18" t="s">
        <v>305</v>
      </c>
      <c r="M37" s="19" t="s">
        <v>308</v>
      </c>
      <c r="N37" s="19" t="s">
        <v>309</v>
      </c>
      <c r="O37" s="22">
        <f>IF(ISNUMBER(I37), EDATE(I37,36)-1, "")</f>
        <v>25569.375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x14ac:dyDescent="0.25" r="38" customHeight="1" ht="18.75">
      <c r="A38" s="9"/>
      <c r="B38" s="18" t="s">
        <v>16</v>
      </c>
      <c r="C38" s="9"/>
      <c r="D38" s="9"/>
      <c r="E38" s="18" t="s">
        <v>310</v>
      </c>
      <c r="F38" s="19">
        <v>20000000</v>
      </c>
      <c r="G38" s="20">
        <v>1528000</v>
      </c>
      <c r="H38" s="21">
        <v>46022</v>
      </c>
      <c r="I38" s="22">
        <f>IF(N928&gt;0,_xludf.IFS(N928=10000000,800000,N928=20000000,1528000,N928=30000000,2028000,N928=30000000,4056000),"")</f>
        <v>25569.375</v>
      </c>
      <c r="J38" s="18" t="s">
        <v>306</v>
      </c>
      <c r="K38" s="18" t="s">
        <v>311</v>
      </c>
      <c r="L38" s="18" t="s">
        <v>310</v>
      </c>
      <c r="M38" s="19" t="s">
        <v>312</v>
      </c>
      <c r="N38" s="19" t="s">
        <v>313</v>
      </c>
      <c r="O38" s="22">
        <f>IF(ISNUMBER(I38), EDATE(I38,36)-1, "")</f>
        <v>25569.375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x14ac:dyDescent="0.25" r="39" customHeight="1" ht="18.75">
      <c r="A39" s="9"/>
      <c r="B39" s="18" t="s">
        <v>16</v>
      </c>
      <c r="C39" s="9"/>
      <c r="D39" s="9"/>
      <c r="E39" s="18" t="s">
        <v>314</v>
      </c>
      <c r="F39" s="19">
        <v>30000000</v>
      </c>
      <c r="G39" s="20">
        <v>2028000</v>
      </c>
      <c r="H39" s="21">
        <v>46006</v>
      </c>
      <c r="I39" s="22">
        <f>IF(N929&gt;0,_xludf.IFS(N929=10000000,800000,N929=20000000,1528000,N929=30000000,2028000,N929=30000000,4056000),"")</f>
        <v>25569.375</v>
      </c>
      <c r="J39" s="18"/>
      <c r="K39" s="18" t="s">
        <v>315</v>
      </c>
      <c r="L39" s="18" t="s">
        <v>314</v>
      </c>
      <c r="M39" s="19" t="s">
        <v>316</v>
      </c>
      <c r="N39" s="19" t="s">
        <v>317</v>
      </c>
      <c r="O39" s="22">
        <f>IF(ISNUMBER(I39), EDATE(I39,36)-1, "")</f>
        <v>25569.375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x14ac:dyDescent="0.25" r="40" customHeight="1" ht="18.75">
      <c r="A40" s="9"/>
      <c r="B40" s="18" t="s">
        <v>16</v>
      </c>
      <c r="C40" s="9" t="s">
        <v>153</v>
      </c>
      <c r="D40" s="9" t="s">
        <v>318</v>
      </c>
      <c r="E40" s="18" t="s">
        <v>319</v>
      </c>
      <c r="F40" s="19">
        <v>10000000</v>
      </c>
      <c r="G40" s="20">
        <v>1200000</v>
      </c>
      <c r="H40" s="21">
        <v>46148</v>
      </c>
      <c r="I40" s="22">
        <f>IF(N930&gt;0,_xludf.IFS(N930=10000000,800000,N930=20000000,1528000,N930=30000000,2028000,N930=30000000,4056000),"")</f>
        <v>25569.375</v>
      </c>
      <c r="J40" s="18" t="s">
        <v>234</v>
      </c>
      <c r="K40" s="18" t="s">
        <v>320</v>
      </c>
      <c r="L40" s="18" t="s">
        <v>319</v>
      </c>
      <c r="M40" s="19" t="s">
        <v>321</v>
      </c>
      <c r="N40" s="19" t="s">
        <v>322</v>
      </c>
      <c r="O40" s="22">
        <f>IF(ISNUMBER(I40), EDATE(I40,36)-1, "")</f>
        <v>25569.375</v>
      </c>
      <c r="P40" s="9"/>
      <c r="Q40" s="9" t="s">
        <v>166</v>
      </c>
      <c r="R40" s="9" t="s">
        <v>323</v>
      </c>
      <c r="S40" s="9"/>
      <c r="T40" s="9"/>
      <c r="U40" s="9"/>
      <c r="V40" s="9"/>
      <c r="W40" s="9"/>
      <c r="X40" s="9"/>
      <c r="Y40" s="9"/>
      <c r="Z40" s="9"/>
    </row>
    <row x14ac:dyDescent="0.25" r="41" customHeight="1" ht="18.75">
      <c r="A41" s="9"/>
      <c r="B41" s="18" t="s">
        <v>16</v>
      </c>
      <c r="C41" s="9" t="s">
        <v>116</v>
      </c>
      <c r="D41" s="9" t="s">
        <v>117</v>
      </c>
      <c r="E41" s="18" t="s">
        <v>324</v>
      </c>
      <c r="F41" s="19">
        <v>10000000</v>
      </c>
      <c r="G41" s="20"/>
      <c r="H41" s="21">
        <v>46197</v>
      </c>
      <c r="I41" s="22">
        <f>IF(N931&gt;0,_xludf.IFS(N931=10000000,800000,N931=20000000,1528000,N931=30000000,2028000,N931=30000000,4056000),"")</f>
        <v>25569.375</v>
      </c>
      <c r="J41" s="18" t="s">
        <v>217</v>
      </c>
      <c r="K41" s="18" t="s">
        <v>325</v>
      </c>
      <c r="L41" s="23">
        <f>IF(E686&gt;0,E686,"")</f>
      </c>
      <c r="M41" s="19" t="s">
        <v>326</v>
      </c>
      <c r="N41" s="19">
        <v>22648295</v>
      </c>
      <c r="O41" s="22">
        <f>IF(ISNUMBER(I41), EDATE(I41,36)-1, "")</f>
        <v>25569.375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x14ac:dyDescent="0.25" r="42" customHeight="1" ht="18.75">
      <c r="A42" s="9"/>
      <c r="B42" s="18" t="s">
        <v>16</v>
      </c>
      <c r="C42" s="9"/>
      <c r="D42" s="9" t="s">
        <v>327</v>
      </c>
      <c r="E42" s="18" t="s">
        <v>328</v>
      </c>
      <c r="F42" s="19">
        <v>10000000</v>
      </c>
      <c r="G42" s="20">
        <v>800000</v>
      </c>
      <c r="H42" s="21">
        <v>46113</v>
      </c>
      <c r="I42" s="22">
        <f>IF(N932&gt;0,_xludf.IFS(N932=10000000,800000,N932=20000000,1528000,N932=30000000,2028000,N932=30000000,4056000),"")</f>
        <v>25569.375</v>
      </c>
      <c r="J42" s="18" t="s">
        <v>155</v>
      </c>
      <c r="K42" s="18" t="s">
        <v>329</v>
      </c>
      <c r="L42" s="18" t="s">
        <v>328</v>
      </c>
      <c r="M42" s="19" t="s">
        <v>330</v>
      </c>
      <c r="N42" s="19" t="s">
        <v>331</v>
      </c>
      <c r="O42" s="22">
        <f>IF(ISNUMBER(I42), EDATE(I42,36)-1, "")</f>
        <v>25569.375</v>
      </c>
      <c r="P42" s="9"/>
      <c r="Q42" s="9" t="s">
        <v>332</v>
      </c>
      <c r="R42" s="9" t="s">
        <v>333</v>
      </c>
      <c r="S42" s="9"/>
      <c r="T42" s="9"/>
      <c r="U42" s="9"/>
      <c r="V42" s="9"/>
      <c r="W42" s="9"/>
      <c r="X42" s="9"/>
      <c r="Y42" s="9"/>
      <c r="Z42" s="9"/>
    </row>
    <row x14ac:dyDescent="0.25" r="43" customHeight="1" ht="18.75">
      <c r="A43" s="9" t="s">
        <v>152</v>
      </c>
      <c r="B43" s="18" t="s">
        <v>16</v>
      </c>
      <c r="C43" s="9" t="s">
        <v>116</v>
      </c>
      <c r="D43" s="9" t="s">
        <v>117</v>
      </c>
      <c r="E43" s="18" t="s">
        <v>334</v>
      </c>
      <c r="F43" s="19">
        <v>10000000</v>
      </c>
      <c r="G43" s="20"/>
      <c r="H43" s="21">
        <v>46161</v>
      </c>
      <c r="I43" s="22">
        <f>IF(N933&gt;0,_xludf.IFS(N933=10000000,800000,N933=20000000,1528000,N933=30000000,2028000,N933=30000000,4056000),"")</f>
        <v>25569.375</v>
      </c>
      <c r="J43" s="18" t="s">
        <v>168</v>
      </c>
      <c r="K43" s="18" t="s">
        <v>335</v>
      </c>
      <c r="L43" s="23">
        <f>IF(E669&gt;0,E669,"")</f>
      </c>
      <c r="M43" s="19" t="s">
        <v>336</v>
      </c>
      <c r="N43" s="19">
        <v>27108234</v>
      </c>
      <c r="O43" s="22">
        <f>IF(ISNUMBER(I43), EDATE(I43,36)-1, "")</f>
        <v>25569.375</v>
      </c>
      <c r="P43" s="9"/>
      <c r="Q43" s="9"/>
      <c r="R43" s="9" t="s">
        <v>337</v>
      </c>
      <c r="S43" s="9"/>
      <c r="T43" s="9"/>
      <c r="U43" s="9"/>
      <c r="V43" s="9"/>
      <c r="W43" s="9"/>
      <c r="X43" s="9"/>
      <c r="Y43" s="9"/>
      <c r="Z43" s="9"/>
    </row>
    <row x14ac:dyDescent="0.25" r="44" customHeight="1" ht="18.75">
      <c r="A44" s="9"/>
      <c r="B44" s="18" t="s">
        <v>16</v>
      </c>
      <c r="C44" s="18" t="s">
        <v>116</v>
      </c>
      <c r="D44" s="18" t="s">
        <v>117</v>
      </c>
      <c r="E44" s="18" t="s">
        <v>334</v>
      </c>
      <c r="F44" s="20">
        <v>10000000</v>
      </c>
      <c r="G44" s="8">
        <f>IF(F44&gt;0,_xludf.IFS(F44=10000000,1200000,F44=20000000,1800000,F44=30000000,2400000,F44=60000000,4000000),"")</f>
      </c>
      <c r="H44" s="21">
        <v>46215</v>
      </c>
      <c r="I44" s="22">
        <f>IF(N934&gt;0,_xludf.IFS(N934=10000000,800000,N934=20000000,1528000,N934=30000000,2028000,N934=30000000,4056000),"")</f>
        <v>25569.375</v>
      </c>
      <c r="J44" s="18" t="s">
        <v>168</v>
      </c>
      <c r="K44" s="18" t="s">
        <v>335</v>
      </c>
      <c r="L44" s="23">
        <f>IF(E44&gt;0,E44,"")</f>
      </c>
      <c r="M44" s="19">
        <v>6806152380015</v>
      </c>
      <c r="N44" s="19">
        <v>27108234</v>
      </c>
      <c r="O44" s="22">
        <f>IF(ISNUMBER(I44), EDATE(I44,36)-1, "")</f>
        <v>25569.375</v>
      </c>
      <c r="P44" s="18"/>
      <c r="Q44" s="18"/>
      <c r="R44" s="9"/>
      <c r="S44" s="9"/>
      <c r="T44" s="9"/>
      <c r="U44" s="9"/>
      <c r="V44" s="9"/>
      <c r="W44" s="9"/>
      <c r="X44" s="9"/>
      <c r="Y44" s="9"/>
      <c r="Z44" s="9"/>
    </row>
    <row x14ac:dyDescent="0.25" r="45" customHeight="1" ht="18.75">
      <c r="A45" s="9"/>
      <c r="B45" s="18" t="s">
        <v>16</v>
      </c>
      <c r="C45" s="9"/>
      <c r="D45" s="9"/>
      <c r="E45" s="18" t="s">
        <v>338</v>
      </c>
      <c r="F45" s="19">
        <v>20000000</v>
      </c>
      <c r="G45" s="20">
        <v>1528000</v>
      </c>
      <c r="H45" s="21">
        <v>45971</v>
      </c>
      <c r="I45" s="22">
        <f>IF(N935&gt;0,_xludf.IFS(N935=10000000,800000,N935=20000000,1528000,N935=30000000,2028000,N935=30000000,4056000),"")</f>
        <v>25569.375</v>
      </c>
      <c r="J45" s="18" t="s">
        <v>155</v>
      </c>
      <c r="K45" s="18" t="s">
        <v>339</v>
      </c>
      <c r="L45" s="18" t="s">
        <v>338</v>
      </c>
      <c r="M45" s="19" t="s">
        <v>340</v>
      </c>
      <c r="N45" s="19" t="s">
        <v>341</v>
      </c>
      <c r="O45" s="22">
        <f>IF(ISNUMBER(I45), EDATE(I45,36)-1, "")</f>
        <v>25569.375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x14ac:dyDescent="0.25" r="46" customHeight="1" ht="18.75">
      <c r="A46" s="9"/>
      <c r="B46" s="18" t="s">
        <v>16</v>
      </c>
      <c r="C46" s="9"/>
      <c r="D46" s="9"/>
      <c r="E46" s="18" t="s">
        <v>342</v>
      </c>
      <c r="F46" s="19">
        <v>20000000</v>
      </c>
      <c r="G46" s="20"/>
      <c r="H46" s="21">
        <v>46185</v>
      </c>
      <c r="I46" s="22">
        <f>IF(N936&gt;0,_xludf.IFS(N936=10000000,800000,N936=20000000,1528000,N936=30000000,2028000,N936=30000000,4056000),"")</f>
        <v>25569.375</v>
      </c>
      <c r="J46" s="18" t="s">
        <v>239</v>
      </c>
      <c r="K46" s="18" t="s">
        <v>343</v>
      </c>
      <c r="L46" s="18" t="s">
        <v>342</v>
      </c>
      <c r="M46" s="19" t="s">
        <v>344</v>
      </c>
      <c r="N46" s="19" t="s">
        <v>345</v>
      </c>
      <c r="O46" s="22">
        <f>IF(ISNUMBER(I46), EDATE(I46,36)-1, "")</f>
        <v>25569.375</v>
      </c>
      <c r="P46" s="9" t="s">
        <v>346</v>
      </c>
      <c r="Q46" s="9" t="s">
        <v>166</v>
      </c>
      <c r="R46" s="9"/>
      <c r="S46" s="9"/>
      <c r="T46" s="9"/>
      <c r="U46" s="9"/>
      <c r="V46" s="9"/>
      <c r="W46" s="9"/>
      <c r="X46" s="9"/>
      <c r="Y46" s="9"/>
      <c r="Z46" s="9"/>
    </row>
    <row x14ac:dyDescent="0.25" r="47" customHeight="1" ht="18.75">
      <c r="A47" s="9" t="s">
        <v>347</v>
      </c>
      <c r="B47" s="18" t="s">
        <v>16</v>
      </c>
      <c r="C47" s="9"/>
      <c r="D47" s="9"/>
      <c r="E47" s="18" t="s">
        <v>348</v>
      </c>
      <c r="F47" s="19">
        <v>30000000</v>
      </c>
      <c r="G47" s="20">
        <v>2028000</v>
      </c>
      <c r="H47" s="21">
        <v>46158</v>
      </c>
      <c r="I47" s="22">
        <f>IF(N937&gt;0,_xludf.IFS(N937=10000000,800000,N937=20000000,1528000,N937=30000000,2028000,N937=30000000,4056000),"")</f>
        <v>25569.375</v>
      </c>
      <c r="J47" s="18" t="s">
        <v>212</v>
      </c>
      <c r="K47" s="18" t="s">
        <v>349</v>
      </c>
      <c r="L47" s="18" t="s">
        <v>348</v>
      </c>
      <c r="M47" s="19" t="s">
        <v>350</v>
      </c>
      <c r="N47" s="19" t="s">
        <v>351</v>
      </c>
      <c r="O47" s="22">
        <f>IF(ISNUMBER(I47), EDATE(I47,36)-1, "")</f>
        <v>25569.375</v>
      </c>
      <c r="P47" s="9"/>
      <c r="Q47" s="9" t="s">
        <v>166</v>
      </c>
      <c r="R47" s="9" t="s">
        <v>352</v>
      </c>
      <c r="S47" s="9"/>
      <c r="T47" s="9"/>
      <c r="U47" s="9"/>
      <c r="V47" s="9"/>
      <c r="W47" s="9"/>
      <c r="X47" s="9"/>
      <c r="Y47" s="9"/>
      <c r="Z47" s="9"/>
    </row>
    <row x14ac:dyDescent="0.25" r="48" customHeight="1" ht="18.75">
      <c r="A48" s="9"/>
      <c r="B48" s="18" t="s">
        <v>16</v>
      </c>
      <c r="C48" s="9"/>
      <c r="D48" s="9"/>
      <c r="E48" s="18" t="s">
        <v>353</v>
      </c>
      <c r="F48" s="19">
        <v>30000000</v>
      </c>
      <c r="G48" s="20">
        <v>2400000</v>
      </c>
      <c r="H48" s="21">
        <v>45907</v>
      </c>
      <c r="I48" s="22">
        <f>IF(N938&gt;0,_xludf.IFS(N938=10000000,800000,N938=20000000,1528000,N938=30000000,2028000,N938=30000000,4056000),"")</f>
        <v>25569.375</v>
      </c>
      <c r="J48" s="18" t="s">
        <v>168</v>
      </c>
      <c r="K48" s="18" t="s">
        <v>354</v>
      </c>
      <c r="L48" s="18" t="s">
        <v>353</v>
      </c>
      <c r="M48" s="19" t="s">
        <v>355</v>
      </c>
      <c r="N48" s="19" t="s">
        <v>356</v>
      </c>
      <c r="O48" s="22">
        <f>IF(ISNUMBER(I48), EDATE(I48,36)-1, "")</f>
        <v>25569.375</v>
      </c>
      <c r="P48" s="9"/>
      <c r="Q48" s="9" t="s">
        <v>293</v>
      </c>
      <c r="R48" s="9"/>
      <c r="S48" s="9"/>
      <c r="T48" s="9"/>
      <c r="U48" s="9"/>
      <c r="V48" s="9"/>
      <c r="W48" s="9"/>
      <c r="X48" s="9"/>
      <c r="Y48" s="9"/>
      <c r="Z48" s="9"/>
    </row>
    <row x14ac:dyDescent="0.25" r="49" customHeight="1" ht="18.75">
      <c r="A49" s="9"/>
      <c r="B49" s="18" t="s">
        <v>16</v>
      </c>
      <c r="C49" s="9"/>
      <c r="D49" s="9" t="s">
        <v>357</v>
      </c>
      <c r="E49" s="18" t="s">
        <v>358</v>
      </c>
      <c r="F49" s="19">
        <v>10000000</v>
      </c>
      <c r="G49" s="20">
        <v>800000</v>
      </c>
      <c r="H49" s="21">
        <v>46179</v>
      </c>
      <c r="I49" s="22">
        <f>IF(N939&gt;0,_xludf.IFS(N939=10000000,800000,N939=20000000,1528000,N939=30000000,2028000,N939=30000000,4056000),"")</f>
        <v>25569.375</v>
      </c>
      <c r="J49" s="18" t="s">
        <v>168</v>
      </c>
      <c r="K49" s="18" t="s">
        <v>359</v>
      </c>
      <c r="L49" s="18" t="s">
        <v>358</v>
      </c>
      <c r="M49" s="19" t="s">
        <v>360</v>
      </c>
      <c r="N49" s="19" t="s">
        <v>361</v>
      </c>
      <c r="O49" s="22">
        <f>IF(ISNUMBER(I49), EDATE(I49,36)-1, "")</f>
        <v>25569.375</v>
      </c>
      <c r="P49" s="9" t="s">
        <v>362</v>
      </c>
      <c r="Q49" s="9" t="s">
        <v>166</v>
      </c>
      <c r="R49" s="9"/>
      <c r="S49" s="9"/>
      <c r="T49" s="9"/>
      <c r="U49" s="9"/>
      <c r="V49" s="9"/>
      <c r="W49" s="9"/>
      <c r="X49" s="9"/>
      <c r="Y49" s="9"/>
      <c r="Z49" s="9"/>
    </row>
    <row x14ac:dyDescent="0.25" r="50" customHeight="1" ht="18.75">
      <c r="A50" s="9"/>
      <c r="B50" s="18" t="s">
        <v>16</v>
      </c>
      <c r="C50" s="9"/>
      <c r="D50" s="9"/>
      <c r="E50" s="18" t="s">
        <v>363</v>
      </c>
      <c r="F50" s="19">
        <v>30000000</v>
      </c>
      <c r="G50" s="20">
        <v>4056000</v>
      </c>
      <c r="H50" s="21">
        <v>46140</v>
      </c>
      <c r="I50" s="22">
        <f>IF(N940&gt;0,_xludf.IFS(N940=10000000,800000,N940=20000000,1528000,N940=30000000,2028000,N940=30000000,4056000),"")</f>
        <v>25569.375</v>
      </c>
      <c r="J50" s="18" t="s">
        <v>306</v>
      </c>
      <c r="K50" s="18" t="s">
        <v>364</v>
      </c>
      <c r="L50" s="18" t="s">
        <v>363</v>
      </c>
      <c r="M50" s="19" t="s">
        <v>365</v>
      </c>
      <c r="N50" s="19" t="s">
        <v>366</v>
      </c>
      <c r="O50" s="22">
        <f>IF(ISNUMBER(I50), EDATE(I50,36)-1, "")</f>
        <v>25569.375</v>
      </c>
      <c r="P50" s="9" t="s">
        <v>367</v>
      </c>
      <c r="Q50" s="9" t="s">
        <v>166</v>
      </c>
      <c r="R50" s="9"/>
      <c r="S50" s="9"/>
      <c r="T50" s="9"/>
      <c r="U50" s="9"/>
      <c r="V50" s="9"/>
      <c r="W50" s="9"/>
      <c r="X50" s="9"/>
      <c r="Y50" s="9"/>
      <c r="Z50" s="9"/>
    </row>
    <row x14ac:dyDescent="0.25" r="51" customHeight="1" ht="18.75">
      <c r="A51" s="9"/>
      <c r="B51" s="18" t="s">
        <v>16</v>
      </c>
      <c r="C51" s="9" t="s">
        <v>153</v>
      </c>
      <c r="D51" s="9"/>
      <c r="E51" s="18" t="s">
        <v>368</v>
      </c>
      <c r="F51" s="19">
        <v>30000000</v>
      </c>
      <c r="G51" s="20">
        <v>2028000</v>
      </c>
      <c r="H51" s="21">
        <v>46140</v>
      </c>
      <c r="I51" s="22">
        <f>IF(N941&gt;0,_xludf.IFS(N941=10000000,800000,N941=20000000,1528000,N941=30000000,2028000,N941=30000000,4056000),"")</f>
        <v>25569.375</v>
      </c>
      <c r="J51" s="18" t="s">
        <v>217</v>
      </c>
      <c r="K51" s="18" t="s">
        <v>369</v>
      </c>
      <c r="L51" s="18" t="s">
        <v>368</v>
      </c>
      <c r="M51" s="19" t="s">
        <v>370</v>
      </c>
      <c r="N51" s="19" t="s">
        <v>371</v>
      </c>
      <c r="O51" s="22">
        <f>IF(ISNUMBER(I51), EDATE(I51,36)-1, "")</f>
        <v>25569.375</v>
      </c>
      <c r="P51" s="9" t="s">
        <v>372</v>
      </c>
      <c r="Q51" s="9"/>
      <c r="R51" s="9"/>
      <c r="S51" s="9"/>
      <c r="T51" s="9"/>
      <c r="U51" s="9"/>
      <c r="V51" s="9"/>
      <c r="W51" s="9"/>
      <c r="X51" s="9"/>
      <c r="Y51" s="9"/>
      <c r="Z51" s="9"/>
    </row>
    <row x14ac:dyDescent="0.25" r="52" customHeight="1" ht="18.75">
      <c r="A52" s="9"/>
      <c r="B52" s="18" t="s">
        <v>16</v>
      </c>
      <c r="C52" s="9"/>
      <c r="D52" s="9"/>
      <c r="E52" s="18" t="s">
        <v>373</v>
      </c>
      <c r="F52" s="19">
        <v>10000000</v>
      </c>
      <c r="G52" s="20">
        <v>800000</v>
      </c>
      <c r="H52" s="21">
        <v>46116</v>
      </c>
      <c r="I52" s="22">
        <f>IF(N942&gt;0,_xludf.IFS(N942=10000000,800000,N942=20000000,1528000,N942=30000000,2028000,N942=30000000,4056000),"")</f>
        <v>25569.375</v>
      </c>
      <c r="J52" s="18" t="s">
        <v>282</v>
      </c>
      <c r="K52" s="18" t="s">
        <v>374</v>
      </c>
      <c r="L52" s="18" t="s">
        <v>373</v>
      </c>
      <c r="M52" s="19" t="s">
        <v>375</v>
      </c>
      <c r="N52" s="19" t="s">
        <v>376</v>
      </c>
      <c r="O52" s="22">
        <f>IF(ISNUMBER(I52), EDATE(I52,36)-1, "")</f>
        <v>25569.375</v>
      </c>
      <c r="P52" s="9" t="s">
        <v>377</v>
      </c>
      <c r="Q52" s="9" t="s">
        <v>166</v>
      </c>
      <c r="R52" s="9"/>
      <c r="S52" s="9"/>
      <c r="T52" s="9"/>
      <c r="U52" s="9"/>
      <c r="V52" s="9"/>
      <c r="W52" s="9"/>
      <c r="X52" s="9"/>
      <c r="Y52" s="9"/>
      <c r="Z52" s="9"/>
    </row>
    <row x14ac:dyDescent="0.25" r="53" customHeight="1" ht="18.75">
      <c r="A53" s="9"/>
      <c r="B53" s="18" t="s">
        <v>16</v>
      </c>
      <c r="C53" s="9"/>
      <c r="D53" s="9"/>
      <c r="E53" s="18" t="s">
        <v>378</v>
      </c>
      <c r="F53" s="19">
        <v>10000000</v>
      </c>
      <c r="G53" s="20">
        <v>800000</v>
      </c>
      <c r="H53" s="21">
        <v>46193</v>
      </c>
      <c r="I53" s="22">
        <f>IF(N943&gt;0,_xludf.IFS(N943=10000000,800000,N943=20000000,1528000,N943=30000000,2028000,N943=30000000,4056000),"")</f>
        <v>25569.375</v>
      </c>
      <c r="J53" s="18" t="s">
        <v>379</v>
      </c>
      <c r="K53" s="18" t="s">
        <v>380</v>
      </c>
      <c r="L53" s="18" t="s">
        <v>378</v>
      </c>
      <c r="M53" s="19" t="s">
        <v>381</v>
      </c>
      <c r="N53" s="19" t="s">
        <v>382</v>
      </c>
      <c r="O53" s="22">
        <f>IF(ISNUMBER(I53), EDATE(I53,36)-1, "")</f>
        <v>25569.375</v>
      </c>
      <c r="P53" s="9" t="s">
        <v>383</v>
      </c>
      <c r="Q53" s="9" t="s">
        <v>166</v>
      </c>
      <c r="R53" s="9"/>
      <c r="S53" s="9"/>
      <c r="T53" s="9"/>
      <c r="U53" s="9"/>
      <c r="V53" s="9"/>
      <c r="W53" s="9"/>
      <c r="X53" s="9"/>
      <c r="Y53" s="9"/>
      <c r="Z53" s="9"/>
    </row>
    <row x14ac:dyDescent="0.25" r="54" customHeight="1" ht="18.75">
      <c r="A54" s="9"/>
      <c r="B54" s="18" t="s">
        <v>16</v>
      </c>
      <c r="C54" s="9"/>
      <c r="D54" s="9"/>
      <c r="E54" s="18" t="s">
        <v>384</v>
      </c>
      <c r="F54" s="19">
        <v>30000000</v>
      </c>
      <c r="G54" s="20">
        <v>2028000</v>
      </c>
      <c r="H54" s="21">
        <v>46162</v>
      </c>
      <c r="I54" s="22">
        <f>IF(N944&gt;0,_xludf.IFS(N944=10000000,800000,N944=20000000,1528000,N944=30000000,2028000,N944=30000000,4056000),"")</f>
        <v>25569.375</v>
      </c>
      <c r="J54" s="18" t="s">
        <v>161</v>
      </c>
      <c r="K54" s="18" t="s">
        <v>385</v>
      </c>
      <c r="L54" s="18" t="s">
        <v>384</v>
      </c>
      <c r="M54" s="19" t="s">
        <v>386</v>
      </c>
      <c r="N54" s="19" t="s">
        <v>387</v>
      </c>
      <c r="O54" s="22">
        <f>IF(ISNUMBER(I54), EDATE(I54,36)-1, "")</f>
        <v>25569.375</v>
      </c>
      <c r="P54" s="9" t="s">
        <v>388</v>
      </c>
      <c r="Q54" s="9" t="s">
        <v>166</v>
      </c>
      <c r="R54" s="9"/>
      <c r="S54" s="9"/>
      <c r="T54" s="9"/>
      <c r="U54" s="9"/>
      <c r="V54" s="9"/>
      <c r="W54" s="9"/>
      <c r="X54" s="9"/>
      <c r="Y54" s="9"/>
      <c r="Z54" s="9"/>
    </row>
    <row x14ac:dyDescent="0.25" r="55" customHeight="1" ht="18.75">
      <c r="A55" s="9"/>
      <c r="B55" s="18" t="s">
        <v>16</v>
      </c>
      <c r="C55" s="9"/>
      <c r="D55" s="9"/>
      <c r="E55" s="18" t="s">
        <v>389</v>
      </c>
      <c r="F55" s="19">
        <v>30000000</v>
      </c>
      <c r="G55" s="20">
        <v>1500000</v>
      </c>
      <c r="H55" s="21">
        <v>46178</v>
      </c>
      <c r="I55" s="22">
        <f>IF(N945&gt;0,_xludf.IFS(N945=10000000,800000,N945=20000000,1528000,N945=30000000,2028000,N945=30000000,4056000),"")</f>
        <v>25569.375</v>
      </c>
      <c r="J55" s="18" t="s">
        <v>217</v>
      </c>
      <c r="K55" s="18" t="s">
        <v>390</v>
      </c>
      <c r="L55" s="23">
        <f>IF(E656&gt;0,E656,"")</f>
      </c>
      <c r="M55" s="19" t="s">
        <v>391</v>
      </c>
      <c r="N55" s="19">
        <v>67422169</v>
      </c>
      <c r="O55" s="22">
        <f>IF(ISNUMBER(I55), EDATE(I55,36)-1, "")</f>
        <v>25569.375</v>
      </c>
      <c r="P55" s="9"/>
      <c r="Q55" s="9"/>
      <c r="R55" s="9" t="s">
        <v>392</v>
      </c>
      <c r="S55" s="9"/>
      <c r="T55" s="9"/>
      <c r="U55" s="9"/>
      <c r="V55" s="9"/>
      <c r="W55" s="9"/>
      <c r="X55" s="9"/>
      <c r="Y55" s="9"/>
      <c r="Z55" s="9"/>
    </row>
    <row x14ac:dyDescent="0.25" r="56" customHeight="1" ht="18.75">
      <c r="A56" s="9"/>
      <c r="B56" s="18" t="s">
        <v>16</v>
      </c>
      <c r="C56" s="9"/>
      <c r="D56" s="9"/>
      <c r="E56" s="18" t="s">
        <v>393</v>
      </c>
      <c r="F56" s="19">
        <v>30000000</v>
      </c>
      <c r="G56" s="20">
        <v>1500000</v>
      </c>
      <c r="H56" s="21">
        <v>46178</v>
      </c>
      <c r="I56" s="22">
        <f>IF(N946&gt;0,_xludf.IFS(N946=10000000,800000,N946=20000000,1528000,N946=30000000,2028000,N946=30000000,4056000),"")</f>
        <v>25569.375</v>
      </c>
      <c r="J56" s="18" t="s">
        <v>168</v>
      </c>
      <c r="K56" s="18" t="s">
        <v>394</v>
      </c>
      <c r="L56" s="23">
        <f>IF(E655&gt;0,E655,"")</f>
      </c>
      <c r="M56" s="19" t="s">
        <v>395</v>
      </c>
      <c r="N56" s="19">
        <v>67412169</v>
      </c>
      <c r="O56" s="22">
        <f>IF(ISNUMBER(I56), EDATE(I56,36)-1, "")</f>
        <v>25569.375</v>
      </c>
      <c r="P56" s="9"/>
      <c r="Q56" s="9"/>
      <c r="R56" s="9" t="s">
        <v>392</v>
      </c>
      <c r="S56" s="9"/>
      <c r="T56" s="9"/>
      <c r="U56" s="9"/>
      <c r="V56" s="9"/>
      <c r="W56" s="9"/>
      <c r="X56" s="9"/>
      <c r="Y56" s="9"/>
      <c r="Z56" s="9"/>
    </row>
    <row x14ac:dyDescent="0.25" r="57" customHeight="1" ht="18.75">
      <c r="A57" s="9"/>
      <c r="B57" s="18" t="s">
        <v>16</v>
      </c>
      <c r="C57" s="9"/>
      <c r="D57" s="9"/>
      <c r="E57" s="18" t="s">
        <v>396</v>
      </c>
      <c r="F57" s="19">
        <v>10000000</v>
      </c>
      <c r="G57" s="20">
        <v>1200000</v>
      </c>
      <c r="H57" s="21">
        <v>46211</v>
      </c>
      <c r="I57" s="22">
        <f>IF(N947&gt;0,_xludf.IFS(N947=10000000,800000,N947=20000000,1528000,N947=30000000,2028000,N947=30000000,4056000),"")</f>
        <v>25569.375</v>
      </c>
      <c r="J57" s="18" t="s">
        <v>302</v>
      </c>
      <c r="K57" s="18" t="s">
        <v>397</v>
      </c>
      <c r="L57" s="18" t="s">
        <v>396</v>
      </c>
      <c r="M57" s="19" t="s">
        <v>398</v>
      </c>
      <c r="N57" s="19" t="s">
        <v>399</v>
      </c>
      <c r="O57" s="22">
        <f>IF(ISNUMBER(I57), EDATE(I57,36)-1, "")</f>
        <v>25569.375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x14ac:dyDescent="0.25" r="58" customHeight="1" ht="18.75">
      <c r="A58" s="9"/>
      <c r="B58" s="18" t="s">
        <v>16</v>
      </c>
      <c r="C58" s="9"/>
      <c r="D58" s="9"/>
      <c r="E58" s="18" t="s">
        <v>400</v>
      </c>
      <c r="F58" s="19">
        <v>20000000</v>
      </c>
      <c r="G58" s="20">
        <v>1528000</v>
      </c>
      <c r="H58" s="21">
        <v>46040</v>
      </c>
      <c r="I58" s="22">
        <f>IF(N948&gt;0,_xludf.IFS(N948=10000000,800000,N948=20000000,1528000,N948=30000000,2028000,N948=30000000,4056000),"")</f>
        <v>25569.375</v>
      </c>
      <c r="J58" s="18" t="s">
        <v>212</v>
      </c>
      <c r="K58" s="18" t="s">
        <v>401</v>
      </c>
      <c r="L58" s="18" t="s">
        <v>400</v>
      </c>
      <c r="M58" s="19" t="s">
        <v>402</v>
      </c>
      <c r="N58" s="19" t="s">
        <v>403</v>
      </c>
      <c r="O58" s="22">
        <f>IF(ISNUMBER(I58), EDATE(I58,36)-1, "")</f>
        <v>25569.375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x14ac:dyDescent="0.25" r="59" customHeight="1" ht="18.75">
      <c r="A59" s="9"/>
      <c r="B59" s="18" t="s">
        <v>16</v>
      </c>
      <c r="C59" s="9"/>
      <c r="D59" s="9"/>
      <c r="E59" s="18" t="s">
        <v>255</v>
      </c>
      <c r="F59" s="19">
        <v>90000000</v>
      </c>
      <c r="G59" s="20"/>
      <c r="H59" s="21">
        <v>45948</v>
      </c>
      <c r="I59" s="22">
        <f>IF(N949&gt;0,_xludf.IFS(N949=10000000,800000,N949=20000000,1528000,N949=30000000,2028000,N949=30000000,4056000),"")</f>
        <v>25569.375</v>
      </c>
      <c r="J59" s="18" t="s">
        <v>155</v>
      </c>
      <c r="K59" s="18" t="s">
        <v>404</v>
      </c>
      <c r="L59" s="18" t="s">
        <v>255</v>
      </c>
      <c r="M59" s="19" t="s">
        <v>219</v>
      </c>
      <c r="N59" s="19" t="s">
        <v>405</v>
      </c>
      <c r="O59" s="22">
        <f>IF(ISNUMBER(I59), EDATE(I59,36)-1, "")</f>
        <v>25569.375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x14ac:dyDescent="0.25" r="60" customHeight="1" ht="18.75">
      <c r="A60" s="9"/>
      <c r="B60" s="18" t="s">
        <v>16</v>
      </c>
      <c r="C60" s="9"/>
      <c r="D60" s="9"/>
      <c r="E60" s="18" t="s">
        <v>406</v>
      </c>
      <c r="F60" s="19">
        <v>20000000</v>
      </c>
      <c r="G60" s="20">
        <v>1528000</v>
      </c>
      <c r="H60" s="21">
        <v>46162</v>
      </c>
      <c r="I60" s="22">
        <f>IF(N950&gt;0,_xludf.IFS(N950=10000000,800000,N950=20000000,1528000,N950=30000000,2028000,N950=30000000,4056000),"")</f>
        <v>25569.375</v>
      </c>
      <c r="J60" s="18" t="s">
        <v>161</v>
      </c>
      <c r="K60" s="18" t="s">
        <v>407</v>
      </c>
      <c r="L60" s="18" t="s">
        <v>406</v>
      </c>
      <c r="M60" s="19" t="s">
        <v>408</v>
      </c>
      <c r="N60" s="19" t="s">
        <v>409</v>
      </c>
      <c r="O60" s="22">
        <f>IF(ISNUMBER(I60), EDATE(I60,36)-1, "")</f>
        <v>25569.375</v>
      </c>
      <c r="P60" s="9"/>
      <c r="Q60" s="9" t="s">
        <v>166</v>
      </c>
      <c r="R60" s="9"/>
      <c r="S60" s="9"/>
      <c r="T60" s="9"/>
      <c r="U60" s="9"/>
      <c r="V60" s="9"/>
      <c r="W60" s="9"/>
      <c r="X60" s="9"/>
      <c r="Y60" s="9"/>
      <c r="Z60" s="9"/>
    </row>
    <row x14ac:dyDescent="0.25" r="61" customHeight="1" ht="18.75">
      <c r="A61" s="9"/>
      <c r="B61" s="18" t="s">
        <v>16</v>
      </c>
      <c r="C61" s="9" t="s">
        <v>410</v>
      </c>
      <c r="D61" s="9" t="s">
        <v>411</v>
      </c>
      <c r="E61" s="18" t="s">
        <v>412</v>
      </c>
      <c r="F61" s="19">
        <v>10000000</v>
      </c>
      <c r="G61" s="20"/>
      <c r="H61" s="21">
        <v>46211</v>
      </c>
      <c r="I61" s="22">
        <f>IF(N951&gt;0,_xludf.IFS(N951=10000000,800000,N951=20000000,1528000,N951=30000000,2028000,N951=30000000,4056000),"")</f>
        <v>25569.375</v>
      </c>
      <c r="J61" s="18" t="s">
        <v>168</v>
      </c>
      <c r="K61" s="18" t="s">
        <v>413</v>
      </c>
      <c r="L61" s="23">
        <f>IF(E802&gt;0,E802,"")</f>
      </c>
      <c r="M61" s="19" t="s">
        <v>414</v>
      </c>
      <c r="N61" s="19">
        <v>5515700</v>
      </c>
      <c r="O61" s="22">
        <f>IF(ISNUMBER(I61), EDATE(I61,36)-1, "")</f>
        <v>25569.375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x14ac:dyDescent="0.25" r="62" customHeight="1" ht="18.75">
      <c r="A62" s="9"/>
      <c r="B62" s="18" t="s">
        <v>16</v>
      </c>
      <c r="C62" s="9"/>
      <c r="D62" s="9"/>
      <c r="E62" s="18" t="s">
        <v>415</v>
      </c>
      <c r="F62" s="19">
        <v>10000000</v>
      </c>
      <c r="G62" s="20">
        <v>800000</v>
      </c>
      <c r="H62" s="21">
        <v>46068</v>
      </c>
      <c r="I62" s="22">
        <f>IF(N952&gt;0,_xludf.IFS(N952=10000000,800000,N952=20000000,1528000,N952=30000000,2028000,N952=30000000,4056000),"")</f>
        <v>25569.375</v>
      </c>
      <c r="J62" s="18" t="s">
        <v>205</v>
      </c>
      <c r="K62" s="18" t="s">
        <v>416</v>
      </c>
      <c r="L62" s="18" t="s">
        <v>415</v>
      </c>
      <c r="M62" s="19" t="s">
        <v>417</v>
      </c>
      <c r="N62" s="19" t="s">
        <v>416</v>
      </c>
      <c r="O62" s="22">
        <f>IF(ISNUMBER(I62), EDATE(I62,36)-1, "")</f>
        <v>25569.375</v>
      </c>
      <c r="P62" s="9"/>
      <c r="Q62" s="9"/>
      <c r="R62" s="9" t="s">
        <v>418</v>
      </c>
      <c r="S62" s="9"/>
      <c r="T62" s="9"/>
      <c r="U62" s="9"/>
      <c r="V62" s="9"/>
      <c r="W62" s="9"/>
      <c r="X62" s="9"/>
      <c r="Y62" s="9"/>
      <c r="Z62" s="9"/>
    </row>
    <row x14ac:dyDescent="0.25" r="63" customHeight="1" ht="18.75">
      <c r="A63" s="9"/>
      <c r="B63" s="18" t="s">
        <v>16</v>
      </c>
      <c r="C63" s="9" t="s">
        <v>419</v>
      </c>
      <c r="D63" s="9" t="s">
        <v>420</v>
      </c>
      <c r="E63" s="18" t="s">
        <v>421</v>
      </c>
      <c r="F63" s="19">
        <v>30000000</v>
      </c>
      <c r="G63" s="20">
        <v>2028000</v>
      </c>
      <c r="H63" s="21">
        <v>46168</v>
      </c>
      <c r="I63" s="22">
        <f>IF(N953&gt;0,_xludf.IFS(N953=10000000,800000,N953=20000000,1528000,N953=30000000,2028000,N953=30000000,4056000),"")</f>
        <v>25569.375</v>
      </c>
      <c r="J63" s="18" t="s">
        <v>155</v>
      </c>
      <c r="K63" s="18" t="s">
        <v>422</v>
      </c>
      <c r="L63" s="18" t="s">
        <v>421</v>
      </c>
      <c r="M63" s="19" t="s">
        <v>423</v>
      </c>
      <c r="N63" s="19" t="s">
        <v>424</v>
      </c>
      <c r="O63" s="22">
        <f>IF(ISNUMBER(I63), EDATE(I63,36)-1, "")</f>
        <v>25569.375</v>
      </c>
      <c r="P63" s="9" t="s">
        <v>425</v>
      </c>
      <c r="Q63" s="9"/>
      <c r="R63" s="9" t="s">
        <v>426</v>
      </c>
      <c r="S63" s="9"/>
      <c r="T63" s="9"/>
      <c r="U63" s="9"/>
      <c r="V63" s="9"/>
      <c r="W63" s="9"/>
      <c r="X63" s="9"/>
      <c r="Y63" s="9"/>
      <c r="Z63" s="9"/>
    </row>
    <row x14ac:dyDescent="0.25" r="64" customHeight="1" ht="18.75">
      <c r="A64" s="9"/>
      <c r="B64" s="18" t="s">
        <v>16</v>
      </c>
      <c r="C64" s="9" t="s">
        <v>427</v>
      </c>
      <c r="D64" s="9"/>
      <c r="E64" s="18" t="s">
        <v>421</v>
      </c>
      <c r="F64" s="19">
        <v>10000000</v>
      </c>
      <c r="G64" s="20">
        <v>800000</v>
      </c>
      <c r="H64" s="21">
        <v>46156</v>
      </c>
      <c r="I64" s="22">
        <f>IF(N954&gt;0,_xludf.IFS(N954=10000000,800000,N954=20000000,1528000,N954=30000000,2028000,N954=30000000,4056000),"")</f>
        <v>25569.375</v>
      </c>
      <c r="J64" s="18" t="s">
        <v>161</v>
      </c>
      <c r="K64" s="18" t="s">
        <v>428</v>
      </c>
      <c r="L64" s="18" t="s">
        <v>421</v>
      </c>
      <c r="M64" s="19" t="s">
        <v>429</v>
      </c>
      <c r="N64" s="19" t="s">
        <v>430</v>
      </c>
      <c r="O64" s="22">
        <f>IF(ISNUMBER(I64), EDATE(I64,36)-1, "")</f>
        <v>25569.375</v>
      </c>
      <c r="P64" s="9" t="s">
        <v>431</v>
      </c>
      <c r="Q64" s="9" t="s">
        <v>166</v>
      </c>
      <c r="R64" s="9" t="s">
        <v>432</v>
      </c>
      <c r="S64" s="9"/>
      <c r="T64" s="9"/>
      <c r="U64" s="9"/>
      <c r="V64" s="9"/>
      <c r="W64" s="9"/>
      <c r="X64" s="9"/>
      <c r="Y64" s="9"/>
      <c r="Z64" s="9"/>
    </row>
    <row x14ac:dyDescent="0.25" r="65" customHeight="1" ht="18.75">
      <c r="A65" s="9"/>
      <c r="B65" s="18" t="s">
        <v>16</v>
      </c>
      <c r="C65" s="9"/>
      <c r="D65" s="9" t="s">
        <v>18</v>
      </c>
      <c r="E65" s="18" t="s">
        <v>19</v>
      </c>
      <c r="F65" s="19">
        <v>60000000</v>
      </c>
      <c r="G65" s="20">
        <v>4056000</v>
      </c>
      <c r="H65" s="21">
        <v>45408</v>
      </c>
      <c r="I65" s="22">
        <f>IF(N955&gt;0,_xludf.IFS(N955=10000000,800000,N955=20000000,1528000,N955=30000000,2028000,N955=30000000,4056000),"")</f>
        <v>25569.375</v>
      </c>
      <c r="J65" s="18" t="s">
        <v>155</v>
      </c>
      <c r="K65" s="18" t="s">
        <v>433</v>
      </c>
      <c r="L65" s="18" t="s">
        <v>19</v>
      </c>
      <c r="M65" s="19" t="s">
        <v>434</v>
      </c>
      <c r="N65" s="19" t="s">
        <v>435</v>
      </c>
      <c r="O65" s="22">
        <f>IF(ISNUMBER(I65), EDATE(I65,36)-1, "")</f>
        <v>25569.375</v>
      </c>
      <c r="P65" s="9" t="s">
        <v>20</v>
      </c>
      <c r="Q65" s="9"/>
      <c r="R65" s="9"/>
      <c r="S65" s="9"/>
      <c r="T65" s="9"/>
      <c r="U65" s="9"/>
      <c r="V65" s="9"/>
      <c r="W65" s="9"/>
      <c r="X65" s="9"/>
      <c r="Y65" s="9"/>
      <c r="Z65" s="9"/>
    </row>
    <row x14ac:dyDescent="0.25" r="66" customHeight="1" ht="18.75">
      <c r="A66" s="9"/>
      <c r="B66" s="18" t="s">
        <v>16</v>
      </c>
      <c r="C66" s="9"/>
      <c r="D66" s="9" t="s">
        <v>22</v>
      </c>
      <c r="E66" s="18" t="s">
        <v>23</v>
      </c>
      <c r="F66" s="19">
        <v>20000000</v>
      </c>
      <c r="G66" s="20">
        <v>1528000</v>
      </c>
      <c r="H66" s="21">
        <v>46152</v>
      </c>
      <c r="I66" s="22">
        <f>IF(N956&gt;0,_xludf.IFS(N956=10000000,800000,N956=20000000,1528000,N956=30000000,2028000,N956=30000000,4056000),"")</f>
        <v>25569.375</v>
      </c>
      <c r="J66" s="18" t="s">
        <v>239</v>
      </c>
      <c r="K66" s="18" t="s">
        <v>436</v>
      </c>
      <c r="L66" s="18" t="s">
        <v>23</v>
      </c>
      <c r="M66" s="19" t="s">
        <v>437</v>
      </c>
      <c r="N66" s="19" t="s">
        <v>438</v>
      </c>
      <c r="O66" s="22">
        <f>IF(ISNUMBER(I66), EDATE(I66,36)-1, "")</f>
        <v>25569.375</v>
      </c>
      <c r="P66" s="9" t="s">
        <v>24</v>
      </c>
      <c r="Q66" s="9" t="s">
        <v>293</v>
      </c>
      <c r="R66" s="9"/>
      <c r="S66" s="9"/>
      <c r="T66" s="9"/>
      <c r="U66" s="9"/>
      <c r="V66" s="9"/>
      <c r="W66" s="9"/>
      <c r="X66" s="9"/>
      <c r="Y66" s="9"/>
      <c r="Z66" s="9"/>
    </row>
    <row x14ac:dyDescent="0.25" r="67" customHeight="1" ht="18.75">
      <c r="A67" s="9"/>
      <c r="B67" s="18" t="s">
        <v>16</v>
      </c>
      <c r="C67" s="9"/>
      <c r="D67" s="9"/>
      <c r="E67" s="18" t="s">
        <v>23</v>
      </c>
      <c r="F67" s="19">
        <v>10000000</v>
      </c>
      <c r="G67" s="20">
        <v>1200000</v>
      </c>
      <c r="H67" s="21">
        <v>46197</v>
      </c>
      <c r="I67" s="22">
        <f>IF(N957&gt;0,_xludf.IFS(N957=10000000,800000,N957=20000000,1528000,N957=30000000,2028000,N957=30000000,4056000),"")</f>
        <v>25569.375</v>
      </c>
      <c r="J67" s="18" t="s">
        <v>212</v>
      </c>
      <c r="K67" s="18" t="s">
        <v>439</v>
      </c>
      <c r="L67" s="18" t="s">
        <v>23</v>
      </c>
      <c r="M67" s="19" t="s">
        <v>440</v>
      </c>
      <c r="N67" s="19" t="s">
        <v>441</v>
      </c>
      <c r="O67" s="22">
        <f>IF(ISNUMBER(I67), EDATE(I67,36)-1, "")</f>
        <v>25569.375</v>
      </c>
      <c r="P67" s="9" t="s">
        <v>442</v>
      </c>
      <c r="Q67" s="9" t="s">
        <v>166</v>
      </c>
      <c r="R67" s="9"/>
      <c r="S67" s="9"/>
      <c r="T67" s="9"/>
      <c r="U67" s="9"/>
      <c r="V67" s="9"/>
      <c r="W67" s="9"/>
      <c r="X67" s="9"/>
      <c r="Y67" s="9"/>
      <c r="Z67" s="9"/>
    </row>
    <row x14ac:dyDescent="0.25" r="68" customHeight="1" ht="18.75">
      <c r="A68" s="9"/>
      <c r="B68" s="18" t="s">
        <v>16</v>
      </c>
      <c r="C68" s="9"/>
      <c r="D68" s="9" t="s">
        <v>22</v>
      </c>
      <c r="E68" s="18" t="s">
        <v>443</v>
      </c>
      <c r="F68" s="19">
        <v>10000000</v>
      </c>
      <c r="G68" s="20">
        <v>800000</v>
      </c>
      <c r="H68" s="21">
        <v>46165</v>
      </c>
      <c r="I68" s="22">
        <f>IF(N958&gt;0,_xludf.IFS(N958=10000000,800000,N958=20000000,1528000,N958=30000000,2028000,N958=30000000,4056000),"")</f>
        <v>25569.375</v>
      </c>
      <c r="J68" s="18" t="s">
        <v>217</v>
      </c>
      <c r="K68" s="18" t="s">
        <v>444</v>
      </c>
      <c r="L68" s="18" t="s">
        <v>443</v>
      </c>
      <c r="M68" s="19" t="s">
        <v>445</v>
      </c>
      <c r="N68" s="19" t="s">
        <v>446</v>
      </c>
      <c r="O68" s="22">
        <f>IF(ISNUMBER(I68), EDATE(I68,36)-1, "")</f>
        <v>25569.375</v>
      </c>
      <c r="P68" s="9" t="s">
        <v>447</v>
      </c>
      <c r="Q68" s="9" t="s">
        <v>166</v>
      </c>
      <c r="R68" s="9" t="s">
        <v>448</v>
      </c>
      <c r="S68" s="9"/>
      <c r="T68" s="9"/>
      <c r="U68" s="9"/>
      <c r="V68" s="9"/>
      <c r="W68" s="9"/>
      <c r="X68" s="9"/>
      <c r="Y68" s="9"/>
      <c r="Z68" s="9"/>
    </row>
    <row x14ac:dyDescent="0.25" r="69" customHeight="1" ht="18.75">
      <c r="A69" s="9" t="s">
        <v>252</v>
      </c>
      <c r="B69" s="18" t="s">
        <v>16</v>
      </c>
      <c r="C69" s="9"/>
      <c r="D69" s="9"/>
      <c r="E69" s="18" t="s">
        <v>443</v>
      </c>
      <c r="F69" s="19">
        <v>10000000</v>
      </c>
      <c r="G69" s="20">
        <v>800000</v>
      </c>
      <c r="H69" s="21" t="s">
        <v>449</v>
      </c>
      <c r="I69" s="22"/>
      <c r="J69" s="18" t="s">
        <v>217</v>
      </c>
      <c r="K69" s="18" t="s">
        <v>444</v>
      </c>
      <c r="L69" s="18" t="s">
        <v>443</v>
      </c>
      <c r="M69" s="19" t="s">
        <v>445</v>
      </c>
      <c r="N69" s="19" t="s">
        <v>446</v>
      </c>
      <c r="O69" s="22">
        <f>IF(ISNUMBER(I69), EDATE(I69,36)-1, "")</f>
        <v>25569.375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x14ac:dyDescent="0.25" r="70" customHeight="1" ht="18.75">
      <c r="A70" s="9"/>
      <c r="B70" s="18" t="s">
        <v>16</v>
      </c>
      <c r="C70" s="9"/>
      <c r="D70" s="9"/>
      <c r="E70" s="18" t="s">
        <v>450</v>
      </c>
      <c r="F70" s="19">
        <v>10000000</v>
      </c>
      <c r="G70" s="20">
        <v>800000</v>
      </c>
      <c r="H70" s="21">
        <v>46025</v>
      </c>
      <c r="I70" s="22">
        <f>IF(H70&gt;0,EDATE(H70,-2),"")</f>
        <v>25569.375</v>
      </c>
      <c r="J70" s="18" t="s">
        <v>239</v>
      </c>
      <c r="K70" s="18" t="s">
        <v>451</v>
      </c>
      <c r="L70" s="18" t="s">
        <v>450</v>
      </c>
      <c r="M70" s="19" t="s">
        <v>452</v>
      </c>
      <c r="N70" s="19" t="s">
        <v>453</v>
      </c>
      <c r="O70" s="22">
        <f>IF(ISNUMBER(I70), EDATE(I70,36)-1, "")</f>
        <v>25569.375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x14ac:dyDescent="0.25" r="71" customHeight="1" ht="18.75">
      <c r="A71" s="9" t="s">
        <v>152</v>
      </c>
      <c r="B71" s="18" t="s">
        <v>16</v>
      </c>
      <c r="C71" s="9" t="s">
        <v>454</v>
      </c>
      <c r="D71" s="9" t="s">
        <v>455</v>
      </c>
      <c r="E71" s="18" t="s">
        <v>456</v>
      </c>
      <c r="F71" s="19">
        <v>10000000</v>
      </c>
      <c r="G71" s="20"/>
      <c r="H71" s="21">
        <v>46154</v>
      </c>
      <c r="I71" s="22">
        <f>IF(H71&gt;0,EDATE(H71,-2),"")</f>
        <v>25569.375</v>
      </c>
      <c r="J71" s="18" t="s">
        <v>155</v>
      </c>
      <c r="K71" s="18" t="s">
        <v>457</v>
      </c>
      <c r="L71" s="23">
        <f>IF(E709&gt;0,E709,"")</f>
      </c>
      <c r="M71" s="19" t="s">
        <v>458</v>
      </c>
      <c r="N71" s="19">
        <v>75228985</v>
      </c>
      <c r="O71" s="22">
        <f>IF(ISNUMBER(I71), EDATE(I71,36)-1, "")</f>
        <v>25569.375</v>
      </c>
      <c r="P71" s="9"/>
      <c r="Q71" s="9"/>
      <c r="R71" s="9" t="s">
        <v>459</v>
      </c>
      <c r="S71" s="9"/>
      <c r="T71" s="9"/>
      <c r="U71" s="9"/>
      <c r="V71" s="9"/>
      <c r="W71" s="9"/>
      <c r="X71" s="9"/>
      <c r="Y71" s="9"/>
      <c r="Z71" s="9"/>
    </row>
    <row x14ac:dyDescent="0.25" r="72" customHeight="1" ht="18.75">
      <c r="A72" s="9"/>
      <c r="B72" s="18" t="s">
        <v>16</v>
      </c>
      <c r="C72" s="9" t="s">
        <v>454</v>
      </c>
      <c r="D72" s="9"/>
      <c r="E72" s="18" t="s">
        <v>460</v>
      </c>
      <c r="F72" s="19">
        <v>10000000</v>
      </c>
      <c r="G72" s="20">
        <v>800000</v>
      </c>
      <c r="H72" s="21">
        <v>46154</v>
      </c>
      <c r="I72" s="22">
        <f>IF(H72&gt;0,EDATE(H72,-2),"")</f>
        <v>25569.375</v>
      </c>
      <c r="J72" s="18" t="s">
        <v>155</v>
      </c>
      <c r="K72" s="18" t="s">
        <v>461</v>
      </c>
      <c r="L72" s="18" t="s">
        <v>460</v>
      </c>
      <c r="M72" s="19" t="s">
        <v>462</v>
      </c>
      <c r="N72" s="19" t="s">
        <v>463</v>
      </c>
      <c r="O72" s="22">
        <f>IF(ISNUMBER(I72), EDATE(I72,36)-1, "")</f>
        <v>25569.375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x14ac:dyDescent="0.25" r="73" customHeight="1" ht="18.75">
      <c r="A73" s="9"/>
      <c r="B73" s="18" t="s">
        <v>16</v>
      </c>
      <c r="C73" s="9" t="s">
        <v>143</v>
      </c>
      <c r="D73" s="9" t="s">
        <v>22</v>
      </c>
      <c r="E73" s="18" t="s">
        <v>464</v>
      </c>
      <c r="F73" s="19">
        <v>10000000</v>
      </c>
      <c r="G73" s="20">
        <v>800000</v>
      </c>
      <c r="H73" s="21">
        <v>46166</v>
      </c>
      <c r="I73" s="22">
        <f>IF(H73&gt;0,EDATE(H73,-2),"")</f>
        <v>25569.375</v>
      </c>
      <c r="J73" s="18" t="s">
        <v>161</v>
      </c>
      <c r="K73" s="18" t="s">
        <v>465</v>
      </c>
      <c r="L73" s="18" t="s">
        <v>464</v>
      </c>
      <c r="M73" s="19" t="s">
        <v>466</v>
      </c>
      <c r="N73" s="19" t="s">
        <v>467</v>
      </c>
      <c r="O73" s="22">
        <f>IF(ISNUMBER(I73), EDATE(I73,36)-1, "")</f>
        <v>25569.375</v>
      </c>
      <c r="P73" s="9" t="s">
        <v>468</v>
      </c>
      <c r="Q73" s="9" t="s">
        <v>469</v>
      </c>
      <c r="R73" s="9"/>
      <c r="S73" s="9"/>
      <c r="T73" s="9"/>
      <c r="U73" s="9"/>
      <c r="V73" s="9"/>
      <c r="W73" s="9"/>
      <c r="X73" s="9"/>
      <c r="Y73" s="9"/>
      <c r="Z73" s="9"/>
    </row>
    <row x14ac:dyDescent="0.25" r="74" customHeight="1" ht="18.75">
      <c r="A74" s="9" t="s">
        <v>275</v>
      </c>
      <c r="B74" s="18" t="s">
        <v>16</v>
      </c>
      <c r="C74" s="9"/>
      <c r="D74" s="9"/>
      <c r="E74" s="18" t="s">
        <v>470</v>
      </c>
      <c r="F74" s="19">
        <v>10000000</v>
      </c>
      <c r="G74" s="20">
        <v>500000</v>
      </c>
      <c r="H74" s="21">
        <v>46184</v>
      </c>
      <c r="I74" s="22">
        <f>IF(H74&gt;0,EDATE(H74,-2),"")</f>
        <v>25569.375</v>
      </c>
      <c r="J74" s="18" t="s">
        <v>168</v>
      </c>
      <c r="K74" s="18" t="s">
        <v>471</v>
      </c>
      <c r="L74" s="18" t="s">
        <v>470</v>
      </c>
      <c r="M74" s="19" t="s">
        <v>472</v>
      </c>
      <c r="N74" s="19" t="s">
        <v>473</v>
      </c>
      <c r="O74" s="22">
        <f>IF(ISNUMBER(I74), EDATE(I74,36)-1, "")</f>
        <v>25569.375</v>
      </c>
      <c r="P74" s="9" t="s">
        <v>474</v>
      </c>
      <c r="Q74" s="9"/>
      <c r="R74" s="9" t="s">
        <v>475</v>
      </c>
      <c r="S74" s="9"/>
      <c r="T74" s="9"/>
      <c r="U74" s="9"/>
      <c r="V74" s="9"/>
      <c r="W74" s="9"/>
      <c r="X74" s="9"/>
      <c r="Y74" s="9"/>
      <c r="Z74" s="9"/>
    </row>
    <row x14ac:dyDescent="0.25" r="75" customHeight="1" ht="18.75">
      <c r="A75" s="9"/>
      <c r="B75" s="18" t="s">
        <v>16</v>
      </c>
      <c r="C75" s="9"/>
      <c r="D75" s="9" t="s">
        <v>476</v>
      </c>
      <c r="E75" s="18" t="s">
        <v>477</v>
      </c>
      <c r="F75" s="19">
        <v>10000000</v>
      </c>
      <c r="G75" s="20">
        <v>800000</v>
      </c>
      <c r="H75" s="21">
        <v>46102</v>
      </c>
      <c r="I75" s="22">
        <f>IF(H75&gt;0,EDATE(H75,-2),"")</f>
        <v>25569.375</v>
      </c>
      <c r="J75" s="18" t="s">
        <v>155</v>
      </c>
      <c r="K75" s="18" t="s">
        <v>478</v>
      </c>
      <c r="L75" s="18" t="s">
        <v>477</v>
      </c>
      <c r="M75" s="19" t="s">
        <v>479</v>
      </c>
      <c r="N75" s="19" t="s">
        <v>480</v>
      </c>
      <c r="O75" s="22">
        <f>IF(ISNUMBER(I75), EDATE(I75,36)-1, "")</f>
        <v>25569.375</v>
      </c>
      <c r="P75" s="9"/>
      <c r="Q75" s="9" t="s">
        <v>332</v>
      </c>
      <c r="R75" s="9"/>
      <c r="S75" s="9"/>
      <c r="T75" s="9"/>
      <c r="U75" s="9"/>
      <c r="V75" s="9"/>
      <c r="W75" s="9"/>
      <c r="X75" s="9"/>
      <c r="Y75" s="9"/>
      <c r="Z75" s="9"/>
    </row>
    <row x14ac:dyDescent="0.25" r="76" customHeight="1" ht="18.75">
      <c r="A76" s="9"/>
      <c r="B76" s="18" t="s">
        <v>16</v>
      </c>
      <c r="C76" s="9"/>
      <c r="D76" s="9" t="s">
        <v>481</v>
      </c>
      <c r="E76" s="18" t="s">
        <v>482</v>
      </c>
      <c r="F76" s="19">
        <v>20000000</v>
      </c>
      <c r="G76" s="20">
        <v>500000</v>
      </c>
      <c r="H76" s="21">
        <v>46186</v>
      </c>
      <c r="I76" s="22">
        <f>IF(H76&gt;0,EDATE(H76,-2),"")</f>
        <v>25569.375</v>
      </c>
      <c r="J76" s="18" t="s">
        <v>161</v>
      </c>
      <c r="K76" s="18" t="s">
        <v>483</v>
      </c>
      <c r="L76" s="18" t="s">
        <v>482</v>
      </c>
      <c r="M76" s="19" t="s">
        <v>484</v>
      </c>
      <c r="N76" s="19" t="s">
        <v>485</v>
      </c>
      <c r="O76" s="22">
        <f>IF(ISNUMBER(I76), EDATE(I76,36)-1, "")</f>
        <v>25569.375</v>
      </c>
      <c r="P76" s="9" t="s">
        <v>486</v>
      </c>
      <c r="Q76" s="9" t="s">
        <v>166</v>
      </c>
      <c r="R76" s="9"/>
      <c r="S76" s="9"/>
      <c r="T76" s="9"/>
      <c r="U76" s="9"/>
      <c r="V76" s="9"/>
      <c r="W76" s="9"/>
      <c r="X76" s="9"/>
      <c r="Y76" s="9"/>
      <c r="Z76" s="9"/>
    </row>
    <row x14ac:dyDescent="0.25" r="77" customHeight="1" ht="18.75">
      <c r="A77" s="9"/>
      <c r="B77" s="18" t="s">
        <v>16</v>
      </c>
      <c r="C77" s="9"/>
      <c r="D77" s="9"/>
      <c r="E77" s="18" t="s">
        <v>487</v>
      </c>
      <c r="F77" s="19">
        <v>20000000</v>
      </c>
      <c r="G77" s="20">
        <v>1528000</v>
      </c>
      <c r="H77" s="21">
        <v>46074</v>
      </c>
      <c r="I77" s="22">
        <f>IF(H77&gt;0,EDATE(H77,-2),"")</f>
        <v>25569.375</v>
      </c>
      <c r="J77" s="18" t="s">
        <v>168</v>
      </c>
      <c r="K77" s="18" t="s">
        <v>488</v>
      </c>
      <c r="L77" s="18" t="s">
        <v>487</v>
      </c>
      <c r="M77" s="19" t="s">
        <v>489</v>
      </c>
      <c r="N77" s="19" t="s">
        <v>490</v>
      </c>
      <c r="O77" s="22">
        <f>IF(ISNUMBER(I77), EDATE(I77,36)-1, "")</f>
        <v>25569.375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x14ac:dyDescent="0.25" r="78" customHeight="1" ht="18.75">
      <c r="A78" s="9"/>
      <c r="B78" s="18" t="s">
        <v>16</v>
      </c>
      <c r="C78" s="9"/>
      <c r="D78" s="9" t="s">
        <v>126</v>
      </c>
      <c r="E78" s="18" t="s">
        <v>491</v>
      </c>
      <c r="F78" s="19">
        <v>10000000</v>
      </c>
      <c r="G78" s="20">
        <v>800000</v>
      </c>
      <c r="H78" s="21">
        <v>46130</v>
      </c>
      <c r="I78" s="22">
        <f>IF(H78&gt;0,EDATE(H78,-2),"")</f>
        <v>25569.375</v>
      </c>
      <c r="J78" s="18" t="s">
        <v>282</v>
      </c>
      <c r="K78" s="18" t="s">
        <v>492</v>
      </c>
      <c r="L78" s="18" t="s">
        <v>491</v>
      </c>
      <c r="M78" s="19" t="s">
        <v>493</v>
      </c>
      <c r="N78" s="19" t="s">
        <v>494</v>
      </c>
      <c r="O78" s="22">
        <f>IF(ISNUMBER(I78), EDATE(I78,36)-1, "")</f>
        <v>25569.375</v>
      </c>
      <c r="P78" s="9" t="s">
        <v>495</v>
      </c>
      <c r="Q78" s="9" t="s">
        <v>166</v>
      </c>
      <c r="R78" s="9" t="s">
        <v>496</v>
      </c>
      <c r="S78" s="9"/>
      <c r="T78" s="9"/>
      <c r="U78" s="9"/>
      <c r="V78" s="9"/>
      <c r="W78" s="9"/>
      <c r="X78" s="9"/>
      <c r="Y78" s="9"/>
      <c r="Z78" s="9"/>
    </row>
    <row x14ac:dyDescent="0.25" r="79" customHeight="1" ht="18.75">
      <c r="A79" s="9" t="s">
        <v>152</v>
      </c>
      <c r="B79" s="18" t="s">
        <v>16</v>
      </c>
      <c r="C79" s="9" t="s">
        <v>55</v>
      </c>
      <c r="D79" s="9" t="s">
        <v>56</v>
      </c>
      <c r="E79" s="18" t="s">
        <v>497</v>
      </c>
      <c r="F79" s="19">
        <v>20000000</v>
      </c>
      <c r="G79" s="20">
        <v>1528000</v>
      </c>
      <c r="H79" s="21">
        <v>46178</v>
      </c>
      <c r="I79" s="22">
        <f>IF(H79&gt;0,EDATE(H79,-2),"")</f>
        <v>25569.375</v>
      </c>
      <c r="J79" s="18" t="s">
        <v>239</v>
      </c>
      <c r="K79" s="18" t="s">
        <v>498</v>
      </c>
      <c r="L79" s="23">
        <f>IF(E838&gt;0,E838,"")</f>
      </c>
      <c r="M79" s="19">
        <v>8510031008913</v>
      </c>
      <c r="N79" s="19">
        <v>72707613</v>
      </c>
      <c r="O79" s="22">
        <f>IF(ISNUMBER(I79), EDATE(I79,36)-1, "")</f>
        <v>25569.375</v>
      </c>
      <c r="P79" s="9"/>
      <c r="Q79" s="9"/>
      <c r="R79" s="9" t="s">
        <v>499</v>
      </c>
      <c r="S79" s="9"/>
      <c r="T79" s="9"/>
      <c r="U79" s="9"/>
      <c r="V79" s="9"/>
      <c r="W79" s="9"/>
      <c r="X79" s="9"/>
      <c r="Y79" s="9"/>
      <c r="Z79" s="9"/>
    </row>
    <row x14ac:dyDescent="0.25" r="80" customHeight="1" ht="18.75">
      <c r="A80" s="9" t="s">
        <v>63</v>
      </c>
      <c r="B80" s="18" t="s">
        <v>16</v>
      </c>
      <c r="C80" s="9" t="s">
        <v>88</v>
      </c>
      <c r="D80" s="9" t="s">
        <v>14</v>
      </c>
      <c r="E80" s="18" t="s">
        <v>500</v>
      </c>
      <c r="F80" s="19">
        <v>30000000</v>
      </c>
      <c r="G80" s="20">
        <v>2400000</v>
      </c>
      <c r="H80" s="21">
        <v>46208</v>
      </c>
      <c r="I80" s="22">
        <f>IF(H80&gt;0,EDATE(H80,-2),"")</f>
        <v>25569.375</v>
      </c>
      <c r="J80" s="18" t="s">
        <v>212</v>
      </c>
      <c r="K80" s="18" t="s">
        <v>501</v>
      </c>
      <c r="L80" s="18" t="s">
        <v>500</v>
      </c>
      <c r="M80" s="19" t="s">
        <v>502</v>
      </c>
      <c r="N80" s="19" t="s">
        <v>503</v>
      </c>
      <c r="O80" s="22">
        <f>IF(ISNUMBER(I80), EDATE(I80,36)-1, "")</f>
        <v>25569.375</v>
      </c>
      <c r="P80" s="9"/>
      <c r="Q80" s="9"/>
      <c r="R80" s="9" t="s">
        <v>504</v>
      </c>
      <c r="S80" s="9"/>
      <c r="T80" s="9"/>
      <c r="U80" s="9"/>
      <c r="V80" s="9"/>
      <c r="W80" s="9"/>
      <c r="X80" s="9"/>
      <c r="Y80" s="9"/>
      <c r="Z80" s="9"/>
    </row>
    <row x14ac:dyDescent="0.25" r="81" customHeight="1" ht="18.75">
      <c r="A81" s="9"/>
      <c r="B81" s="18" t="s">
        <v>16</v>
      </c>
      <c r="C81" s="9"/>
      <c r="D81" s="9"/>
      <c r="E81" s="18" t="s">
        <v>505</v>
      </c>
      <c r="F81" s="19">
        <v>60000000</v>
      </c>
      <c r="G81" s="20">
        <v>4056000</v>
      </c>
      <c r="H81" s="21">
        <v>45961</v>
      </c>
      <c r="I81" s="22">
        <f>IF(H81&gt;0,EDATE(H81,-2),"")</f>
        <v>25569.375</v>
      </c>
      <c r="J81" s="18" t="s">
        <v>168</v>
      </c>
      <c r="K81" s="18" t="s">
        <v>506</v>
      </c>
      <c r="L81" s="18" t="s">
        <v>505</v>
      </c>
      <c r="M81" s="19" t="s">
        <v>507</v>
      </c>
      <c r="N81" s="19" t="s">
        <v>508</v>
      </c>
      <c r="O81" s="22">
        <f>IF(ISNUMBER(I81), EDATE(I81,36)-1, "")</f>
        <v>25569.375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x14ac:dyDescent="0.25" r="82" customHeight="1" ht="18.75">
      <c r="A82" s="9"/>
      <c r="B82" s="18" t="s">
        <v>16</v>
      </c>
      <c r="C82" s="9" t="s">
        <v>454</v>
      </c>
      <c r="D82" s="9"/>
      <c r="E82" s="18" t="s">
        <v>509</v>
      </c>
      <c r="F82" s="19">
        <v>10000000</v>
      </c>
      <c r="G82" s="20">
        <v>800000</v>
      </c>
      <c r="H82" s="21">
        <v>46193</v>
      </c>
      <c r="I82" s="22">
        <f>IF(H82&gt;0,EDATE(H82,-2),"")</f>
        <v>25569.375</v>
      </c>
      <c r="J82" s="18" t="s">
        <v>168</v>
      </c>
      <c r="K82" s="18" t="s">
        <v>510</v>
      </c>
      <c r="L82" s="18" t="s">
        <v>509</v>
      </c>
      <c r="M82" s="19" t="s">
        <v>511</v>
      </c>
      <c r="N82" s="19" t="s">
        <v>512</v>
      </c>
      <c r="O82" s="22">
        <f>IF(ISNUMBER(I82), EDATE(I82,36)-1, "")</f>
        <v>25569.375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x14ac:dyDescent="0.25" r="83" customHeight="1" ht="18.75">
      <c r="A83" s="9"/>
      <c r="B83" s="18" t="s">
        <v>16</v>
      </c>
      <c r="C83" s="9" t="s">
        <v>143</v>
      </c>
      <c r="D83" s="9" t="s">
        <v>14</v>
      </c>
      <c r="E83" s="18" t="s">
        <v>513</v>
      </c>
      <c r="F83" s="19">
        <v>10000000</v>
      </c>
      <c r="G83" s="20">
        <v>1200000</v>
      </c>
      <c r="H83" s="21">
        <v>46187</v>
      </c>
      <c r="I83" s="22">
        <f>IF(H83&gt;0,EDATE(H83,-2),"")</f>
        <v>25569.375</v>
      </c>
      <c r="J83" s="18" t="s">
        <v>239</v>
      </c>
      <c r="K83" s="18" t="s">
        <v>514</v>
      </c>
      <c r="L83" s="18" t="s">
        <v>513</v>
      </c>
      <c r="M83" s="19" t="s">
        <v>515</v>
      </c>
      <c r="N83" s="19" t="s">
        <v>516</v>
      </c>
      <c r="O83" s="22">
        <f>IF(ISNUMBER(I83), EDATE(I83,36)-1, "")</f>
        <v>25569.375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x14ac:dyDescent="0.25" r="84" customHeight="1" ht="18.75">
      <c r="A84" s="9"/>
      <c r="B84" s="18" t="s">
        <v>16</v>
      </c>
      <c r="C84" s="9"/>
      <c r="D84" s="9"/>
      <c r="E84" s="18" t="s">
        <v>517</v>
      </c>
      <c r="F84" s="19">
        <v>30000000</v>
      </c>
      <c r="G84" s="20">
        <v>2400000</v>
      </c>
      <c r="H84" s="21">
        <v>45924</v>
      </c>
      <c r="I84" s="22">
        <f>IF(H84&gt;0,EDATE(H84,-2),"")</f>
        <v>25569.375</v>
      </c>
      <c r="J84" s="18" t="s">
        <v>302</v>
      </c>
      <c r="K84" s="18" t="s">
        <v>518</v>
      </c>
      <c r="L84" s="18" t="s">
        <v>517</v>
      </c>
      <c r="M84" s="19" t="s">
        <v>519</v>
      </c>
      <c r="N84" s="19" t="s">
        <v>520</v>
      </c>
      <c r="O84" s="22">
        <f>IF(ISNUMBER(I84), EDATE(I84,36)-1, "")</f>
        <v>25569.375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x14ac:dyDescent="0.25" r="85" customHeight="1" ht="18.75">
      <c r="A85" s="9"/>
      <c r="B85" s="18" t="s">
        <v>16</v>
      </c>
      <c r="C85" s="18" t="s">
        <v>48</v>
      </c>
      <c r="D85" s="18" t="s">
        <v>521</v>
      </c>
      <c r="E85" s="18" t="s">
        <v>522</v>
      </c>
      <c r="F85" s="20">
        <v>10000000</v>
      </c>
      <c r="G85" s="8">
        <f>IF(F85&gt;0,_xludf.IFS(F85=10000000,1200000,F85=20000000,1800000,F85=30000000,2400000,F85=60000000,4000000),"")</f>
      </c>
      <c r="H85" s="21">
        <v>46247</v>
      </c>
      <c r="I85" s="22">
        <f>IF(H85&gt;0,EDATE(H85,-2),"")</f>
        <v>25569.375</v>
      </c>
      <c r="J85" s="18" t="s">
        <v>302</v>
      </c>
      <c r="K85" s="18" t="s">
        <v>523</v>
      </c>
      <c r="L85" s="23">
        <f>IF(E85&gt;0,E85,"")</f>
      </c>
      <c r="M85" s="19">
        <v>6602062638011</v>
      </c>
      <c r="N85" s="19">
        <v>49237587</v>
      </c>
      <c r="O85" s="22">
        <f>IF(ISNUMBER(I85), EDATE(I85,36)-1, "")</f>
        <v>25569.375</v>
      </c>
      <c r="P85" s="18"/>
      <c r="Q85" s="18"/>
      <c r="R85" s="9"/>
      <c r="S85" s="9"/>
      <c r="T85" s="9"/>
      <c r="U85" s="9"/>
      <c r="V85" s="9"/>
      <c r="W85" s="9"/>
      <c r="X85" s="9"/>
      <c r="Y85" s="9"/>
      <c r="Z85" s="9"/>
    </row>
    <row x14ac:dyDescent="0.25" r="86" customHeight="1" ht="18.75">
      <c r="A86" s="9" t="s">
        <v>275</v>
      </c>
      <c r="B86" s="18" t="s">
        <v>16</v>
      </c>
      <c r="C86" s="9" t="s">
        <v>454</v>
      </c>
      <c r="D86" s="9" t="s">
        <v>455</v>
      </c>
      <c r="E86" s="18" t="s">
        <v>524</v>
      </c>
      <c r="F86" s="19">
        <v>10000000</v>
      </c>
      <c r="G86" s="20">
        <v>1200000</v>
      </c>
      <c r="H86" s="21">
        <v>46203</v>
      </c>
      <c r="I86" s="22">
        <f>IF(H86&gt;0,EDATE(H86,-2),"")</f>
        <v>25569.375</v>
      </c>
      <c r="J86" s="18" t="s">
        <v>379</v>
      </c>
      <c r="K86" s="18" t="s">
        <v>525</v>
      </c>
      <c r="L86" s="18" t="s">
        <v>526</v>
      </c>
      <c r="M86" s="19" t="s">
        <v>527</v>
      </c>
      <c r="N86" s="19" t="s">
        <v>528</v>
      </c>
      <c r="O86" s="22">
        <f>IF(ISNUMBER(I86), EDATE(I86,36)-1, "")</f>
        <v>25569.375</v>
      </c>
      <c r="P86" s="9"/>
      <c r="Q86" s="9"/>
      <c r="R86" s="9" t="s">
        <v>529</v>
      </c>
      <c r="S86" s="9"/>
      <c r="T86" s="9"/>
      <c r="U86" s="9"/>
      <c r="V86" s="9"/>
      <c r="W86" s="9"/>
      <c r="X86" s="9"/>
      <c r="Y86" s="9"/>
      <c r="Z86" s="9"/>
    </row>
    <row x14ac:dyDescent="0.25" r="87" customHeight="1" ht="18.75">
      <c r="A87" s="9" t="s">
        <v>252</v>
      </c>
      <c r="B87" s="18" t="s">
        <v>16</v>
      </c>
      <c r="C87" s="9" t="s">
        <v>454</v>
      </c>
      <c r="D87" s="9" t="s">
        <v>455</v>
      </c>
      <c r="E87" s="18" t="s">
        <v>524</v>
      </c>
      <c r="F87" s="19">
        <v>10000000</v>
      </c>
      <c r="G87" s="20">
        <v>1200000</v>
      </c>
      <c r="H87" s="21">
        <v>46203</v>
      </c>
      <c r="I87" s="22">
        <f>IF(H87&gt;0,EDATE(H87,-2),"")</f>
        <v>25569.375</v>
      </c>
      <c r="J87" s="18" t="s">
        <v>379</v>
      </c>
      <c r="K87" s="18" t="s">
        <v>525</v>
      </c>
      <c r="L87" s="18" t="s">
        <v>526</v>
      </c>
      <c r="M87" s="19" t="s">
        <v>527</v>
      </c>
      <c r="N87" s="19" t="s">
        <v>528</v>
      </c>
      <c r="O87" s="22">
        <f>IF(ISNUMBER(I87), EDATE(I87,36)-1, "")</f>
        <v>25569.375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x14ac:dyDescent="0.25" r="88" customHeight="1" ht="18.75">
      <c r="A88" s="9"/>
      <c r="B88" s="18" t="s">
        <v>16</v>
      </c>
      <c r="C88" s="9" t="s">
        <v>454</v>
      </c>
      <c r="D88" s="9" t="s">
        <v>455</v>
      </c>
      <c r="E88" s="18" t="s">
        <v>530</v>
      </c>
      <c r="F88" s="19">
        <v>10000000</v>
      </c>
      <c r="G88" s="20">
        <v>800000</v>
      </c>
      <c r="H88" s="21">
        <v>46154</v>
      </c>
      <c r="I88" s="22">
        <f>IF(H88&gt;0,EDATE(H88,-2),"")</f>
        <v>25569.375</v>
      </c>
      <c r="J88" s="18" t="s">
        <v>155</v>
      </c>
      <c r="K88" s="18" t="s">
        <v>531</v>
      </c>
      <c r="L88" s="23">
        <f>IF(E729&gt;0,E729,"")</f>
      </c>
      <c r="M88" s="19" t="s">
        <v>532</v>
      </c>
      <c r="N88" s="19" t="s">
        <v>533</v>
      </c>
      <c r="O88" s="22">
        <f>IF(ISNUMBER(I88), EDATE(I88,36)-1, "")</f>
        <v>25569.375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x14ac:dyDescent="0.25" r="89" customHeight="1" ht="18.75">
      <c r="A89" s="9"/>
      <c r="B89" s="18" t="s">
        <v>16</v>
      </c>
      <c r="C89" s="9" t="s">
        <v>410</v>
      </c>
      <c r="D89" s="9" t="s">
        <v>534</v>
      </c>
      <c r="E89" s="18" t="s">
        <v>530</v>
      </c>
      <c r="F89" s="19">
        <v>10000000</v>
      </c>
      <c r="G89" s="20">
        <v>800000</v>
      </c>
      <c r="H89" s="21">
        <v>46186</v>
      </c>
      <c r="I89" s="22">
        <f>IF(H89&gt;0,EDATE(H89,-2),"")</f>
        <v>25569.375</v>
      </c>
      <c r="J89" s="18" t="s">
        <v>168</v>
      </c>
      <c r="K89" s="18" t="s">
        <v>535</v>
      </c>
      <c r="L89" s="23">
        <f>IF(E812&gt;0,E812,"")</f>
      </c>
      <c r="M89" s="19" t="s">
        <v>536</v>
      </c>
      <c r="N89" s="19" t="s">
        <v>537</v>
      </c>
      <c r="O89" s="22">
        <f>IF(ISNUMBER(I89), EDATE(I89,36)-1, "")</f>
        <v>25569.375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x14ac:dyDescent="0.25" r="90" customHeight="1" ht="18.75">
      <c r="A90" s="9"/>
      <c r="B90" s="18" t="s">
        <v>16</v>
      </c>
      <c r="C90" s="9" t="s">
        <v>454</v>
      </c>
      <c r="D90" s="9" t="s">
        <v>538</v>
      </c>
      <c r="E90" s="18" t="s">
        <v>530</v>
      </c>
      <c r="F90" s="19">
        <v>10000000</v>
      </c>
      <c r="G90" s="20">
        <v>1200000</v>
      </c>
      <c r="H90" s="21">
        <v>46193</v>
      </c>
      <c r="I90" s="22">
        <f>IF(H90&gt;0,EDATE(H90,-2),"")</f>
        <v>25569.375</v>
      </c>
      <c r="J90" s="18" t="s">
        <v>379</v>
      </c>
      <c r="K90" s="18" t="s">
        <v>539</v>
      </c>
      <c r="L90" s="23">
        <f>IF(E842&gt;0,E842,"")</f>
      </c>
      <c r="M90" s="19" t="s">
        <v>540</v>
      </c>
      <c r="N90" s="19" t="s">
        <v>541</v>
      </c>
      <c r="O90" s="22">
        <f>IF(ISNUMBER(I90), EDATE(I90,36)-1, "")</f>
        <v>25569.375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x14ac:dyDescent="0.25" r="91" customHeight="1" ht="18.75">
      <c r="A91" s="9" t="s">
        <v>275</v>
      </c>
      <c r="B91" s="18" t="s">
        <v>16</v>
      </c>
      <c r="C91" s="9"/>
      <c r="D91" s="9"/>
      <c r="E91" s="18" t="s">
        <v>542</v>
      </c>
      <c r="F91" s="19">
        <v>10000000</v>
      </c>
      <c r="G91" s="20"/>
      <c r="H91" s="21">
        <v>46104</v>
      </c>
      <c r="I91" s="22">
        <f>IF(H91&gt;0,EDATE(H91,-2),"")</f>
        <v>25569.375</v>
      </c>
      <c r="J91" s="18" t="s">
        <v>155</v>
      </c>
      <c r="K91" s="18" t="s">
        <v>543</v>
      </c>
      <c r="L91" s="23">
        <f>IF(E752&gt;0,E752,"")</f>
      </c>
      <c r="M91" s="19" t="s">
        <v>544</v>
      </c>
      <c r="N91" s="19" t="s">
        <v>545</v>
      </c>
      <c r="O91" s="22">
        <f>IF(ISNUMBER(I91), EDATE(I91,36)-1, "")</f>
        <v>25569.375</v>
      </c>
      <c r="P91" s="9"/>
      <c r="Q91" s="9"/>
      <c r="R91" s="9" t="s">
        <v>252</v>
      </c>
      <c r="S91" s="9"/>
      <c r="T91" s="9"/>
      <c r="U91" s="9"/>
      <c r="V91" s="9"/>
      <c r="W91" s="9"/>
      <c r="X91" s="9"/>
      <c r="Y91" s="9"/>
      <c r="Z91" s="9"/>
    </row>
    <row x14ac:dyDescent="0.25" r="92" customHeight="1" ht="18.75">
      <c r="A92" s="9"/>
      <c r="B92" s="18" t="s">
        <v>16</v>
      </c>
      <c r="C92" s="9"/>
      <c r="D92" s="9"/>
      <c r="E92" s="18" t="s">
        <v>542</v>
      </c>
      <c r="F92" s="19">
        <v>10000000</v>
      </c>
      <c r="G92" s="20">
        <v>800000</v>
      </c>
      <c r="H92" s="21">
        <v>46104</v>
      </c>
      <c r="I92" s="22">
        <f>IF(H92&gt;0,EDATE(H92,-2),"")</f>
        <v>25569.375</v>
      </c>
      <c r="J92" s="18" t="s">
        <v>155</v>
      </c>
      <c r="K92" s="18" t="s">
        <v>543</v>
      </c>
      <c r="L92" s="18" t="s">
        <v>542</v>
      </c>
      <c r="M92" s="19" t="s">
        <v>544</v>
      </c>
      <c r="N92" s="19" t="s">
        <v>545</v>
      </c>
      <c r="O92" s="22">
        <f>IF(ISNUMBER(I92), EDATE(I92,36)-1, "")</f>
        <v>25569.375</v>
      </c>
      <c r="P92" s="9"/>
      <c r="Q92" s="9"/>
      <c r="R92" s="9" t="s">
        <v>546</v>
      </c>
      <c r="S92" s="9"/>
      <c r="T92" s="9"/>
      <c r="U92" s="9"/>
      <c r="V92" s="9"/>
      <c r="W92" s="9"/>
      <c r="X92" s="9"/>
      <c r="Y92" s="9"/>
      <c r="Z92" s="9"/>
    </row>
    <row x14ac:dyDescent="0.25" r="93" customHeight="1" ht="18.75">
      <c r="A93" s="9"/>
      <c r="B93" s="18" t="s">
        <v>16</v>
      </c>
      <c r="C93" s="9" t="s">
        <v>55</v>
      </c>
      <c r="D93" s="9" t="s">
        <v>56</v>
      </c>
      <c r="E93" s="18" t="s">
        <v>29</v>
      </c>
      <c r="F93" s="19">
        <v>60000000</v>
      </c>
      <c r="G93" s="20">
        <v>4056000</v>
      </c>
      <c r="H93" s="21">
        <v>46086</v>
      </c>
      <c r="I93" s="22">
        <f>IF(H93&gt;0,EDATE(H93,-2),"")</f>
        <v>25569.375</v>
      </c>
      <c r="J93" s="18" t="s">
        <v>239</v>
      </c>
      <c r="K93" s="18" t="s">
        <v>547</v>
      </c>
      <c r="L93" s="18" t="s">
        <v>29</v>
      </c>
      <c r="M93" s="19" t="s">
        <v>548</v>
      </c>
      <c r="N93" s="19" t="s">
        <v>549</v>
      </c>
      <c r="O93" s="22">
        <f>IF(ISNUMBER(I93), EDATE(I93,36)-1, "")</f>
        <v>25569.375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x14ac:dyDescent="0.25" r="94" customHeight="1" ht="18.75">
      <c r="A94" s="9"/>
      <c r="B94" s="18" t="s">
        <v>16</v>
      </c>
      <c r="C94" s="9"/>
      <c r="D94" s="9" t="s">
        <v>244</v>
      </c>
      <c r="E94" s="18" t="s">
        <v>29</v>
      </c>
      <c r="F94" s="19">
        <v>10000000</v>
      </c>
      <c r="G94" s="20">
        <v>800000</v>
      </c>
      <c r="H94" s="21">
        <v>46132</v>
      </c>
      <c r="I94" s="22">
        <f>IF(H94&gt;0,EDATE(H94,-2),"")</f>
        <v>25569.375</v>
      </c>
      <c r="J94" s="18" t="s">
        <v>182</v>
      </c>
      <c r="K94" s="18" t="s">
        <v>550</v>
      </c>
      <c r="L94" s="18" t="s">
        <v>29</v>
      </c>
      <c r="M94" s="19" t="s">
        <v>548</v>
      </c>
      <c r="N94" s="19" t="s">
        <v>549</v>
      </c>
      <c r="O94" s="22">
        <f>IF(ISNUMBER(I94), EDATE(I94,36)-1, "")</f>
        <v>25569.375</v>
      </c>
      <c r="P94" s="9" t="s">
        <v>551</v>
      </c>
      <c r="Q94" s="9" t="s">
        <v>166</v>
      </c>
      <c r="R94" s="9"/>
      <c r="S94" s="9"/>
      <c r="T94" s="9"/>
      <c r="U94" s="9"/>
      <c r="V94" s="9"/>
      <c r="W94" s="9"/>
      <c r="X94" s="9"/>
      <c r="Y94" s="9"/>
      <c r="Z94" s="9"/>
    </row>
    <row x14ac:dyDescent="0.25" r="95" customHeight="1" ht="18.75">
      <c r="A95" s="9"/>
      <c r="B95" s="18" t="s">
        <v>16</v>
      </c>
      <c r="C95" s="9" t="s">
        <v>454</v>
      </c>
      <c r="D95" s="9" t="s">
        <v>522</v>
      </c>
      <c r="E95" s="18" t="s">
        <v>29</v>
      </c>
      <c r="F95" s="19">
        <v>10000000</v>
      </c>
      <c r="G95" s="20">
        <v>500000</v>
      </c>
      <c r="H95" s="21">
        <v>46148</v>
      </c>
      <c r="I95" s="22">
        <f>IF(H95&gt;0,EDATE(H95,-2),"")</f>
        <v>25569.375</v>
      </c>
      <c r="J95" s="18" t="s">
        <v>302</v>
      </c>
      <c r="K95" s="18" t="s">
        <v>552</v>
      </c>
      <c r="L95" s="18" t="s">
        <v>29</v>
      </c>
      <c r="M95" s="19" t="s">
        <v>553</v>
      </c>
      <c r="N95" s="19" t="s">
        <v>554</v>
      </c>
      <c r="O95" s="22">
        <f>IF(ISNUMBER(I95), EDATE(I95,36)-1, "")</f>
        <v>25569.375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x14ac:dyDescent="0.25" r="96" customHeight="1" ht="18.75">
      <c r="A96" s="9"/>
      <c r="B96" s="18" t="s">
        <v>16</v>
      </c>
      <c r="C96" s="9" t="s">
        <v>153</v>
      </c>
      <c r="D96" s="9" t="s">
        <v>318</v>
      </c>
      <c r="E96" s="18" t="s">
        <v>29</v>
      </c>
      <c r="F96" s="19">
        <v>10000000</v>
      </c>
      <c r="G96" s="20">
        <v>800000</v>
      </c>
      <c r="H96" s="21">
        <v>46177</v>
      </c>
      <c r="I96" s="22">
        <f>IF(H96&gt;0,EDATE(H96,-2),"")</f>
        <v>25569.375</v>
      </c>
      <c r="J96" s="18" t="s">
        <v>555</v>
      </c>
      <c r="K96" s="18" t="s">
        <v>556</v>
      </c>
      <c r="L96" s="18" t="s">
        <v>29</v>
      </c>
      <c r="M96" s="19" t="s">
        <v>557</v>
      </c>
      <c r="N96" s="19" t="s">
        <v>558</v>
      </c>
      <c r="O96" s="22">
        <f>IF(ISNUMBER(I96), EDATE(I96,36)-1, "")</f>
        <v>25569.375</v>
      </c>
      <c r="P96" s="9" t="s">
        <v>559</v>
      </c>
      <c r="Q96" s="9" t="s">
        <v>166</v>
      </c>
      <c r="R96" s="9"/>
      <c r="S96" s="9"/>
      <c r="T96" s="9"/>
      <c r="U96" s="9"/>
      <c r="V96" s="9"/>
      <c r="W96" s="9"/>
      <c r="X96" s="9"/>
      <c r="Y96" s="9"/>
      <c r="Z96" s="9"/>
    </row>
    <row x14ac:dyDescent="0.25" r="97" customHeight="1" ht="18.75">
      <c r="A97" s="9" t="s">
        <v>252</v>
      </c>
      <c r="B97" s="18" t="s">
        <v>16</v>
      </c>
      <c r="C97" s="9"/>
      <c r="D97" s="9"/>
      <c r="E97" s="18" t="s">
        <v>29</v>
      </c>
      <c r="F97" s="19">
        <v>10000000</v>
      </c>
      <c r="G97" s="20">
        <v>800000</v>
      </c>
      <c r="H97" s="21">
        <v>46132</v>
      </c>
      <c r="I97" s="22">
        <f>IF(H97&gt;0,EDATE(H97,-2),"")</f>
        <v>25569.375</v>
      </c>
      <c r="J97" s="18" t="s">
        <v>239</v>
      </c>
      <c r="K97" s="18" t="s">
        <v>550</v>
      </c>
      <c r="L97" s="23">
        <f>IF(E781&gt;0,E781,"")</f>
      </c>
      <c r="M97" s="19" t="s">
        <v>548</v>
      </c>
      <c r="N97" s="19" t="s">
        <v>549</v>
      </c>
      <c r="O97" s="22">
        <f>IF(ISNUMBER(I97), EDATE(I97,36)-1, "")</f>
        <v>25569.375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x14ac:dyDescent="0.25" r="98" customHeight="1" ht="18.75">
      <c r="A98" s="9"/>
      <c r="B98" s="18" t="s">
        <v>16</v>
      </c>
      <c r="C98" s="9"/>
      <c r="D98" s="9"/>
      <c r="E98" s="18" t="s">
        <v>560</v>
      </c>
      <c r="F98" s="19">
        <v>30000000</v>
      </c>
      <c r="G98" s="20">
        <v>2028000</v>
      </c>
      <c r="H98" s="21">
        <v>46184</v>
      </c>
      <c r="I98" s="22">
        <f>IF(H98&gt;0,EDATE(H98,-2),"")</f>
        <v>25569.375</v>
      </c>
      <c r="J98" s="18" t="s">
        <v>161</v>
      </c>
      <c r="K98" s="18" t="s">
        <v>561</v>
      </c>
      <c r="L98" s="18" t="s">
        <v>560</v>
      </c>
      <c r="M98" s="19" t="s">
        <v>562</v>
      </c>
      <c r="N98" s="19" t="s">
        <v>563</v>
      </c>
      <c r="O98" s="22">
        <f>IF(ISNUMBER(I98), EDATE(I98,36)-1, "")</f>
        <v>25569.375</v>
      </c>
      <c r="P98" s="9" t="s">
        <v>564</v>
      </c>
      <c r="Q98" s="9" t="s">
        <v>166</v>
      </c>
      <c r="R98" s="9"/>
      <c r="S98" s="9"/>
      <c r="T98" s="9"/>
      <c r="U98" s="9"/>
      <c r="V98" s="9"/>
      <c r="W98" s="9"/>
      <c r="X98" s="9"/>
      <c r="Y98" s="9"/>
      <c r="Z98" s="9"/>
    </row>
    <row x14ac:dyDescent="0.25" r="99" customHeight="1" ht="18.75">
      <c r="A99" s="9"/>
      <c r="B99" s="18" t="s">
        <v>16</v>
      </c>
      <c r="C99" s="9"/>
      <c r="D99" s="9"/>
      <c r="E99" s="18" t="s">
        <v>565</v>
      </c>
      <c r="F99" s="19">
        <v>10000000</v>
      </c>
      <c r="G99" s="20">
        <v>500000</v>
      </c>
      <c r="H99" s="21">
        <v>46184</v>
      </c>
      <c r="I99" s="22">
        <f>IF(H99&gt;0,EDATE(H99,-2),"")</f>
        <v>25569.375</v>
      </c>
      <c r="J99" s="18" t="s">
        <v>168</v>
      </c>
      <c r="K99" s="18" t="s">
        <v>471</v>
      </c>
      <c r="L99" s="18" t="s">
        <v>565</v>
      </c>
      <c r="M99" s="19" t="s">
        <v>566</v>
      </c>
      <c r="N99" s="19" t="s">
        <v>567</v>
      </c>
      <c r="O99" s="22">
        <f>IF(ISNUMBER(I99), EDATE(I99,36)-1, "")</f>
        <v>25569.375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x14ac:dyDescent="0.25" r="100" customHeight="1" ht="18.75">
      <c r="A100" s="9" t="s">
        <v>568</v>
      </c>
      <c r="B100" s="18" t="s">
        <v>16</v>
      </c>
      <c r="C100" s="9"/>
      <c r="D100" s="9"/>
      <c r="E100" s="18" t="s">
        <v>569</v>
      </c>
      <c r="F100" s="19">
        <v>60000000</v>
      </c>
      <c r="G100" s="20">
        <v>2400000</v>
      </c>
      <c r="H100" s="21">
        <v>45940</v>
      </c>
      <c r="I100" s="22">
        <f>IF(H100&gt;0,EDATE(H100,-2),"")</f>
        <v>25569.375</v>
      </c>
      <c r="J100" s="18" t="s">
        <v>570</v>
      </c>
      <c r="K100" s="18" t="s">
        <v>571</v>
      </c>
      <c r="L100" s="18" t="s">
        <v>569</v>
      </c>
      <c r="M100" s="19" t="s">
        <v>572</v>
      </c>
      <c r="N100" s="19" t="s">
        <v>573</v>
      </c>
      <c r="O100" s="22">
        <f>IF(ISNUMBER(I100), EDATE(I100,36)-1, "")</f>
        <v>25569.375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x14ac:dyDescent="0.25" r="101" customHeight="1" ht="18.75">
      <c r="A101" s="9"/>
      <c r="B101" s="18" t="s">
        <v>16</v>
      </c>
      <c r="C101" s="9" t="s">
        <v>454</v>
      </c>
      <c r="D101" s="9" t="s">
        <v>574</v>
      </c>
      <c r="E101" s="18" t="s">
        <v>575</v>
      </c>
      <c r="F101" s="19">
        <v>10000000</v>
      </c>
      <c r="G101" s="20">
        <v>500000</v>
      </c>
      <c r="H101" s="21">
        <v>46192</v>
      </c>
      <c r="I101" s="22">
        <f>IF(H101&gt;0,EDATE(H101,-2),"")</f>
        <v>25569.375</v>
      </c>
      <c r="J101" s="18" t="s">
        <v>155</v>
      </c>
      <c r="K101" s="18" t="s">
        <v>576</v>
      </c>
      <c r="L101" s="23">
        <f>IF(E678&gt;0,E678,"")</f>
      </c>
      <c r="M101" s="19" t="s">
        <v>577</v>
      </c>
      <c r="N101" s="19" t="s">
        <v>578</v>
      </c>
      <c r="O101" s="22">
        <f>IF(ISNUMBER(I101), EDATE(I101,36)-1, "")</f>
        <v>25569.375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x14ac:dyDescent="0.25" r="102" customHeight="1" ht="18.75">
      <c r="A102" s="9"/>
      <c r="B102" s="18" t="s">
        <v>27</v>
      </c>
      <c r="C102" s="18"/>
      <c r="D102" s="18"/>
      <c r="E102" s="18" t="s">
        <v>579</v>
      </c>
      <c r="F102" s="20">
        <v>3000000</v>
      </c>
      <c r="G102" s="20">
        <v>300000</v>
      </c>
      <c r="H102" s="21">
        <v>45750</v>
      </c>
      <c r="I102" s="22">
        <v>45719</v>
      </c>
      <c r="J102" s="18" t="s">
        <v>580</v>
      </c>
      <c r="K102" s="18" t="s">
        <v>581</v>
      </c>
      <c r="L102" s="18" t="s">
        <v>579</v>
      </c>
      <c r="M102" s="19">
        <v>8408262056411</v>
      </c>
      <c r="N102" s="19">
        <v>25141826</v>
      </c>
      <c r="O102" s="22">
        <v>46083</v>
      </c>
      <c r="P102" s="18"/>
      <c r="Q102" s="18"/>
      <c r="R102" s="9"/>
      <c r="S102" s="9"/>
      <c r="T102" s="9"/>
      <c r="U102" s="9"/>
      <c r="V102" s="9"/>
      <c r="W102" s="9"/>
      <c r="X102" s="9"/>
      <c r="Y102" s="9"/>
      <c r="Z102" s="9"/>
    </row>
    <row x14ac:dyDescent="0.25" r="103" customHeight="1" ht="18.75">
      <c r="A103" s="24" t="s">
        <v>152</v>
      </c>
      <c r="B103" s="25" t="s">
        <v>16</v>
      </c>
      <c r="C103" s="24"/>
      <c r="D103" s="24"/>
      <c r="E103" s="25" t="s">
        <v>25</v>
      </c>
      <c r="F103" s="26">
        <v>20000000</v>
      </c>
      <c r="G103" s="27">
        <v>1600000</v>
      </c>
      <c r="H103" s="28">
        <v>46047</v>
      </c>
      <c r="I103" s="29">
        <v>45848</v>
      </c>
      <c r="J103" s="25" t="s">
        <v>239</v>
      </c>
      <c r="K103" s="25" t="s">
        <v>582</v>
      </c>
      <c r="L103" s="25" t="s">
        <v>25</v>
      </c>
      <c r="M103" s="26" t="s">
        <v>583</v>
      </c>
      <c r="N103" s="26" t="s">
        <v>584</v>
      </c>
      <c r="O103" s="29">
        <f>IF(ISNUMBER(I103), EDATE(I103,36)-1, "")</f>
        <v>25569.375</v>
      </c>
      <c r="P103" s="24"/>
      <c r="Q103" s="24"/>
      <c r="R103" s="24" t="s">
        <v>26</v>
      </c>
      <c r="S103" s="9"/>
      <c r="T103" s="9"/>
      <c r="U103" s="9"/>
      <c r="V103" s="9"/>
      <c r="W103" s="9"/>
      <c r="X103" s="9"/>
      <c r="Y103" s="9"/>
      <c r="Z103" s="9"/>
    </row>
    <row x14ac:dyDescent="0.25" r="104" customHeight="1" ht="18.75">
      <c r="A104" s="9"/>
      <c r="B104" s="18" t="s">
        <v>16</v>
      </c>
      <c r="C104" s="9"/>
      <c r="D104" s="9"/>
      <c r="E104" s="18" t="s">
        <v>585</v>
      </c>
      <c r="F104" s="19">
        <v>10000000</v>
      </c>
      <c r="G104" s="20">
        <v>800000</v>
      </c>
      <c r="H104" s="21">
        <v>46081</v>
      </c>
      <c r="I104" s="22">
        <f>IF(H104&gt;0,EDATE(H104,-2),"")</f>
        <v>25569.375</v>
      </c>
      <c r="J104" s="18" t="s">
        <v>168</v>
      </c>
      <c r="K104" s="18" t="s">
        <v>586</v>
      </c>
      <c r="L104" s="18" t="s">
        <v>585</v>
      </c>
      <c r="M104" s="19" t="s">
        <v>587</v>
      </c>
      <c r="N104" s="19" t="s">
        <v>588</v>
      </c>
      <c r="O104" s="22">
        <f>IF(ISNUMBER(I104), EDATE(I104,36)-1, "")</f>
        <v>25569.375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x14ac:dyDescent="0.25" r="105" customHeight="1" ht="18.75">
      <c r="A105" s="9"/>
      <c r="B105" s="18" t="s">
        <v>27</v>
      </c>
      <c r="C105" s="9"/>
      <c r="D105" s="9"/>
      <c r="E105" s="18" t="s">
        <v>28</v>
      </c>
      <c r="F105" s="19">
        <v>3000000</v>
      </c>
      <c r="G105" s="20">
        <v>300000</v>
      </c>
      <c r="H105" s="21">
        <v>46030</v>
      </c>
      <c r="I105" s="22">
        <f>IF(H105&gt;0,EDATE(H105,-2),"")</f>
        <v>25569.375</v>
      </c>
      <c r="J105" s="18" t="s">
        <v>212</v>
      </c>
      <c r="K105" s="18" t="s">
        <v>589</v>
      </c>
      <c r="L105" s="18" t="s">
        <v>28</v>
      </c>
      <c r="M105" s="19" t="s">
        <v>590</v>
      </c>
      <c r="N105" s="19" t="s">
        <v>591</v>
      </c>
      <c r="O105" s="22">
        <f>IF(ISNUMBER(I105), EDATE(I105,36)-1, "")</f>
        <v>25569.375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x14ac:dyDescent="0.25" r="106" customHeight="1" ht="18.75">
      <c r="A106" s="9"/>
      <c r="B106" s="18" t="s">
        <v>16</v>
      </c>
      <c r="C106" s="9"/>
      <c r="D106" s="9"/>
      <c r="E106" s="18" t="s">
        <v>592</v>
      </c>
      <c r="F106" s="19">
        <v>10000000</v>
      </c>
      <c r="G106" s="20">
        <v>800000</v>
      </c>
      <c r="H106" s="21">
        <v>46030</v>
      </c>
      <c r="I106" s="22">
        <f>IF(H106&gt;0,EDATE(H106,-2),"")</f>
        <v>25569.375</v>
      </c>
      <c r="J106" s="18" t="s">
        <v>379</v>
      </c>
      <c r="K106" s="18" t="s">
        <v>593</v>
      </c>
      <c r="L106" s="18" t="s">
        <v>592</v>
      </c>
      <c r="M106" s="19" t="s">
        <v>594</v>
      </c>
      <c r="N106" s="19" t="s">
        <v>595</v>
      </c>
      <c r="O106" s="22">
        <f>IF(ISNUMBER(I106), EDATE(I106,36)-1, "")</f>
        <v>25569.375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x14ac:dyDescent="0.25" r="107" customHeight="1" ht="18.75">
      <c r="A107" s="9"/>
      <c r="B107" s="18" t="s">
        <v>16</v>
      </c>
      <c r="C107" s="9"/>
      <c r="D107" s="9"/>
      <c r="E107" s="18" t="s">
        <v>596</v>
      </c>
      <c r="F107" s="19">
        <v>10000000</v>
      </c>
      <c r="G107" s="20">
        <v>800000</v>
      </c>
      <c r="H107" s="21">
        <v>46131</v>
      </c>
      <c r="I107" s="22">
        <f>IF(H107&gt;0,EDATE(H107,-2),"")</f>
        <v>25569.375</v>
      </c>
      <c r="J107" s="18" t="s">
        <v>306</v>
      </c>
      <c r="K107" s="18" t="s">
        <v>597</v>
      </c>
      <c r="L107" s="18" t="s">
        <v>596</v>
      </c>
      <c r="M107" s="19" t="s">
        <v>598</v>
      </c>
      <c r="N107" s="19" t="s">
        <v>599</v>
      </c>
      <c r="O107" s="22">
        <f>IF(ISNUMBER(I107), EDATE(I107,36)-1, "")</f>
        <v>25569.375</v>
      </c>
      <c r="P107" s="9" t="s">
        <v>600</v>
      </c>
      <c r="Q107" s="9" t="s">
        <v>166</v>
      </c>
      <c r="R107" s="9"/>
      <c r="S107" s="9"/>
      <c r="T107" s="9"/>
      <c r="U107" s="9"/>
      <c r="V107" s="9"/>
      <c r="W107" s="9"/>
      <c r="X107" s="9"/>
      <c r="Y107" s="9"/>
      <c r="Z107" s="9"/>
    </row>
    <row x14ac:dyDescent="0.25" r="108" customHeight="1" ht="18.75">
      <c r="A108" s="9" t="s">
        <v>216</v>
      </c>
      <c r="B108" s="18" t="s">
        <v>113</v>
      </c>
      <c r="C108" s="9"/>
      <c r="D108" s="9"/>
      <c r="E108" s="18" t="s">
        <v>357</v>
      </c>
      <c r="F108" s="19">
        <v>30000000</v>
      </c>
      <c r="G108" s="20">
        <v>1500000</v>
      </c>
      <c r="H108" s="21">
        <v>45593</v>
      </c>
      <c r="I108" s="22">
        <f>IF(H108&gt;0,EDATE(H108,-2),"")</f>
        <v>25569.375</v>
      </c>
      <c r="J108" s="18" t="s">
        <v>306</v>
      </c>
      <c r="K108" s="18" t="s">
        <v>601</v>
      </c>
      <c r="L108" s="18" t="s">
        <v>357</v>
      </c>
      <c r="M108" s="19" t="s">
        <v>602</v>
      </c>
      <c r="N108" s="19" t="s">
        <v>603</v>
      </c>
      <c r="O108" s="22">
        <f>IF(ISNUMBER(I108), EDATE(I108,36)-1, "")</f>
        <v>25569.375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x14ac:dyDescent="0.25" r="109" customHeight="1" ht="18.75">
      <c r="A109" s="9"/>
      <c r="B109" s="18" t="s">
        <v>16</v>
      </c>
      <c r="C109" s="9"/>
      <c r="D109" s="9"/>
      <c r="E109" s="18" t="s">
        <v>357</v>
      </c>
      <c r="F109" s="19">
        <v>30000000</v>
      </c>
      <c r="G109" s="20">
        <v>2400000</v>
      </c>
      <c r="H109" s="21">
        <v>45898</v>
      </c>
      <c r="I109" s="22">
        <f>IF(H109&gt;0,EDATE(H109,-2),"")</f>
        <v>25569.375</v>
      </c>
      <c r="J109" s="18" t="s">
        <v>306</v>
      </c>
      <c r="K109" s="18" t="s">
        <v>601</v>
      </c>
      <c r="L109" s="18" t="s">
        <v>357</v>
      </c>
      <c r="M109" s="19" t="s">
        <v>602</v>
      </c>
      <c r="N109" s="19" t="s">
        <v>603</v>
      </c>
      <c r="O109" s="22">
        <f>IF(ISNUMBER(I109), EDATE(I109,36)-1, "")</f>
        <v>25569.375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x14ac:dyDescent="0.25" r="110" customHeight="1" ht="18.75">
      <c r="A110" s="9"/>
      <c r="B110" s="18" t="s">
        <v>16</v>
      </c>
      <c r="C110" s="9"/>
      <c r="D110" s="9"/>
      <c r="E110" s="18" t="s">
        <v>357</v>
      </c>
      <c r="F110" s="19">
        <v>30000000</v>
      </c>
      <c r="G110" s="20">
        <v>2400000</v>
      </c>
      <c r="H110" s="21">
        <v>45909</v>
      </c>
      <c r="I110" s="22">
        <f>IF(H110&gt;0,EDATE(H110,-2),"")</f>
        <v>25569.375</v>
      </c>
      <c r="J110" s="18" t="s">
        <v>306</v>
      </c>
      <c r="K110" s="18" t="s">
        <v>601</v>
      </c>
      <c r="L110" s="18" t="s">
        <v>357</v>
      </c>
      <c r="M110" s="19" t="s">
        <v>602</v>
      </c>
      <c r="N110" s="19" t="s">
        <v>603</v>
      </c>
      <c r="O110" s="22">
        <f>IF(ISNUMBER(I110), EDATE(I110,36)-1, "")</f>
        <v>25569.375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x14ac:dyDescent="0.25" r="111" customHeight="1" ht="18.75">
      <c r="A111" s="9"/>
      <c r="B111" s="18" t="s">
        <v>16</v>
      </c>
      <c r="C111" s="9"/>
      <c r="D111" s="9"/>
      <c r="E111" s="18" t="s">
        <v>604</v>
      </c>
      <c r="F111" s="19">
        <v>30000000</v>
      </c>
      <c r="G111" s="20">
        <v>2028000</v>
      </c>
      <c r="H111" s="21">
        <v>46044</v>
      </c>
      <c r="I111" s="22">
        <f>IF(H111&gt;0,EDATE(H111,-2),"")</f>
        <v>25569.375</v>
      </c>
      <c r="J111" s="18" t="s">
        <v>212</v>
      </c>
      <c r="K111" s="18" t="s">
        <v>605</v>
      </c>
      <c r="L111" s="18" t="s">
        <v>604</v>
      </c>
      <c r="M111" s="19" t="s">
        <v>606</v>
      </c>
      <c r="N111" s="19" t="s">
        <v>607</v>
      </c>
      <c r="O111" s="22">
        <f>IF(ISNUMBER(I111), EDATE(I111,36)-1, "")</f>
        <v>25569.375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x14ac:dyDescent="0.25" r="112" customHeight="1" ht="18.75">
      <c r="A112" s="9"/>
      <c r="B112" s="18" t="s">
        <v>16</v>
      </c>
      <c r="C112" s="9" t="s">
        <v>143</v>
      </c>
      <c r="D112" s="9"/>
      <c r="E112" s="18" t="s">
        <v>608</v>
      </c>
      <c r="F112" s="19">
        <v>10000000</v>
      </c>
      <c r="G112" s="20">
        <v>800000</v>
      </c>
      <c r="H112" s="21">
        <v>46146</v>
      </c>
      <c r="I112" s="22">
        <f>IF(H112&gt;0,EDATE(H112,-2),"")</f>
        <v>25569.375</v>
      </c>
      <c r="J112" s="18" t="s">
        <v>609</v>
      </c>
      <c r="K112" s="18" t="s">
        <v>610</v>
      </c>
      <c r="L112" s="18" t="s">
        <v>608</v>
      </c>
      <c r="M112" s="19" t="s">
        <v>611</v>
      </c>
      <c r="N112" s="19" t="s">
        <v>612</v>
      </c>
      <c r="O112" s="22">
        <f>IF(ISNUMBER(I112), EDATE(I112,36)-1, "")</f>
        <v>25569.375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x14ac:dyDescent="0.25" r="113" customHeight="1" ht="18.75">
      <c r="A113" s="9"/>
      <c r="B113" s="18" t="s">
        <v>16</v>
      </c>
      <c r="C113" s="9"/>
      <c r="D113" s="9" t="s">
        <v>477</v>
      </c>
      <c r="E113" s="18" t="s">
        <v>613</v>
      </c>
      <c r="F113" s="19">
        <v>10000000</v>
      </c>
      <c r="G113" s="20">
        <v>800000</v>
      </c>
      <c r="H113" s="21">
        <v>46139</v>
      </c>
      <c r="I113" s="22">
        <f>IF(H113&gt;0,EDATE(H113,-2),"")</f>
        <v>25569.375</v>
      </c>
      <c r="J113" s="18" t="s">
        <v>282</v>
      </c>
      <c r="K113" s="18" t="s">
        <v>614</v>
      </c>
      <c r="L113" s="18" t="s">
        <v>613</v>
      </c>
      <c r="M113" s="19" t="s">
        <v>615</v>
      </c>
      <c r="N113" s="19" t="s">
        <v>616</v>
      </c>
      <c r="O113" s="22">
        <f>IF(ISNUMBER(I113), EDATE(I113,36)-1, "")</f>
        <v>25569.375</v>
      </c>
      <c r="P113" s="9" t="s">
        <v>617</v>
      </c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x14ac:dyDescent="0.25" r="114" customHeight="1" ht="18.75">
      <c r="A114" s="9"/>
      <c r="B114" s="18" t="s">
        <v>16</v>
      </c>
      <c r="C114" s="9"/>
      <c r="D114" s="9"/>
      <c r="E114" s="18" t="s">
        <v>618</v>
      </c>
      <c r="F114" s="19">
        <v>10000000</v>
      </c>
      <c r="G114" s="20">
        <v>800000</v>
      </c>
      <c r="H114" s="21">
        <v>46047</v>
      </c>
      <c r="I114" s="22">
        <f>IF(H114&gt;0,EDATE(H114,-2),"")</f>
        <v>25569.375</v>
      </c>
      <c r="J114" s="18" t="s">
        <v>217</v>
      </c>
      <c r="K114" s="18" t="s">
        <v>619</v>
      </c>
      <c r="L114" s="18" t="s">
        <v>618</v>
      </c>
      <c r="M114" s="19" t="s">
        <v>620</v>
      </c>
      <c r="N114" s="19" t="s">
        <v>621</v>
      </c>
      <c r="O114" s="22">
        <f>IF(ISNUMBER(I114), EDATE(I114,36)-1, "")</f>
        <v>25569.375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x14ac:dyDescent="0.25" r="115" customHeight="1" ht="18.75">
      <c r="A115" s="9"/>
      <c r="B115" s="18" t="s">
        <v>16</v>
      </c>
      <c r="C115" s="9"/>
      <c r="D115" s="9"/>
      <c r="E115" s="18" t="s">
        <v>622</v>
      </c>
      <c r="F115" s="19">
        <v>10000000</v>
      </c>
      <c r="G115" s="20">
        <v>800000</v>
      </c>
      <c r="H115" s="21">
        <v>46165</v>
      </c>
      <c r="I115" s="22">
        <f>IF(H115&gt;0,EDATE(H115,-2),"")</f>
        <v>25569.375</v>
      </c>
      <c r="J115" s="18" t="s">
        <v>168</v>
      </c>
      <c r="K115" s="18" t="s">
        <v>623</v>
      </c>
      <c r="L115" s="18" t="s">
        <v>622</v>
      </c>
      <c r="M115" s="19" t="s">
        <v>624</v>
      </c>
      <c r="N115" s="19" t="s">
        <v>625</v>
      </c>
      <c r="O115" s="22">
        <f>IF(ISNUMBER(I115), EDATE(I115,36)-1, "")</f>
        <v>25569.375</v>
      </c>
      <c r="P115" s="9" t="s">
        <v>626</v>
      </c>
      <c r="Q115" s="9" t="s">
        <v>166</v>
      </c>
      <c r="R115" s="9"/>
      <c r="S115" s="9"/>
      <c r="T115" s="9"/>
      <c r="U115" s="9"/>
      <c r="V115" s="9"/>
      <c r="W115" s="9"/>
      <c r="X115" s="9"/>
      <c r="Y115" s="9"/>
      <c r="Z115" s="9"/>
    </row>
    <row x14ac:dyDescent="0.25" r="116" customHeight="1" ht="18.75">
      <c r="A116" s="9"/>
      <c r="B116" s="18" t="s">
        <v>16</v>
      </c>
      <c r="C116" s="9" t="s">
        <v>627</v>
      </c>
      <c r="D116" s="9" t="s">
        <v>373</v>
      </c>
      <c r="E116" s="18" t="s">
        <v>628</v>
      </c>
      <c r="F116" s="19">
        <v>10000000</v>
      </c>
      <c r="G116" s="20">
        <v>400000</v>
      </c>
      <c r="H116" s="21">
        <v>46221</v>
      </c>
      <c r="I116" s="22">
        <f>IF(H116&gt;0,EDATE(H116,-2),"")</f>
        <v>25569.375</v>
      </c>
      <c r="J116" s="18" t="s">
        <v>205</v>
      </c>
      <c r="K116" s="18" t="s">
        <v>629</v>
      </c>
      <c r="L116" s="23">
        <f>IF(E806&gt;0,E806,"")</f>
      </c>
      <c r="M116" s="19" t="s">
        <v>630</v>
      </c>
      <c r="N116" s="19">
        <v>82946699</v>
      </c>
      <c r="O116" s="22">
        <f>IF(ISNUMBER(I116), EDATE(I116,36)-1, "")</f>
        <v>25569.375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x14ac:dyDescent="0.25" r="117" customHeight="1" ht="18.75">
      <c r="A117" s="9"/>
      <c r="B117" s="18" t="s">
        <v>16</v>
      </c>
      <c r="C117" s="9" t="s">
        <v>80</v>
      </c>
      <c r="D117" s="9"/>
      <c r="E117" s="18" t="s">
        <v>631</v>
      </c>
      <c r="F117" s="19">
        <v>10000000</v>
      </c>
      <c r="G117" s="20"/>
      <c r="H117" s="21">
        <v>46184</v>
      </c>
      <c r="I117" s="22">
        <f>IF(H117&gt;0,EDATE(H117,-2),"")</f>
        <v>25569.375</v>
      </c>
      <c r="J117" s="18" t="s">
        <v>217</v>
      </c>
      <c r="K117" s="18" t="s">
        <v>632</v>
      </c>
      <c r="L117" s="18" t="s">
        <v>631</v>
      </c>
      <c r="M117" s="19" t="s">
        <v>633</v>
      </c>
      <c r="N117" s="19" t="s">
        <v>634</v>
      </c>
      <c r="O117" s="22">
        <f>IF(ISNUMBER(I117), EDATE(I117,36)-1, "")</f>
        <v>25569.375</v>
      </c>
      <c r="P117" s="9" t="s">
        <v>635</v>
      </c>
      <c r="Q117" s="9" t="s">
        <v>166</v>
      </c>
      <c r="R117" s="9"/>
      <c r="S117" s="9"/>
      <c r="T117" s="9"/>
      <c r="U117" s="9"/>
      <c r="V117" s="9"/>
      <c r="W117" s="9"/>
      <c r="X117" s="9"/>
      <c r="Y117" s="9"/>
      <c r="Z117" s="9"/>
    </row>
    <row x14ac:dyDescent="0.25" r="118" customHeight="1" ht="18.75">
      <c r="A118" s="9"/>
      <c r="B118" s="18" t="s">
        <v>16</v>
      </c>
      <c r="C118" s="9"/>
      <c r="D118" s="9" t="s">
        <v>636</v>
      </c>
      <c r="E118" s="18" t="s">
        <v>637</v>
      </c>
      <c r="F118" s="19">
        <v>10000000</v>
      </c>
      <c r="G118" s="20">
        <v>800000</v>
      </c>
      <c r="H118" s="21">
        <v>46131</v>
      </c>
      <c r="I118" s="22">
        <f>IF(H118&gt;0,EDATE(H118,-2),"")</f>
        <v>25569.375</v>
      </c>
      <c r="J118" s="18" t="s">
        <v>282</v>
      </c>
      <c r="K118" s="18" t="s">
        <v>638</v>
      </c>
      <c r="L118" s="18" t="s">
        <v>637</v>
      </c>
      <c r="M118" s="19" t="s">
        <v>639</v>
      </c>
      <c r="N118" s="19" t="s">
        <v>640</v>
      </c>
      <c r="O118" s="22">
        <f>IF(ISNUMBER(I118), EDATE(I118,36)-1, "")</f>
        <v>25569.375</v>
      </c>
      <c r="P118" s="9" t="s">
        <v>641</v>
      </c>
      <c r="Q118" s="9" t="s">
        <v>166</v>
      </c>
      <c r="R118" s="9"/>
      <c r="S118" s="9"/>
      <c r="T118" s="9"/>
      <c r="U118" s="9"/>
      <c r="V118" s="9"/>
      <c r="W118" s="9"/>
      <c r="X118" s="9"/>
      <c r="Y118" s="9"/>
      <c r="Z118" s="9"/>
    </row>
    <row x14ac:dyDescent="0.25" r="119" customHeight="1" ht="18.75">
      <c r="A119" s="9" t="s">
        <v>152</v>
      </c>
      <c r="B119" s="18" t="s">
        <v>16</v>
      </c>
      <c r="C119" s="9" t="s">
        <v>642</v>
      </c>
      <c r="D119" s="9" t="s">
        <v>327</v>
      </c>
      <c r="E119" s="18" t="s">
        <v>643</v>
      </c>
      <c r="F119" s="19">
        <v>10000000</v>
      </c>
      <c r="G119" s="20">
        <v>500000</v>
      </c>
      <c r="H119" s="21">
        <v>45992</v>
      </c>
      <c r="I119" s="22">
        <f>IF(H119&gt;0,EDATE(H119,-2),"")</f>
        <v>25569.375</v>
      </c>
      <c r="J119" s="18" t="s">
        <v>302</v>
      </c>
      <c r="K119" s="18" t="s">
        <v>644</v>
      </c>
      <c r="L119" s="23">
        <f>IF(E665&gt;0,E665,"")</f>
      </c>
      <c r="M119" s="19" t="s">
        <v>645</v>
      </c>
      <c r="N119" s="19">
        <v>37736437</v>
      </c>
      <c r="O119" s="22">
        <f>IF(ISNUMBER(I119), EDATE(I119,36)-1, "")</f>
        <v>25569.375</v>
      </c>
      <c r="P119" s="9"/>
      <c r="Q119" s="9"/>
      <c r="R119" s="9" t="s">
        <v>646</v>
      </c>
      <c r="S119" s="9"/>
      <c r="T119" s="9"/>
      <c r="U119" s="9"/>
      <c r="V119" s="9"/>
      <c r="W119" s="9"/>
      <c r="X119" s="9"/>
      <c r="Y119" s="9"/>
      <c r="Z119" s="9"/>
    </row>
    <row x14ac:dyDescent="0.25" r="120" customHeight="1" ht="18.75">
      <c r="A120" s="9"/>
      <c r="B120" s="18" t="s">
        <v>16</v>
      </c>
      <c r="C120" s="9" t="s">
        <v>454</v>
      </c>
      <c r="D120" s="9" t="s">
        <v>647</v>
      </c>
      <c r="E120" s="18" t="s">
        <v>648</v>
      </c>
      <c r="F120" s="19">
        <v>10000000</v>
      </c>
      <c r="G120" s="20">
        <v>1200000</v>
      </c>
      <c r="H120" s="21">
        <v>46212</v>
      </c>
      <c r="I120" s="22">
        <f>IF(H120&gt;0,EDATE(H120,-2),"")</f>
        <v>25569.375</v>
      </c>
      <c r="J120" s="18" t="s">
        <v>155</v>
      </c>
      <c r="K120" s="18" t="s">
        <v>649</v>
      </c>
      <c r="L120" s="23">
        <f>IF(E701&gt;0,E701,"")</f>
      </c>
      <c r="M120" s="19" t="s">
        <v>650</v>
      </c>
      <c r="N120" s="19">
        <v>56249879</v>
      </c>
      <c r="O120" s="22">
        <f>IF(ISNUMBER(I120), EDATE(I120,36)-1, "")</f>
        <v>25569.375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x14ac:dyDescent="0.25" r="121" customHeight="1" ht="18.75">
      <c r="A121" s="9"/>
      <c r="B121" s="18" t="s">
        <v>16</v>
      </c>
      <c r="C121" s="9"/>
      <c r="D121" s="9"/>
      <c r="E121" s="18" t="s">
        <v>651</v>
      </c>
      <c r="F121" s="19">
        <v>10000000</v>
      </c>
      <c r="G121" s="20">
        <v>500000</v>
      </c>
      <c r="H121" s="21">
        <v>46197</v>
      </c>
      <c r="I121" s="22">
        <f>IF(H121&gt;0,EDATE(H121,-2),"")</f>
        <v>25569.375</v>
      </c>
      <c r="J121" s="18" t="s">
        <v>168</v>
      </c>
      <c r="K121" s="18" t="s">
        <v>652</v>
      </c>
      <c r="L121" s="18" t="s">
        <v>651</v>
      </c>
      <c r="M121" s="19" t="s">
        <v>653</v>
      </c>
      <c r="N121" s="19" t="s">
        <v>654</v>
      </c>
      <c r="O121" s="22">
        <f>IF(ISNUMBER(I121), EDATE(I121,36)-1, "")</f>
        <v>25569.375</v>
      </c>
      <c r="P121" s="9" t="s">
        <v>655</v>
      </c>
      <c r="Q121" s="9" t="s">
        <v>166</v>
      </c>
      <c r="R121" s="9" t="s">
        <v>656</v>
      </c>
      <c r="S121" s="9"/>
      <c r="T121" s="9"/>
      <c r="U121" s="9"/>
      <c r="V121" s="9"/>
      <c r="W121" s="9"/>
      <c r="X121" s="9"/>
      <c r="Y121" s="9"/>
      <c r="Z121" s="9"/>
    </row>
    <row x14ac:dyDescent="0.25" r="122" customHeight="1" ht="18.75">
      <c r="A122" s="9"/>
      <c r="B122" s="18" t="s">
        <v>16</v>
      </c>
      <c r="C122" s="9"/>
      <c r="D122" s="9"/>
      <c r="E122" s="18" t="s">
        <v>657</v>
      </c>
      <c r="F122" s="19">
        <v>20000000</v>
      </c>
      <c r="G122" s="20"/>
      <c r="H122" s="21">
        <v>46179</v>
      </c>
      <c r="I122" s="22">
        <f>IF(H122&gt;0,EDATE(H122,-2),"")</f>
        <v>25569.375</v>
      </c>
      <c r="J122" s="18" t="s">
        <v>217</v>
      </c>
      <c r="K122" s="18" t="s">
        <v>658</v>
      </c>
      <c r="L122" s="18" t="s">
        <v>657</v>
      </c>
      <c r="M122" s="19" t="s">
        <v>659</v>
      </c>
      <c r="N122" s="19" t="s">
        <v>660</v>
      </c>
      <c r="O122" s="22">
        <f>IF(ISNUMBER(I122), EDATE(I122,36)-1, "")</f>
        <v>25569.375</v>
      </c>
      <c r="P122" s="9"/>
      <c r="Q122" s="9" t="s">
        <v>166</v>
      </c>
      <c r="R122" s="9"/>
      <c r="S122" s="9"/>
      <c r="T122" s="9"/>
      <c r="U122" s="9"/>
      <c r="V122" s="9"/>
      <c r="W122" s="9"/>
      <c r="X122" s="9"/>
      <c r="Y122" s="9"/>
      <c r="Z122" s="9"/>
    </row>
    <row x14ac:dyDescent="0.25" r="123" customHeight="1" ht="18.75">
      <c r="A123" s="9"/>
      <c r="B123" s="18" t="s">
        <v>16</v>
      </c>
      <c r="C123" s="9"/>
      <c r="D123" s="9"/>
      <c r="E123" s="18" t="s">
        <v>661</v>
      </c>
      <c r="F123" s="19">
        <v>10000000</v>
      </c>
      <c r="G123" s="20">
        <v>800000</v>
      </c>
      <c r="H123" s="21">
        <v>46152</v>
      </c>
      <c r="I123" s="22">
        <f>IF(H123&gt;0,EDATE(H123,-2),"")</f>
        <v>25569.375</v>
      </c>
      <c r="J123" s="18" t="s">
        <v>239</v>
      </c>
      <c r="K123" s="18" t="s">
        <v>662</v>
      </c>
      <c r="L123" s="18" t="s">
        <v>661</v>
      </c>
      <c r="M123" s="19" t="s">
        <v>663</v>
      </c>
      <c r="N123" s="19" t="s">
        <v>664</v>
      </c>
      <c r="O123" s="22">
        <f>IF(ISNUMBER(I123), EDATE(I123,36)-1, "")</f>
        <v>25569.375</v>
      </c>
      <c r="P123" s="9"/>
      <c r="Q123" s="9" t="s">
        <v>166</v>
      </c>
      <c r="R123" s="9" t="s">
        <v>83</v>
      </c>
      <c r="S123" s="9"/>
      <c r="T123" s="9"/>
      <c r="U123" s="9"/>
      <c r="V123" s="9"/>
      <c r="W123" s="9"/>
      <c r="X123" s="9"/>
      <c r="Y123" s="9"/>
      <c r="Z123" s="9"/>
    </row>
    <row x14ac:dyDescent="0.25" r="124" customHeight="1" ht="18.75">
      <c r="A124" s="9"/>
      <c r="B124" s="18" t="s">
        <v>16</v>
      </c>
      <c r="C124" s="9"/>
      <c r="D124" s="9"/>
      <c r="E124" s="18" t="s">
        <v>665</v>
      </c>
      <c r="F124" s="19">
        <v>10000000</v>
      </c>
      <c r="G124" s="20">
        <v>800000</v>
      </c>
      <c r="H124" s="21">
        <v>46100</v>
      </c>
      <c r="I124" s="22">
        <f>IF(H124&gt;0,EDATE(H124,-2),"")</f>
        <v>25569.375</v>
      </c>
      <c r="J124" s="18" t="s">
        <v>182</v>
      </c>
      <c r="K124" s="18" t="s">
        <v>666</v>
      </c>
      <c r="L124" s="18" t="s">
        <v>665</v>
      </c>
      <c r="M124" s="19" t="s">
        <v>667</v>
      </c>
      <c r="N124" s="19" t="s">
        <v>668</v>
      </c>
      <c r="O124" s="22">
        <f>IF(ISNUMBER(I124), EDATE(I124,36)-1, "")</f>
        <v>25569.375</v>
      </c>
      <c r="P124" s="9"/>
      <c r="Q124" s="9" t="s">
        <v>166</v>
      </c>
      <c r="R124" s="9"/>
      <c r="S124" s="9"/>
      <c r="T124" s="9"/>
      <c r="U124" s="9"/>
      <c r="V124" s="9"/>
      <c r="W124" s="9"/>
      <c r="X124" s="9"/>
      <c r="Y124" s="9"/>
      <c r="Z124" s="9"/>
    </row>
    <row x14ac:dyDescent="0.25" r="125" customHeight="1" ht="18.75">
      <c r="A125" s="9"/>
      <c r="B125" s="18" t="s">
        <v>16</v>
      </c>
      <c r="C125" s="9"/>
      <c r="D125" s="9"/>
      <c r="E125" s="18" t="s">
        <v>669</v>
      </c>
      <c r="F125" s="19">
        <v>30000000</v>
      </c>
      <c r="G125" s="20">
        <v>2400000</v>
      </c>
      <c r="H125" s="21">
        <v>45840</v>
      </c>
      <c r="I125" s="22">
        <f>IF(H125&gt;0,EDATE(H125,-2),"")</f>
        <v>25569.375</v>
      </c>
      <c r="J125" s="18" t="s">
        <v>212</v>
      </c>
      <c r="K125" s="18" t="s">
        <v>670</v>
      </c>
      <c r="L125" s="23">
        <f>IF(E798&gt;0,E798,"")</f>
      </c>
      <c r="M125" s="19" t="s">
        <v>671</v>
      </c>
      <c r="N125" s="19">
        <v>55325621</v>
      </c>
      <c r="O125" s="22">
        <f>IF(ISNUMBER(I125), EDATE(I125,36)-1, "")</f>
        <v>25569.375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x14ac:dyDescent="0.25" r="126" customHeight="1" ht="18.75">
      <c r="A126" s="9"/>
      <c r="B126" s="18" t="s">
        <v>16</v>
      </c>
      <c r="C126" s="9"/>
      <c r="D126" s="9"/>
      <c r="E126" s="18" t="s">
        <v>672</v>
      </c>
      <c r="F126" s="19">
        <v>30000000</v>
      </c>
      <c r="G126" s="20">
        <v>2400000</v>
      </c>
      <c r="H126" s="21">
        <v>45869</v>
      </c>
      <c r="I126" s="22">
        <f>IF(H126&gt;0,EDATE(H126,-2),"")</f>
        <v>25569.375</v>
      </c>
      <c r="J126" s="18" t="s">
        <v>212</v>
      </c>
      <c r="K126" s="18" t="s">
        <v>673</v>
      </c>
      <c r="L126" s="18" t="s">
        <v>672</v>
      </c>
      <c r="M126" s="19" t="s">
        <v>674</v>
      </c>
      <c r="N126" s="19" t="s">
        <v>675</v>
      </c>
      <c r="O126" s="22">
        <f>IF(ISNUMBER(I126), EDATE(I126,36)-1, "")</f>
        <v>25569.375</v>
      </c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x14ac:dyDescent="0.25" r="127" customHeight="1" ht="18.75">
      <c r="A127" s="9"/>
      <c r="B127" s="18" t="s">
        <v>16</v>
      </c>
      <c r="C127" s="9"/>
      <c r="D127" s="9"/>
      <c r="E127" s="18" t="s">
        <v>676</v>
      </c>
      <c r="F127" s="19">
        <v>10000000</v>
      </c>
      <c r="G127" s="20">
        <v>800000</v>
      </c>
      <c r="H127" s="21">
        <v>46194</v>
      </c>
      <c r="I127" s="22">
        <f>IF(H127&gt;0,EDATE(H127,-2),"")</f>
        <v>25569.375</v>
      </c>
      <c r="J127" s="18" t="s">
        <v>168</v>
      </c>
      <c r="K127" s="18" t="s">
        <v>677</v>
      </c>
      <c r="L127" s="18" t="s">
        <v>676</v>
      </c>
      <c r="M127" s="19" t="s">
        <v>678</v>
      </c>
      <c r="N127" s="19" t="s">
        <v>679</v>
      </c>
      <c r="O127" s="22">
        <f>IF(ISNUMBER(I127), EDATE(I127,36)-1, "")</f>
        <v>25569.375</v>
      </c>
      <c r="P127" s="9" t="s">
        <v>680</v>
      </c>
      <c r="Q127" s="9" t="s">
        <v>166</v>
      </c>
      <c r="R127" s="9"/>
      <c r="S127" s="9"/>
      <c r="T127" s="9"/>
      <c r="U127" s="9"/>
      <c r="V127" s="9"/>
      <c r="W127" s="9"/>
      <c r="X127" s="9"/>
      <c r="Y127" s="9"/>
      <c r="Z127" s="9"/>
    </row>
    <row x14ac:dyDescent="0.25" r="128" customHeight="1" ht="18.75">
      <c r="A128" s="9"/>
      <c r="B128" s="18" t="s">
        <v>16</v>
      </c>
      <c r="C128" s="9"/>
      <c r="D128" s="9"/>
      <c r="E128" s="18" t="s">
        <v>681</v>
      </c>
      <c r="F128" s="19">
        <v>30000000</v>
      </c>
      <c r="G128" s="20">
        <v>2028000</v>
      </c>
      <c r="H128" s="21">
        <v>46032</v>
      </c>
      <c r="I128" s="22">
        <f>IF(H128&gt;0,EDATE(H128,-2),"")</f>
        <v>25569.375</v>
      </c>
      <c r="J128" s="18" t="s">
        <v>239</v>
      </c>
      <c r="K128" s="18" t="s">
        <v>682</v>
      </c>
      <c r="L128" s="18" t="s">
        <v>681</v>
      </c>
      <c r="M128" s="19" t="s">
        <v>683</v>
      </c>
      <c r="N128" s="19" t="s">
        <v>684</v>
      </c>
      <c r="O128" s="22">
        <f>IF(ISNUMBER(I128), EDATE(I128,36)-1, "")</f>
        <v>25569.375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x14ac:dyDescent="0.25" r="129" customHeight="1" ht="18.75">
      <c r="A129" s="9"/>
      <c r="B129" s="18" t="s">
        <v>16</v>
      </c>
      <c r="C129" s="9"/>
      <c r="D129" s="9"/>
      <c r="E129" s="18" t="s">
        <v>685</v>
      </c>
      <c r="F129" s="19">
        <v>10000000</v>
      </c>
      <c r="G129" s="20">
        <v>800000</v>
      </c>
      <c r="H129" s="21">
        <v>46191</v>
      </c>
      <c r="I129" s="22">
        <f>IF(H129&gt;0,EDATE(H129,-2),"")</f>
        <v>25569.375</v>
      </c>
      <c r="J129" s="18" t="s">
        <v>239</v>
      </c>
      <c r="K129" s="18" t="s">
        <v>686</v>
      </c>
      <c r="L129" s="18" t="s">
        <v>685</v>
      </c>
      <c r="M129" s="19" t="s">
        <v>687</v>
      </c>
      <c r="N129" s="19" t="s">
        <v>688</v>
      </c>
      <c r="O129" s="22">
        <f>IF(ISNUMBER(I129), EDATE(I129,36)-1, "")</f>
        <v>25569.375</v>
      </c>
      <c r="P129" s="9" t="s">
        <v>689</v>
      </c>
      <c r="Q129" s="9" t="s">
        <v>166</v>
      </c>
      <c r="R129" s="9"/>
      <c r="S129" s="9"/>
      <c r="T129" s="9"/>
      <c r="U129" s="9"/>
      <c r="V129" s="9"/>
      <c r="W129" s="9"/>
      <c r="X129" s="9"/>
      <c r="Y129" s="9"/>
      <c r="Z129" s="9"/>
    </row>
    <row x14ac:dyDescent="0.25" r="130" customHeight="1" ht="18.75">
      <c r="A130" s="9"/>
      <c r="B130" s="18" t="s">
        <v>16</v>
      </c>
      <c r="C130" s="18" t="s">
        <v>410</v>
      </c>
      <c r="D130" s="18" t="s">
        <v>690</v>
      </c>
      <c r="E130" s="18" t="s">
        <v>691</v>
      </c>
      <c r="F130" s="20">
        <v>10000000</v>
      </c>
      <c r="G130" s="8">
        <f>IF(F130&gt;0,_xludf.IFS(F130=10000000,1200000,F130=20000000,1800000,F130=30000000,2400000,F130=60000000,4000000),"")</f>
      </c>
      <c r="H130" s="21">
        <v>46235</v>
      </c>
      <c r="I130" s="22">
        <f>IF(H130&gt;0,EDATE(H130,-2),"")</f>
        <v>25569.375</v>
      </c>
      <c r="J130" s="18" t="s">
        <v>155</v>
      </c>
      <c r="K130" s="18" t="s">
        <v>692</v>
      </c>
      <c r="L130" s="23">
        <f>IF(E130&gt;0,E130,"")</f>
      </c>
      <c r="M130" s="19">
        <v>7306142058011</v>
      </c>
      <c r="N130" s="19">
        <v>85366602</v>
      </c>
      <c r="O130" s="22">
        <f>IF(ISNUMBER(I130), EDATE(I130,36)-1, "")</f>
        <v>25569.375</v>
      </c>
      <c r="P130" s="18"/>
      <c r="Q130" s="18"/>
      <c r="R130" s="9"/>
      <c r="S130" s="9"/>
      <c r="T130" s="9"/>
      <c r="U130" s="9"/>
      <c r="V130" s="9"/>
      <c r="W130" s="9"/>
      <c r="X130" s="9"/>
      <c r="Y130" s="9"/>
      <c r="Z130" s="9"/>
    </row>
    <row x14ac:dyDescent="0.25" r="131" customHeight="1" ht="18.75">
      <c r="A131" s="9"/>
      <c r="B131" s="18" t="s">
        <v>16</v>
      </c>
      <c r="C131" s="9"/>
      <c r="D131" s="9"/>
      <c r="E131" s="18" t="s">
        <v>117</v>
      </c>
      <c r="F131" s="19">
        <v>60000000</v>
      </c>
      <c r="G131" s="20">
        <v>4056000</v>
      </c>
      <c r="H131" s="21">
        <v>45987</v>
      </c>
      <c r="I131" s="22">
        <f>IF(H131&gt;0,EDATE(H131,-2),"")</f>
        <v>25569.375</v>
      </c>
      <c r="J131" s="18" t="s">
        <v>306</v>
      </c>
      <c r="K131" s="18" t="s">
        <v>693</v>
      </c>
      <c r="L131" s="18" t="s">
        <v>117</v>
      </c>
      <c r="M131" s="19" t="s">
        <v>694</v>
      </c>
      <c r="N131" s="19" t="s">
        <v>695</v>
      </c>
      <c r="O131" s="22">
        <f>IF(ISNUMBER(I131), EDATE(I131,36)-1, "")</f>
        <v>25569.375</v>
      </c>
      <c r="P131" s="9"/>
      <c r="Q131" s="9"/>
      <c r="R131" s="9" t="s">
        <v>696</v>
      </c>
      <c r="S131" s="9"/>
      <c r="T131" s="9"/>
      <c r="U131" s="9"/>
      <c r="V131" s="9"/>
      <c r="W131" s="9"/>
      <c r="X131" s="9"/>
      <c r="Y131" s="9"/>
      <c r="Z131" s="9"/>
    </row>
    <row x14ac:dyDescent="0.25" r="132" customHeight="1" ht="18.75">
      <c r="A132" s="9"/>
      <c r="B132" s="18" t="s">
        <v>16</v>
      </c>
      <c r="C132" s="9"/>
      <c r="D132" s="9"/>
      <c r="E132" s="18" t="s">
        <v>117</v>
      </c>
      <c r="F132" s="19">
        <v>60000000</v>
      </c>
      <c r="G132" s="20">
        <v>4056000</v>
      </c>
      <c r="H132" s="21">
        <v>46008</v>
      </c>
      <c r="I132" s="22">
        <f>IF(H132&gt;0,EDATE(H132,-2),"")</f>
        <v>25569.375</v>
      </c>
      <c r="J132" s="18" t="s">
        <v>570</v>
      </c>
      <c r="K132" s="18" t="s">
        <v>697</v>
      </c>
      <c r="L132" s="18" t="s">
        <v>117</v>
      </c>
      <c r="M132" s="19" t="s">
        <v>694</v>
      </c>
      <c r="N132" s="19" t="s">
        <v>695</v>
      </c>
      <c r="O132" s="22">
        <f>IF(ISNUMBER(I132), EDATE(I132,36)-1, "")</f>
        <v>25569.375</v>
      </c>
      <c r="P132" s="9"/>
      <c r="Q132" s="9"/>
      <c r="R132" s="9" t="s">
        <v>698</v>
      </c>
      <c r="S132" s="9"/>
      <c r="T132" s="9"/>
      <c r="U132" s="9"/>
      <c r="V132" s="9"/>
      <c r="W132" s="9"/>
      <c r="X132" s="9"/>
      <c r="Y132" s="9"/>
      <c r="Z132" s="9"/>
    </row>
    <row x14ac:dyDescent="0.25" r="133" customHeight="1" ht="18.75">
      <c r="A133" s="9"/>
      <c r="B133" s="18" t="s">
        <v>16</v>
      </c>
      <c r="C133" s="9"/>
      <c r="D133" s="9"/>
      <c r="E133" s="18" t="s">
        <v>117</v>
      </c>
      <c r="F133" s="19">
        <v>10000000</v>
      </c>
      <c r="G133" s="20">
        <v>800000</v>
      </c>
      <c r="H133" s="21">
        <v>46081</v>
      </c>
      <c r="I133" s="22">
        <f>IF(H133&gt;0,EDATE(H133,-2),"")</f>
        <v>25569.375</v>
      </c>
      <c r="J133" s="18" t="s">
        <v>699</v>
      </c>
      <c r="K133" s="18" t="s">
        <v>700</v>
      </c>
      <c r="L133" s="18" t="s">
        <v>117</v>
      </c>
      <c r="M133" s="19" t="s">
        <v>701</v>
      </c>
      <c r="N133" s="19" t="s">
        <v>702</v>
      </c>
      <c r="O133" s="22">
        <f>IF(ISNUMBER(I133), EDATE(I133,36)-1, "")</f>
        <v>25569.375</v>
      </c>
      <c r="P133" s="9"/>
      <c r="Q133" s="9"/>
      <c r="R133" s="9" t="s">
        <v>703</v>
      </c>
      <c r="S133" s="9"/>
      <c r="T133" s="9"/>
      <c r="U133" s="9"/>
      <c r="V133" s="9"/>
      <c r="W133" s="9"/>
      <c r="X133" s="9"/>
      <c r="Y133" s="9"/>
      <c r="Z133" s="9"/>
    </row>
    <row x14ac:dyDescent="0.25" r="134" customHeight="1" ht="18.75">
      <c r="A134" s="9" t="s">
        <v>152</v>
      </c>
      <c r="B134" s="18" t="s">
        <v>16</v>
      </c>
      <c r="C134" s="9" t="s">
        <v>80</v>
      </c>
      <c r="D134" s="9" t="s">
        <v>596</v>
      </c>
      <c r="E134" s="18" t="s">
        <v>117</v>
      </c>
      <c r="F134" s="19">
        <v>10000000</v>
      </c>
      <c r="G134" s="20">
        <v>800000</v>
      </c>
      <c r="H134" s="21">
        <v>46130</v>
      </c>
      <c r="I134" s="22">
        <f>IF(H134&gt;0,EDATE(H134,-2),"")</f>
        <v>25569.375</v>
      </c>
      <c r="J134" s="18" t="s">
        <v>217</v>
      </c>
      <c r="K134" s="18" t="s">
        <v>704</v>
      </c>
      <c r="L134" s="23">
        <f>IF(E134&gt;0,E134,"")</f>
      </c>
      <c r="M134" s="19" t="s">
        <v>705</v>
      </c>
      <c r="N134" s="19" t="s">
        <v>706</v>
      </c>
      <c r="O134" s="22">
        <f>IF(ISNUMBER(I134), EDATE(I134,36)-1, "")</f>
        <v>25569.375</v>
      </c>
      <c r="P134" s="9"/>
      <c r="Q134" s="9"/>
      <c r="R134" s="9" t="s">
        <v>707</v>
      </c>
      <c r="S134" s="9"/>
      <c r="T134" s="9"/>
      <c r="U134" s="9"/>
      <c r="V134" s="9"/>
      <c r="W134" s="9"/>
      <c r="X134" s="9"/>
      <c r="Y134" s="9"/>
      <c r="Z134" s="9"/>
    </row>
    <row x14ac:dyDescent="0.25" r="135" customHeight="1" ht="18.75">
      <c r="A135" s="9" t="s">
        <v>252</v>
      </c>
      <c r="B135" s="18" t="s">
        <v>16</v>
      </c>
      <c r="C135" s="9" t="s">
        <v>80</v>
      </c>
      <c r="D135" s="9" t="s">
        <v>596</v>
      </c>
      <c r="E135" s="18" t="s">
        <v>117</v>
      </c>
      <c r="F135" s="19">
        <v>10000000</v>
      </c>
      <c r="G135" s="20">
        <v>1200000</v>
      </c>
      <c r="H135" s="21">
        <v>46221</v>
      </c>
      <c r="I135" s="22">
        <f>IF(H135&gt;0,EDATE(H135,-2),"")</f>
        <v>25569.375</v>
      </c>
      <c r="J135" s="18" t="s">
        <v>217</v>
      </c>
      <c r="K135" s="18" t="s">
        <v>704</v>
      </c>
      <c r="L135" s="23">
        <f>IF(E135&gt;0,E135,"")</f>
      </c>
      <c r="M135" s="19" t="s">
        <v>705</v>
      </c>
      <c r="N135" s="19" t="s">
        <v>706</v>
      </c>
      <c r="O135" s="22">
        <f>IF(ISNUMBER(I135), EDATE(I135,36)-1, "")</f>
        <v>25569.375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x14ac:dyDescent="0.25" r="136" customHeight="1" ht="18.75">
      <c r="A136" s="9" t="s">
        <v>708</v>
      </c>
      <c r="B136" s="18" t="s">
        <v>16</v>
      </c>
      <c r="C136" s="9" t="s">
        <v>80</v>
      </c>
      <c r="D136" s="9" t="s">
        <v>596</v>
      </c>
      <c r="E136" s="18" t="s">
        <v>117</v>
      </c>
      <c r="F136" s="19">
        <v>10000000</v>
      </c>
      <c r="G136" s="20">
        <v>1200000</v>
      </c>
      <c r="H136" s="21">
        <v>46211</v>
      </c>
      <c r="I136" s="22">
        <f>IF(H136&gt;0,EDATE(H136,-2),"")</f>
        <v>25569.375</v>
      </c>
      <c r="J136" s="18" t="s">
        <v>217</v>
      </c>
      <c r="K136" s="18" t="s">
        <v>704</v>
      </c>
      <c r="L136" s="23">
        <f>IF(E136&gt;0,E136,"")</f>
      </c>
      <c r="M136" s="19" t="s">
        <v>705</v>
      </c>
      <c r="N136" s="19" t="s">
        <v>706</v>
      </c>
      <c r="O136" s="22">
        <f>IF(ISNUMBER(I136), EDATE(I136,36)-1, "")</f>
        <v>25569.375</v>
      </c>
      <c r="P136" s="9"/>
      <c r="Q136" s="9"/>
      <c r="R136" s="9" t="s">
        <v>709</v>
      </c>
      <c r="S136" s="9"/>
      <c r="T136" s="9"/>
      <c r="U136" s="9"/>
      <c r="V136" s="9"/>
      <c r="W136" s="9"/>
      <c r="X136" s="9"/>
      <c r="Y136" s="9"/>
      <c r="Z136" s="9"/>
    </row>
    <row x14ac:dyDescent="0.25" r="137" customHeight="1" ht="18.75">
      <c r="A137" s="9" t="s">
        <v>275</v>
      </c>
      <c r="B137" s="18" t="s">
        <v>16</v>
      </c>
      <c r="C137" s="9"/>
      <c r="D137" s="9"/>
      <c r="E137" s="18" t="s">
        <v>710</v>
      </c>
      <c r="F137" s="19">
        <v>10000000</v>
      </c>
      <c r="G137" s="20">
        <v>800000</v>
      </c>
      <c r="H137" s="21">
        <v>46166</v>
      </c>
      <c r="I137" s="22">
        <f>IF(H137&gt;0,EDATE(H137,-2),"")</f>
        <v>25569.375</v>
      </c>
      <c r="J137" s="18" t="s">
        <v>205</v>
      </c>
      <c r="K137" s="18" t="s">
        <v>711</v>
      </c>
      <c r="L137" s="23">
        <f>IF(E137&gt;0,E137,"")</f>
      </c>
      <c r="M137" s="19" t="s">
        <v>712</v>
      </c>
      <c r="N137" s="19" t="s">
        <v>713</v>
      </c>
      <c r="O137" s="22">
        <f>IF(ISNUMBER(I137), EDATE(I137,36)-1, "")</f>
        <v>25569.375</v>
      </c>
      <c r="P137" s="9" t="s">
        <v>714</v>
      </c>
      <c r="Q137" s="9" t="s">
        <v>166</v>
      </c>
      <c r="R137" s="9" t="s">
        <v>715</v>
      </c>
      <c r="S137" s="9"/>
      <c r="T137" s="9"/>
      <c r="U137" s="9"/>
      <c r="V137" s="9"/>
      <c r="W137" s="9"/>
      <c r="X137" s="9"/>
      <c r="Y137" s="9"/>
      <c r="Z137" s="9"/>
    </row>
    <row x14ac:dyDescent="0.25" r="138" customHeight="1" ht="18.75">
      <c r="A138" s="9"/>
      <c r="B138" s="18" t="s">
        <v>16</v>
      </c>
      <c r="C138" s="9"/>
      <c r="D138" s="9"/>
      <c r="E138" s="18" t="s">
        <v>716</v>
      </c>
      <c r="F138" s="19">
        <v>10000000</v>
      </c>
      <c r="G138" s="20">
        <v>800000</v>
      </c>
      <c r="H138" s="21">
        <v>46029</v>
      </c>
      <c r="I138" s="22">
        <f>IF(H138&gt;0,EDATE(H138,-2),"")</f>
        <v>25569.375</v>
      </c>
      <c r="J138" s="18" t="s">
        <v>306</v>
      </c>
      <c r="K138" s="18" t="s">
        <v>717</v>
      </c>
      <c r="L138" s="23">
        <f>IF(E138&gt;0,E138,"")</f>
      </c>
      <c r="M138" s="19" t="s">
        <v>718</v>
      </c>
      <c r="N138" s="19" t="s">
        <v>719</v>
      </c>
      <c r="O138" s="22">
        <f>IF(ISNUMBER(I138), EDATE(I138,36)-1, "")</f>
        <v>25569.375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x14ac:dyDescent="0.25" r="139" customHeight="1" ht="18.75">
      <c r="A139" s="9"/>
      <c r="B139" s="18" t="s">
        <v>16</v>
      </c>
      <c r="C139" s="9"/>
      <c r="D139" s="9" t="s">
        <v>720</v>
      </c>
      <c r="E139" s="18" t="s">
        <v>721</v>
      </c>
      <c r="F139" s="19">
        <v>10000000</v>
      </c>
      <c r="G139" s="20">
        <v>500000</v>
      </c>
      <c r="H139" s="21">
        <v>46181</v>
      </c>
      <c r="I139" s="22">
        <f>IF(H139&gt;0,EDATE(H139,-2),"")</f>
        <v>25569.375</v>
      </c>
      <c r="J139" s="18" t="s">
        <v>168</v>
      </c>
      <c r="K139" s="18" t="s">
        <v>722</v>
      </c>
      <c r="L139" s="23">
        <f>IF(E139&gt;0,E139,"")</f>
      </c>
      <c r="M139" s="19" t="s">
        <v>723</v>
      </c>
      <c r="N139" s="19" t="s">
        <v>724</v>
      </c>
      <c r="O139" s="22">
        <f>IF(ISNUMBER(I139), EDATE(I139,36)-1, "")</f>
        <v>25569.375</v>
      </c>
      <c r="P139" s="9" t="s">
        <v>725</v>
      </c>
      <c r="Q139" s="9" t="s">
        <v>166</v>
      </c>
      <c r="R139" s="9"/>
      <c r="S139" s="9"/>
      <c r="T139" s="9"/>
      <c r="U139" s="9"/>
      <c r="V139" s="9"/>
      <c r="W139" s="9"/>
      <c r="X139" s="9"/>
      <c r="Y139" s="9"/>
      <c r="Z139" s="9"/>
    </row>
    <row x14ac:dyDescent="0.25" r="140" customHeight="1" ht="18.75">
      <c r="A140" s="9" t="s">
        <v>347</v>
      </c>
      <c r="B140" s="18" t="s">
        <v>16</v>
      </c>
      <c r="C140" s="9" t="s">
        <v>55</v>
      </c>
      <c r="D140" s="9" t="s">
        <v>726</v>
      </c>
      <c r="E140" s="18" t="s">
        <v>727</v>
      </c>
      <c r="F140" s="19">
        <v>30000000</v>
      </c>
      <c r="G140" s="20">
        <v>1528000</v>
      </c>
      <c r="H140" s="21">
        <v>46159</v>
      </c>
      <c r="I140" s="22">
        <f>IF(H140&gt;0,EDATE(H140,-2),"")</f>
        <v>25569.375</v>
      </c>
      <c r="J140" s="18" t="s">
        <v>161</v>
      </c>
      <c r="K140" s="18" t="s">
        <v>728</v>
      </c>
      <c r="L140" s="23">
        <f>IF(E140&gt;0,E140,"")</f>
      </c>
      <c r="M140" s="19" t="s">
        <v>729</v>
      </c>
      <c r="N140" s="19" t="s">
        <v>730</v>
      </c>
      <c r="O140" s="22">
        <f>IF(ISNUMBER(I140), EDATE(I140,36)-1, "")</f>
        <v>25569.375</v>
      </c>
      <c r="P140" s="9"/>
      <c r="Q140" s="9" t="s">
        <v>166</v>
      </c>
      <c r="R140" s="9"/>
      <c r="S140" s="9"/>
      <c r="T140" s="9"/>
      <c r="U140" s="9"/>
      <c r="V140" s="9"/>
      <c r="W140" s="9"/>
      <c r="X140" s="9"/>
      <c r="Y140" s="9"/>
      <c r="Z140" s="9"/>
    </row>
    <row x14ac:dyDescent="0.25" r="141" customHeight="1" ht="18.75">
      <c r="A141" s="9"/>
      <c r="B141" s="18" t="s">
        <v>16</v>
      </c>
      <c r="C141" s="18" t="s">
        <v>153</v>
      </c>
      <c r="D141" s="18" t="s">
        <v>154</v>
      </c>
      <c r="E141" s="18" t="s">
        <v>731</v>
      </c>
      <c r="F141" s="20">
        <v>10000000</v>
      </c>
      <c r="G141" s="8">
        <f>IF(F141&gt;0,_xludf.IFS(F141=10000000,1200000,F141=20000000,1800000,F141=30000000,2400000,F141=60000000,4000000),"")</f>
      </c>
      <c r="H141" s="21">
        <v>46246</v>
      </c>
      <c r="I141" s="22">
        <f>IF(H141&gt;0,EDATE(H141,-2),"")</f>
        <v>25569.375</v>
      </c>
      <c r="J141" s="18" t="s">
        <v>155</v>
      </c>
      <c r="K141" s="18" t="s">
        <v>732</v>
      </c>
      <c r="L141" s="23">
        <f>IF(E141&gt;0,E141,"")</f>
      </c>
      <c r="M141" s="19">
        <v>6702072812341</v>
      </c>
      <c r="N141" s="19">
        <v>92836777</v>
      </c>
      <c r="O141" s="22">
        <f>IF(ISNUMBER(I141), EDATE(I141,36)-1, "")</f>
        <v>25569.375</v>
      </c>
      <c r="P141" s="18"/>
      <c r="Q141" s="18"/>
      <c r="R141" s="9"/>
      <c r="S141" s="9"/>
      <c r="T141" s="9"/>
      <c r="U141" s="9"/>
      <c r="V141" s="9"/>
      <c r="W141" s="9"/>
      <c r="X141" s="9"/>
      <c r="Y141" s="9"/>
      <c r="Z141" s="9"/>
    </row>
    <row x14ac:dyDescent="0.25" r="142" customHeight="1" ht="18.75">
      <c r="A142" s="9"/>
      <c r="B142" s="18" t="s">
        <v>16</v>
      </c>
      <c r="C142" s="9"/>
      <c r="D142" s="9"/>
      <c r="E142" s="18" t="s">
        <v>733</v>
      </c>
      <c r="F142" s="19">
        <v>10000000</v>
      </c>
      <c r="G142" s="20">
        <v>800000</v>
      </c>
      <c r="H142" s="21">
        <v>46081</v>
      </c>
      <c r="I142" s="22">
        <f>IF(H142&gt;0,EDATE(H142,-2),"")</f>
        <v>25569.375</v>
      </c>
      <c r="J142" s="18" t="s">
        <v>699</v>
      </c>
      <c r="K142" s="18" t="s">
        <v>734</v>
      </c>
      <c r="L142" s="23">
        <f>IF(E142&gt;0,E142,"")</f>
      </c>
      <c r="M142" s="19" t="s">
        <v>735</v>
      </c>
      <c r="N142" s="19" t="s">
        <v>736</v>
      </c>
      <c r="O142" s="22">
        <f>IF(ISNUMBER(I142), EDATE(I142,36)-1, "")</f>
        <v>25569.375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x14ac:dyDescent="0.25" r="143" customHeight="1" ht="18.75">
      <c r="A143" s="9"/>
      <c r="B143" s="18" t="s">
        <v>16</v>
      </c>
      <c r="C143" s="18" t="s">
        <v>737</v>
      </c>
      <c r="D143" s="18" t="s">
        <v>669</v>
      </c>
      <c r="E143" s="18" t="s">
        <v>738</v>
      </c>
      <c r="F143" s="20">
        <v>60000000</v>
      </c>
      <c r="G143" s="20">
        <v>2400000</v>
      </c>
      <c r="H143" s="21">
        <v>46242</v>
      </c>
      <c r="I143" s="22">
        <f>IF(H143&gt;0,EDATE(H143,-2),"")</f>
        <v>25569.375</v>
      </c>
      <c r="J143" s="18" t="s">
        <v>302</v>
      </c>
      <c r="K143" s="18" t="s">
        <v>739</v>
      </c>
      <c r="L143" s="18" t="s">
        <v>740</v>
      </c>
      <c r="M143" s="19">
        <v>648418200</v>
      </c>
      <c r="N143" s="19">
        <v>40479774</v>
      </c>
      <c r="O143" s="22">
        <f>IF(ISNUMBER(I143), EDATE(I143,36)-1, "")</f>
        <v>25569.375</v>
      </c>
      <c r="P143" s="18"/>
      <c r="Q143" s="18"/>
      <c r="R143" s="9" t="s">
        <v>741</v>
      </c>
      <c r="S143" s="9"/>
      <c r="T143" s="9"/>
      <c r="U143" s="9"/>
      <c r="V143" s="9"/>
      <c r="W143" s="9"/>
      <c r="X143" s="9"/>
      <c r="Y143" s="9"/>
      <c r="Z143" s="9"/>
    </row>
    <row x14ac:dyDescent="0.25" r="144" customHeight="1" ht="18.75">
      <c r="A144" s="9"/>
      <c r="B144" s="18" t="s">
        <v>16</v>
      </c>
      <c r="C144" s="9" t="s">
        <v>627</v>
      </c>
      <c r="D144" s="9" t="s">
        <v>373</v>
      </c>
      <c r="E144" s="18" t="s">
        <v>742</v>
      </c>
      <c r="F144" s="19">
        <v>30000000</v>
      </c>
      <c r="G144" s="20">
        <v>1200000</v>
      </c>
      <c r="H144" s="21">
        <v>46224</v>
      </c>
      <c r="I144" s="22">
        <f>IF(H144&gt;0,EDATE(H144,-2),"")</f>
        <v>25569.375</v>
      </c>
      <c r="J144" s="18" t="s">
        <v>217</v>
      </c>
      <c r="K144" s="18" t="s">
        <v>743</v>
      </c>
      <c r="L144" s="23">
        <f>IF(E144&gt;0,E144,"")</f>
      </c>
      <c r="M144" s="19" t="s">
        <v>744</v>
      </c>
      <c r="N144" s="19" t="s">
        <v>745</v>
      </c>
      <c r="O144" s="22">
        <f>IF(ISNUMBER(I144), EDATE(I144,36)-1, "")</f>
        <v>25569.375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x14ac:dyDescent="0.25" r="145" customHeight="1" ht="18.75">
      <c r="A145" s="9"/>
      <c r="B145" s="18" t="s">
        <v>16</v>
      </c>
      <c r="C145" s="9" t="s">
        <v>153</v>
      </c>
      <c r="D145" s="9" t="s">
        <v>318</v>
      </c>
      <c r="E145" s="18" t="s">
        <v>746</v>
      </c>
      <c r="F145" s="19"/>
      <c r="G145" s="20"/>
      <c r="H145" s="21">
        <v>46151</v>
      </c>
      <c r="I145" s="22">
        <f>IF(H145&gt;0,EDATE(H145,-2),"")</f>
        <v>25569.375</v>
      </c>
      <c r="J145" s="18" t="s">
        <v>239</v>
      </c>
      <c r="K145" s="18" t="s">
        <v>662</v>
      </c>
      <c r="L145" s="23">
        <f>IF(E145&gt;0,E145,"")</f>
      </c>
      <c r="M145" s="19" t="s">
        <v>747</v>
      </c>
      <c r="N145" s="19" t="s">
        <v>748</v>
      </c>
      <c r="O145" s="22">
        <f>IF(ISNUMBER(I145), EDATE(I145,36)-1, "")</f>
        <v>25569.375</v>
      </c>
      <c r="P145" s="9"/>
      <c r="Q145" s="9" t="s">
        <v>166</v>
      </c>
      <c r="R145" s="9" t="s">
        <v>749</v>
      </c>
      <c r="S145" s="9"/>
      <c r="T145" s="9"/>
      <c r="U145" s="9"/>
      <c r="V145" s="9"/>
      <c r="W145" s="9"/>
      <c r="X145" s="9"/>
      <c r="Y145" s="9"/>
      <c r="Z145" s="9"/>
    </row>
    <row x14ac:dyDescent="0.25" r="146" customHeight="1" ht="18.75">
      <c r="A146" s="9"/>
      <c r="B146" s="18" t="s">
        <v>16</v>
      </c>
      <c r="C146" s="9" t="s">
        <v>153</v>
      </c>
      <c r="D146" s="9" t="s">
        <v>318</v>
      </c>
      <c r="E146" s="18" t="s">
        <v>746</v>
      </c>
      <c r="F146" s="19">
        <v>20000000</v>
      </c>
      <c r="G146" s="20">
        <v>1528000</v>
      </c>
      <c r="H146" s="21">
        <v>46152</v>
      </c>
      <c r="I146" s="22">
        <f>IF(H146&gt;0,EDATE(H146,-2),"")</f>
        <v>25569.375</v>
      </c>
      <c r="J146" s="18" t="s">
        <v>239</v>
      </c>
      <c r="K146" s="18" t="s">
        <v>662</v>
      </c>
      <c r="L146" s="23">
        <f>IF(E146&gt;0,E146,"")</f>
      </c>
      <c r="M146" s="19" t="s">
        <v>747</v>
      </c>
      <c r="N146" s="19" t="s">
        <v>748</v>
      </c>
      <c r="O146" s="22">
        <f>IF(ISNUMBER(I146), EDATE(I146,36)-1, "")</f>
        <v>25569.375</v>
      </c>
      <c r="P146" s="9"/>
      <c r="Q146" s="9"/>
      <c r="R146" s="9" t="s">
        <v>750</v>
      </c>
      <c r="S146" s="9"/>
      <c r="T146" s="9"/>
      <c r="U146" s="9"/>
      <c r="V146" s="9"/>
      <c r="W146" s="9"/>
      <c r="X146" s="9"/>
      <c r="Y146" s="9"/>
      <c r="Z146" s="9"/>
    </row>
    <row x14ac:dyDescent="0.25" r="147" customHeight="1" ht="18.75">
      <c r="A147" s="9"/>
      <c r="B147" s="18" t="s">
        <v>16</v>
      </c>
      <c r="C147" s="9"/>
      <c r="D147" s="9"/>
      <c r="E147" s="18" t="s">
        <v>751</v>
      </c>
      <c r="F147" s="19">
        <v>30000000</v>
      </c>
      <c r="G147" s="20">
        <v>2028000</v>
      </c>
      <c r="H147" s="21">
        <v>46028</v>
      </c>
      <c r="I147" s="22">
        <f>IF(H147&gt;0,EDATE(H147,-2),"")</f>
        <v>25569.375</v>
      </c>
      <c r="J147" s="18" t="s">
        <v>306</v>
      </c>
      <c r="K147" s="18" t="s">
        <v>752</v>
      </c>
      <c r="L147" s="23">
        <f>IF(E147&gt;0,E147,"")</f>
      </c>
      <c r="M147" s="19" t="s">
        <v>753</v>
      </c>
      <c r="N147" s="19" t="s">
        <v>754</v>
      </c>
      <c r="O147" s="22">
        <f>IF(ISNUMBER(I147), EDATE(I147,36)-1, "")</f>
        <v>25569.375</v>
      </c>
      <c r="P147" s="9"/>
      <c r="Q147" s="9" t="s">
        <v>293</v>
      </c>
      <c r="R147" s="9"/>
      <c r="S147" s="9"/>
      <c r="T147" s="9"/>
      <c r="U147" s="9"/>
      <c r="V147" s="9"/>
      <c r="W147" s="9"/>
      <c r="X147" s="9"/>
      <c r="Y147" s="9"/>
      <c r="Z147" s="9"/>
    </row>
    <row x14ac:dyDescent="0.25" r="148" customHeight="1" ht="18.75">
      <c r="A148" s="9" t="s">
        <v>152</v>
      </c>
      <c r="B148" s="18" t="s">
        <v>16</v>
      </c>
      <c r="C148" s="9" t="s">
        <v>454</v>
      </c>
      <c r="D148" s="9" t="s">
        <v>455</v>
      </c>
      <c r="E148" s="18" t="s">
        <v>755</v>
      </c>
      <c r="F148" s="19">
        <v>20000000</v>
      </c>
      <c r="G148" s="20">
        <v>1800000</v>
      </c>
      <c r="H148" s="21">
        <v>46203</v>
      </c>
      <c r="I148" s="22">
        <f>IF(H148&gt;0,EDATE(H148,-2),"")</f>
        <v>25569.375</v>
      </c>
      <c r="J148" s="18" t="s">
        <v>155</v>
      </c>
      <c r="K148" s="18" t="s">
        <v>756</v>
      </c>
      <c r="L148" s="23">
        <f>IF(E148&gt;0,E148,"")</f>
      </c>
      <c r="M148" s="19" t="s">
        <v>757</v>
      </c>
      <c r="N148" s="19">
        <v>51711545</v>
      </c>
      <c r="O148" s="22">
        <f>IF(ISNUMBER(I148), EDATE(I148,36)-1, "")</f>
        <v>25569.375</v>
      </c>
      <c r="P148" s="9"/>
      <c r="Q148" s="9"/>
      <c r="R148" s="9" t="s">
        <v>758</v>
      </c>
      <c r="S148" s="9"/>
      <c r="T148" s="9"/>
      <c r="U148" s="9"/>
      <c r="V148" s="9"/>
      <c r="W148" s="9"/>
      <c r="X148" s="9"/>
      <c r="Y148" s="9"/>
      <c r="Z148" s="9"/>
    </row>
    <row x14ac:dyDescent="0.25" r="149" customHeight="1" ht="18.75">
      <c r="A149" s="9"/>
      <c r="B149" s="18" t="s">
        <v>16</v>
      </c>
      <c r="C149" s="9"/>
      <c r="D149" s="9" t="s">
        <v>22</v>
      </c>
      <c r="E149" s="18" t="s">
        <v>759</v>
      </c>
      <c r="F149" s="19">
        <v>60000000</v>
      </c>
      <c r="G149" s="20">
        <v>4056000</v>
      </c>
      <c r="H149" s="21">
        <v>46147</v>
      </c>
      <c r="I149" s="22">
        <f>IF(H149&gt;0,EDATE(H149,-2),"")</f>
        <v>25569.375</v>
      </c>
      <c r="J149" s="18" t="s">
        <v>217</v>
      </c>
      <c r="K149" s="18" t="s">
        <v>760</v>
      </c>
      <c r="L149" s="23">
        <f>IF(E149&gt;0,E149,"")</f>
      </c>
      <c r="M149" s="19" t="s">
        <v>761</v>
      </c>
      <c r="N149" s="19" t="s">
        <v>762</v>
      </c>
      <c r="O149" s="22">
        <f>IF(ISNUMBER(I149), EDATE(I149,36)-1, "")</f>
        <v>25569.375</v>
      </c>
      <c r="P149" s="9"/>
      <c r="Q149" s="9" t="s">
        <v>166</v>
      </c>
      <c r="R149" s="9"/>
      <c r="S149" s="9"/>
      <c r="T149" s="9"/>
      <c r="U149" s="9"/>
      <c r="V149" s="9"/>
      <c r="W149" s="9"/>
      <c r="X149" s="9"/>
      <c r="Y149" s="9"/>
      <c r="Z149" s="9"/>
    </row>
    <row x14ac:dyDescent="0.25" r="150" customHeight="1" ht="18.75">
      <c r="A150" s="9"/>
      <c r="B150" s="18" t="s">
        <v>16</v>
      </c>
      <c r="C150" s="9"/>
      <c r="D150" s="9"/>
      <c r="E150" s="18" t="s">
        <v>763</v>
      </c>
      <c r="F150" s="19">
        <v>10000000</v>
      </c>
      <c r="G150" s="20">
        <v>800000</v>
      </c>
      <c r="H150" s="21">
        <v>46193</v>
      </c>
      <c r="I150" s="22">
        <v>46132</v>
      </c>
      <c r="J150" s="18" t="s">
        <v>174</v>
      </c>
      <c r="K150" s="18" t="s">
        <v>764</v>
      </c>
      <c r="L150" s="23">
        <f>IF(E150&gt;0,E150,"")</f>
      </c>
      <c r="M150" s="19" t="s">
        <v>765</v>
      </c>
      <c r="N150" s="19" t="s">
        <v>766</v>
      </c>
      <c r="O150" s="22">
        <f>IF(ISNUMBER(I150), EDATE(I150,36)-1, "")</f>
        <v>25569.375</v>
      </c>
      <c r="P150" s="9" t="s">
        <v>767</v>
      </c>
      <c r="Q150" s="9" t="s">
        <v>166</v>
      </c>
      <c r="R150" s="9"/>
      <c r="S150" s="9"/>
      <c r="T150" s="9"/>
      <c r="U150" s="9"/>
      <c r="V150" s="9"/>
      <c r="W150" s="9"/>
      <c r="X150" s="9"/>
      <c r="Y150" s="9"/>
      <c r="Z150" s="9"/>
    </row>
    <row x14ac:dyDescent="0.25" r="151" customHeight="1" ht="18.75">
      <c r="A151" s="9"/>
      <c r="B151" s="18" t="s">
        <v>16</v>
      </c>
      <c r="C151" s="18" t="s">
        <v>143</v>
      </c>
      <c r="D151" s="18" t="s">
        <v>14</v>
      </c>
      <c r="E151" s="18" t="s">
        <v>768</v>
      </c>
      <c r="F151" s="20">
        <v>40000000</v>
      </c>
      <c r="G151" s="20">
        <v>2900000</v>
      </c>
      <c r="H151" s="21">
        <v>46244</v>
      </c>
      <c r="I151" s="22">
        <f>IF(H151&gt;0,EDATE(H151,-2),"")</f>
        <v>25569.375</v>
      </c>
      <c r="J151" s="18" t="s">
        <v>217</v>
      </c>
      <c r="K151" s="18" t="s">
        <v>769</v>
      </c>
      <c r="L151" s="18" t="s">
        <v>770</v>
      </c>
      <c r="M151" s="19" t="s">
        <v>771</v>
      </c>
      <c r="N151" s="19">
        <v>82006445</v>
      </c>
      <c r="O151" s="22">
        <f>IF(ISNUMBER(I151), EDATE(I151,36)-1, "")</f>
        <v>25569.375</v>
      </c>
      <c r="P151" s="18"/>
      <c r="Q151" s="18"/>
      <c r="R151" s="9" t="s">
        <v>772</v>
      </c>
      <c r="S151" s="9"/>
      <c r="T151" s="9"/>
      <c r="U151" s="9"/>
      <c r="V151" s="9"/>
      <c r="W151" s="9"/>
      <c r="X151" s="9"/>
      <c r="Y151" s="9"/>
      <c r="Z151" s="9"/>
    </row>
    <row x14ac:dyDescent="0.25" r="152" customHeight="1" ht="18.75">
      <c r="A152" s="9"/>
      <c r="B152" s="18" t="s">
        <v>16</v>
      </c>
      <c r="C152" s="9" t="s">
        <v>454</v>
      </c>
      <c r="D152" s="9" t="s">
        <v>574</v>
      </c>
      <c r="E152" s="18" t="s">
        <v>773</v>
      </c>
      <c r="F152" s="19">
        <v>10000000</v>
      </c>
      <c r="G152" s="20">
        <v>500000</v>
      </c>
      <c r="H152" s="21">
        <v>46147</v>
      </c>
      <c r="I152" s="22">
        <f>IF(H679&gt;0,EDATE(H679,-2),"")</f>
        <v>25569.375</v>
      </c>
      <c r="J152" s="18" t="s">
        <v>155</v>
      </c>
      <c r="K152" s="18" t="s">
        <v>774</v>
      </c>
      <c r="L152" s="23">
        <f>IF(E152&gt;0,E152,"")</f>
      </c>
      <c r="M152" s="19" t="s">
        <v>775</v>
      </c>
      <c r="N152" s="19">
        <v>72567538</v>
      </c>
      <c r="O152" s="22">
        <f>IF(ISNUMBER(I152), EDATE(I152,36)-1, "")</f>
        <v>25569.375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x14ac:dyDescent="0.25" r="153" customHeight="1" ht="18.75">
      <c r="A153" s="9"/>
      <c r="B153" s="18" t="s">
        <v>16</v>
      </c>
      <c r="C153" s="9"/>
      <c r="D153" s="9" t="s">
        <v>22</v>
      </c>
      <c r="E153" s="18" t="s">
        <v>776</v>
      </c>
      <c r="F153" s="19">
        <v>10000000</v>
      </c>
      <c r="G153" s="20">
        <v>800000</v>
      </c>
      <c r="H153" s="21">
        <v>46177</v>
      </c>
      <c r="I153" s="22">
        <v>46116</v>
      </c>
      <c r="J153" s="18" t="s">
        <v>205</v>
      </c>
      <c r="K153" s="18" t="s">
        <v>777</v>
      </c>
      <c r="L153" s="23">
        <f>IF(E153&gt;0,E153,"")</f>
      </c>
      <c r="M153" s="19" t="s">
        <v>778</v>
      </c>
      <c r="N153" s="19" t="s">
        <v>779</v>
      </c>
      <c r="O153" s="22">
        <f>IF(ISNUMBER(I153), EDATE(I153,36)-1, "")</f>
        <v>25569.375</v>
      </c>
      <c r="P153" s="9" t="s">
        <v>780</v>
      </c>
      <c r="Q153" s="9" t="s">
        <v>166</v>
      </c>
      <c r="R153" s="9"/>
      <c r="S153" s="9"/>
      <c r="T153" s="9"/>
      <c r="U153" s="9"/>
      <c r="V153" s="9"/>
      <c r="W153" s="9"/>
      <c r="X153" s="9"/>
      <c r="Y153" s="9"/>
      <c r="Z153" s="9"/>
    </row>
    <row x14ac:dyDescent="0.25" r="154" customHeight="1" ht="18.75">
      <c r="A154" s="9"/>
      <c r="B154" s="18" t="s">
        <v>16</v>
      </c>
      <c r="C154" s="9"/>
      <c r="D154" s="9"/>
      <c r="E154" s="18" t="s">
        <v>781</v>
      </c>
      <c r="F154" s="19">
        <v>30000000</v>
      </c>
      <c r="G154" s="20">
        <v>2400000</v>
      </c>
      <c r="H154" s="21">
        <v>46088</v>
      </c>
      <c r="I154" s="22">
        <v>46022</v>
      </c>
      <c r="J154" s="18" t="s">
        <v>155</v>
      </c>
      <c r="K154" s="18" t="s">
        <v>782</v>
      </c>
      <c r="L154" s="23">
        <f>IF(E154&gt;0,E154,"")</f>
      </c>
      <c r="M154" s="19" t="s">
        <v>783</v>
      </c>
      <c r="N154" s="19" t="s">
        <v>784</v>
      </c>
      <c r="O154" s="22">
        <f>IF(ISNUMBER(I154), EDATE(I154,36)-1, "")</f>
        <v>25569.375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x14ac:dyDescent="0.25" r="155" customHeight="1" ht="18.75">
      <c r="A155" s="9"/>
      <c r="B155" s="18" t="s">
        <v>16</v>
      </c>
      <c r="C155" s="9"/>
      <c r="D155" s="9"/>
      <c r="E155" s="18" t="s">
        <v>785</v>
      </c>
      <c r="F155" s="19">
        <v>30000000</v>
      </c>
      <c r="G155" s="20">
        <v>2028000</v>
      </c>
      <c r="H155" s="21">
        <v>46118</v>
      </c>
      <c r="I155" s="22">
        <v>45969</v>
      </c>
      <c r="J155" s="18" t="s">
        <v>217</v>
      </c>
      <c r="K155" s="18" t="s">
        <v>786</v>
      </c>
      <c r="L155" s="23">
        <f>IF(E155&gt;0,E155,"")</f>
      </c>
      <c r="M155" s="19" t="s">
        <v>787</v>
      </c>
      <c r="N155" s="19" t="s">
        <v>788</v>
      </c>
      <c r="O155" s="22">
        <f>IF(ISNUMBER(I155), EDATE(I155,36)-1, "")</f>
        <v>25569.375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x14ac:dyDescent="0.25" r="156" customHeight="1" ht="18.75">
      <c r="A156" s="9" t="s">
        <v>152</v>
      </c>
      <c r="B156" s="18" t="s">
        <v>16</v>
      </c>
      <c r="C156" s="9"/>
      <c r="D156" s="9"/>
      <c r="E156" s="18" t="s">
        <v>574</v>
      </c>
      <c r="F156" s="19">
        <v>30000000</v>
      </c>
      <c r="G156" s="20">
        <v>2028000</v>
      </c>
      <c r="H156" s="21">
        <v>46076</v>
      </c>
      <c r="I156" s="22">
        <v>46014</v>
      </c>
      <c r="J156" s="18" t="s">
        <v>155</v>
      </c>
      <c r="K156" s="18" t="s">
        <v>789</v>
      </c>
      <c r="L156" s="23">
        <f>IF(E156&gt;0,E156,"")</f>
      </c>
      <c r="M156" s="19" t="s">
        <v>790</v>
      </c>
      <c r="N156" s="19" t="s">
        <v>791</v>
      </c>
      <c r="O156" s="22">
        <f>IF(ISNUMBER(I156), EDATE(I156,36)-1, "")</f>
        <v>25569.375</v>
      </c>
      <c r="P156" s="9"/>
      <c r="Q156" s="9"/>
      <c r="R156" s="9" t="s">
        <v>792</v>
      </c>
      <c r="S156" s="9"/>
      <c r="T156" s="9"/>
      <c r="U156" s="9"/>
      <c r="V156" s="9"/>
      <c r="W156" s="9"/>
      <c r="X156" s="9"/>
      <c r="Y156" s="9"/>
      <c r="Z156" s="9"/>
    </row>
    <row x14ac:dyDescent="0.25" r="157" customHeight="1" ht="18.75">
      <c r="A157" s="9"/>
      <c r="B157" s="18" t="s">
        <v>16</v>
      </c>
      <c r="C157" s="9"/>
      <c r="D157" s="9" t="s">
        <v>29</v>
      </c>
      <c r="E157" s="18" t="s">
        <v>30</v>
      </c>
      <c r="F157" s="19">
        <v>10250000</v>
      </c>
      <c r="G157" s="20">
        <v>800000</v>
      </c>
      <c r="H157" s="21">
        <v>46107</v>
      </c>
      <c r="I157" s="22">
        <v>46048</v>
      </c>
      <c r="J157" s="18" t="s">
        <v>306</v>
      </c>
      <c r="K157" s="18" t="s">
        <v>793</v>
      </c>
      <c r="L157" s="23">
        <f>IF(E157&gt;0,E157,"")</f>
      </c>
      <c r="M157" s="19" t="s">
        <v>794</v>
      </c>
      <c r="N157" s="19" t="s">
        <v>795</v>
      </c>
      <c r="O157" s="22">
        <f>IF(ISNUMBER(I157), EDATE(I157,36)-1, "")</f>
        <v>25569.375</v>
      </c>
      <c r="P157" s="9" t="s">
        <v>31</v>
      </c>
      <c r="Q157" s="9" t="s">
        <v>293</v>
      </c>
      <c r="R157" s="9"/>
      <c r="S157" s="9"/>
      <c r="T157" s="9"/>
      <c r="U157" s="9"/>
      <c r="V157" s="9"/>
      <c r="W157" s="9"/>
      <c r="X157" s="9"/>
      <c r="Y157" s="9"/>
      <c r="Z157" s="9"/>
    </row>
    <row x14ac:dyDescent="0.25" r="158" customHeight="1" ht="18.75">
      <c r="A158" s="9" t="s">
        <v>796</v>
      </c>
      <c r="B158" s="25" t="s">
        <v>16</v>
      </c>
      <c r="C158" s="24"/>
      <c r="D158" s="24"/>
      <c r="E158" s="25" t="s">
        <v>32</v>
      </c>
      <c r="F158" s="26">
        <v>40000000</v>
      </c>
      <c r="G158" s="27">
        <v>2528000</v>
      </c>
      <c r="H158" s="28">
        <v>46208</v>
      </c>
      <c r="I158" s="29">
        <v>46022</v>
      </c>
      <c r="J158" s="25" t="s">
        <v>217</v>
      </c>
      <c r="K158" s="25" t="s">
        <v>797</v>
      </c>
      <c r="L158" s="30">
        <f>IF(E158&gt;0,E158,"")</f>
      </c>
      <c r="M158" s="26" t="s">
        <v>798</v>
      </c>
      <c r="N158" s="26" t="s">
        <v>799</v>
      </c>
      <c r="O158" s="29">
        <f>IF(ISNUMBER(I158), EDATE(I158,36)-1, "")</f>
        <v>25569.375</v>
      </c>
      <c r="P158" s="24"/>
      <c r="Q158" s="24"/>
      <c r="R158" s="24" t="s">
        <v>33</v>
      </c>
      <c r="S158" s="9"/>
      <c r="T158" s="9"/>
      <c r="U158" s="9"/>
      <c r="V158" s="9"/>
      <c r="W158" s="9"/>
      <c r="X158" s="9"/>
      <c r="Y158" s="9"/>
      <c r="Z158" s="9"/>
    </row>
    <row x14ac:dyDescent="0.25" r="159" customHeight="1" ht="18.75">
      <c r="A159" s="9" t="s">
        <v>800</v>
      </c>
      <c r="B159" s="18" t="s">
        <v>16</v>
      </c>
      <c r="C159" s="9"/>
      <c r="D159" s="9"/>
      <c r="E159" s="18" t="s">
        <v>801</v>
      </c>
      <c r="F159" s="19">
        <v>10000000</v>
      </c>
      <c r="G159" s="20"/>
      <c r="H159" s="21">
        <v>46182</v>
      </c>
      <c r="I159" s="22">
        <v>46121</v>
      </c>
      <c r="J159" s="18" t="s">
        <v>217</v>
      </c>
      <c r="K159" s="18" t="s">
        <v>802</v>
      </c>
      <c r="L159" s="23">
        <f>IF(E159&gt;0,E159,"")</f>
      </c>
      <c r="M159" s="19" t="s">
        <v>803</v>
      </c>
      <c r="N159" s="19" t="s">
        <v>804</v>
      </c>
      <c r="O159" s="22">
        <f>IF(ISNUMBER(I159), EDATE(I159,36)-1, "")</f>
        <v>25569.375</v>
      </c>
      <c r="P159" s="9" t="s">
        <v>805</v>
      </c>
      <c r="Q159" s="9" t="s">
        <v>166</v>
      </c>
      <c r="R159" s="9" t="s">
        <v>806</v>
      </c>
      <c r="S159" s="9"/>
      <c r="T159" s="9"/>
      <c r="U159" s="9"/>
      <c r="V159" s="9"/>
      <c r="W159" s="9"/>
      <c r="X159" s="9"/>
      <c r="Y159" s="9"/>
      <c r="Z159" s="9"/>
    </row>
    <row x14ac:dyDescent="0.25" r="160" customHeight="1" ht="18.75">
      <c r="A160" s="9"/>
      <c r="B160" s="18" t="s">
        <v>16</v>
      </c>
      <c r="C160" s="9" t="s">
        <v>48</v>
      </c>
      <c r="D160" s="9" t="s">
        <v>807</v>
      </c>
      <c r="E160" s="18" t="s">
        <v>808</v>
      </c>
      <c r="F160" s="19">
        <v>10000000</v>
      </c>
      <c r="G160" s="20">
        <v>500000</v>
      </c>
      <c r="H160" s="21">
        <v>46193</v>
      </c>
      <c r="I160" s="22">
        <v>46132</v>
      </c>
      <c r="J160" s="18" t="s">
        <v>168</v>
      </c>
      <c r="K160" s="18" t="s">
        <v>809</v>
      </c>
      <c r="L160" s="23">
        <f>IF(E160&gt;0,E160,"")</f>
      </c>
      <c r="M160" s="19" t="s">
        <v>810</v>
      </c>
      <c r="N160" s="19" t="s">
        <v>811</v>
      </c>
      <c r="O160" s="22">
        <f>IF(ISNUMBER(I160), EDATE(I160,36)-1, "")</f>
        <v>25569.375</v>
      </c>
      <c r="P160" s="9" t="s">
        <v>812</v>
      </c>
      <c r="Q160" s="9" t="s">
        <v>166</v>
      </c>
      <c r="R160" s="9"/>
      <c r="S160" s="9"/>
      <c r="T160" s="9"/>
      <c r="U160" s="9"/>
      <c r="V160" s="9"/>
      <c r="W160" s="9"/>
      <c r="X160" s="9"/>
      <c r="Y160" s="9"/>
      <c r="Z160" s="9"/>
    </row>
    <row x14ac:dyDescent="0.25" r="161" customHeight="1" ht="18.75">
      <c r="A161" s="9"/>
      <c r="B161" s="18" t="s">
        <v>16</v>
      </c>
      <c r="C161" s="9"/>
      <c r="D161" s="9"/>
      <c r="E161" s="18" t="s">
        <v>813</v>
      </c>
      <c r="F161" s="19">
        <v>60000000</v>
      </c>
      <c r="G161" s="20">
        <v>4800000</v>
      </c>
      <c r="H161" s="21">
        <v>45969</v>
      </c>
      <c r="I161" s="22">
        <v>45848</v>
      </c>
      <c r="J161" s="18" t="s">
        <v>212</v>
      </c>
      <c r="K161" s="18" t="s">
        <v>401</v>
      </c>
      <c r="L161" s="23">
        <f>IF(E161&gt;0,E161,"")</f>
      </c>
      <c r="M161" s="19" t="s">
        <v>814</v>
      </c>
      <c r="N161" s="19" t="s">
        <v>815</v>
      </c>
      <c r="O161" s="22">
        <f>IF(ISNUMBER(I161), EDATE(I161,36)-1, "")</f>
        <v>25569.375</v>
      </c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x14ac:dyDescent="0.25" r="162" customHeight="1" ht="18.75">
      <c r="A162" s="9"/>
      <c r="B162" s="18" t="s">
        <v>16</v>
      </c>
      <c r="C162" s="9" t="s">
        <v>816</v>
      </c>
      <c r="D162" s="9"/>
      <c r="E162" s="18" t="s">
        <v>817</v>
      </c>
      <c r="F162" s="19">
        <v>10000000</v>
      </c>
      <c r="G162" s="20">
        <v>800000</v>
      </c>
      <c r="H162" s="21">
        <v>46175</v>
      </c>
      <c r="I162" s="22">
        <v>46114</v>
      </c>
      <c r="J162" s="18" t="s">
        <v>239</v>
      </c>
      <c r="K162" s="18" t="s">
        <v>818</v>
      </c>
      <c r="L162" s="23">
        <f>IF(E162&gt;0,E162,"")</f>
      </c>
      <c r="M162" s="19" t="s">
        <v>819</v>
      </c>
      <c r="N162" s="19" t="s">
        <v>820</v>
      </c>
      <c r="O162" s="22">
        <f>IF(ISNUMBER(I162), EDATE(I162,36)-1, "")</f>
        <v>25569.375</v>
      </c>
      <c r="P162" s="9" t="s">
        <v>821</v>
      </c>
      <c r="Q162" s="9" t="s">
        <v>166</v>
      </c>
      <c r="R162" s="9" t="s">
        <v>822</v>
      </c>
      <c r="S162" s="9"/>
      <c r="T162" s="9"/>
      <c r="U162" s="9"/>
      <c r="V162" s="9"/>
      <c r="W162" s="9"/>
      <c r="X162" s="9"/>
      <c r="Y162" s="9"/>
      <c r="Z162" s="9"/>
    </row>
    <row x14ac:dyDescent="0.25" r="163" customHeight="1" ht="18.75">
      <c r="A163" s="9" t="s">
        <v>152</v>
      </c>
      <c r="B163" s="18" t="s">
        <v>16</v>
      </c>
      <c r="C163" s="18"/>
      <c r="D163" s="18"/>
      <c r="E163" s="18" t="s">
        <v>817</v>
      </c>
      <c r="F163" s="20">
        <v>20000000</v>
      </c>
      <c r="G163" s="20">
        <v>1000000</v>
      </c>
      <c r="H163" s="21">
        <v>46175</v>
      </c>
      <c r="I163" s="22">
        <f>IF(H163&gt;0,EDATE(H163,-2),"")</f>
        <v>25569.375</v>
      </c>
      <c r="J163" s="18" t="s">
        <v>155</v>
      </c>
      <c r="K163" s="18" t="s">
        <v>823</v>
      </c>
      <c r="L163" s="23">
        <f>IF(E163&gt;0,E163,"")</f>
      </c>
      <c r="M163" s="19">
        <v>7206041548312</v>
      </c>
      <c r="N163" s="19">
        <v>31523764</v>
      </c>
      <c r="O163" s="22">
        <f>IF(ISNUMBER(I163), EDATE(I163,36)-1, "")</f>
        <v>25569.375</v>
      </c>
      <c r="P163" s="18"/>
      <c r="Q163" s="18"/>
      <c r="R163" s="9"/>
      <c r="S163" s="9"/>
      <c r="T163" s="9"/>
      <c r="U163" s="9"/>
      <c r="V163" s="9"/>
      <c r="W163" s="9"/>
      <c r="X163" s="9"/>
      <c r="Y163" s="9"/>
      <c r="Z163" s="9"/>
    </row>
    <row x14ac:dyDescent="0.25" r="164" customHeight="1" ht="18.75">
      <c r="A164" s="9" t="s">
        <v>152</v>
      </c>
      <c r="B164" s="18" t="s">
        <v>16</v>
      </c>
      <c r="C164" s="9"/>
      <c r="D164" s="9"/>
      <c r="E164" s="18" t="s">
        <v>824</v>
      </c>
      <c r="F164" s="19">
        <v>10000000</v>
      </c>
      <c r="G164" s="20">
        <v>500000</v>
      </c>
      <c r="H164" s="21">
        <v>46184</v>
      </c>
      <c r="I164" s="22">
        <f>IF(H164&gt;0,EDATE(H164,-2),"")</f>
        <v>25569.375</v>
      </c>
      <c r="J164" s="18" t="s">
        <v>155</v>
      </c>
      <c r="K164" s="18" t="s">
        <v>825</v>
      </c>
      <c r="L164" s="23">
        <f>IF(E164&gt;0,E164,"")</f>
      </c>
      <c r="M164" s="19" t="s">
        <v>826</v>
      </c>
      <c r="N164" s="19">
        <v>47927788</v>
      </c>
      <c r="O164" s="22">
        <f>IF(ISNUMBER(I164), EDATE(I164,36)-1, "")</f>
        <v>25569.375</v>
      </c>
      <c r="P164" s="9"/>
      <c r="Q164" s="9"/>
      <c r="R164" s="9" t="s">
        <v>827</v>
      </c>
      <c r="S164" s="9"/>
      <c r="T164" s="9"/>
      <c r="U164" s="9"/>
      <c r="V164" s="9"/>
      <c r="W164" s="9"/>
      <c r="X164" s="9"/>
      <c r="Y164" s="9"/>
      <c r="Z164" s="9"/>
    </row>
    <row x14ac:dyDescent="0.25" r="165" customHeight="1" ht="18.75">
      <c r="A165" s="9"/>
      <c r="B165" s="18" t="s">
        <v>16</v>
      </c>
      <c r="C165" s="9"/>
      <c r="D165" s="9"/>
      <c r="E165" s="18" t="s">
        <v>828</v>
      </c>
      <c r="F165" s="19">
        <v>10000000</v>
      </c>
      <c r="G165" s="20">
        <v>800000</v>
      </c>
      <c r="H165" s="21">
        <v>46077</v>
      </c>
      <c r="I165" s="22">
        <f>IF(H165&gt;0,EDATE(H165,-2),"")</f>
        <v>25569.375</v>
      </c>
      <c r="J165" s="18" t="s">
        <v>155</v>
      </c>
      <c r="K165" s="18" t="s">
        <v>829</v>
      </c>
      <c r="L165" s="23">
        <f>IF(E165&gt;0,E165,"")</f>
      </c>
      <c r="M165" s="19" t="s">
        <v>830</v>
      </c>
      <c r="N165" s="19">
        <v>53607324</v>
      </c>
      <c r="O165" s="22">
        <f>IF(ISNUMBER(I165), EDATE(I165,36)-1, "")</f>
        <v>25569.375</v>
      </c>
      <c r="P165" s="9"/>
      <c r="Q165" s="9"/>
      <c r="R165" s="31" t="s">
        <v>831</v>
      </c>
      <c r="S165" s="9"/>
      <c r="T165" s="9"/>
      <c r="U165" s="9"/>
      <c r="V165" s="9"/>
      <c r="W165" s="9"/>
      <c r="X165" s="9"/>
      <c r="Y165" s="9"/>
      <c r="Z165" s="9"/>
    </row>
    <row x14ac:dyDescent="0.25" r="166" customHeight="1" ht="18.75">
      <c r="A166" s="9"/>
      <c r="B166" s="18" t="s">
        <v>16</v>
      </c>
      <c r="C166" s="9"/>
      <c r="D166" s="9"/>
      <c r="E166" s="18" t="s">
        <v>832</v>
      </c>
      <c r="F166" s="19">
        <v>10000000</v>
      </c>
      <c r="G166" s="20">
        <v>800000</v>
      </c>
      <c r="H166" s="21">
        <v>46163</v>
      </c>
      <c r="I166" s="22">
        <f>IF(H166&gt;0,EDATE(H166,-2),"")</f>
        <v>25569.375</v>
      </c>
      <c r="J166" s="18" t="s">
        <v>161</v>
      </c>
      <c r="K166" s="18" t="s">
        <v>833</v>
      </c>
      <c r="L166" s="23">
        <f>IF(E166&gt;0,E166,"")</f>
      </c>
      <c r="M166" s="19" t="s">
        <v>834</v>
      </c>
      <c r="N166" s="19" t="s">
        <v>835</v>
      </c>
      <c r="O166" s="22">
        <f>IF(ISNUMBER(I166), EDATE(I166,36)-1, "")</f>
        <v>25569.375</v>
      </c>
      <c r="P166" s="9" t="s">
        <v>836</v>
      </c>
      <c r="Q166" s="9" t="s">
        <v>166</v>
      </c>
      <c r="R166" s="9"/>
      <c r="S166" s="9"/>
      <c r="T166" s="9"/>
      <c r="U166" s="9"/>
      <c r="V166" s="9"/>
      <c r="W166" s="9"/>
      <c r="X166" s="9"/>
      <c r="Y166" s="9"/>
      <c r="Z166" s="9"/>
    </row>
    <row x14ac:dyDescent="0.25" r="167" customHeight="1" ht="18.75">
      <c r="A167" s="9" t="s">
        <v>275</v>
      </c>
      <c r="B167" s="18" t="s">
        <v>16</v>
      </c>
      <c r="C167" s="9"/>
      <c r="D167" s="9"/>
      <c r="E167" s="18" t="s">
        <v>837</v>
      </c>
      <c r="F167" s="19">
        <v>10000000</v>
      </c>
      <c r="G167" s="20"/>
      <c r="H167" s="21">
        <v>46184</v>
      </c>
      <c r="I167" s="22">
        <f>IF(H167&gt;0,EDATE(H167,-2),"")</f>
        <v>25569.375</v>
      </c>
      <c r="J167" s="18" t="s">
        <v>168</v>
      </c>
      <c r="K167" s="18" t="s">
        <v>471</v>
      </c>
      <c r="L167" s="23">
        <f>IF(E167&gt;0,E167,"")</f>
      </c>
      <c r="M167" s="19" t="s">
        <v>838</v>
      </c>
      <c r="N167" s="19" t="s">
        <v>839</v>
      </c>
      <c r="O167" s="22">
        <f>IF(ISNUMBER(I167), EDATE(I167,36)-1, "")</f>
        <v>25569.375</v>
      </c>
      <c r="P167" s="9" t="s">
        <v>840</v>
      </c>
      <c r="Q167" s="9"/>
      <c r="R167" s="9" t="s">
        <v>841</v>
      </c>
      <c r="S167" s="9"/>
      <c r="T167" s="9"/>
      <c r="U167" s="9"/>
      <c r="V167" s="9"/>
      <c r="W167" s="9"/>
      <c r="X167" s="9"/>
      <c r="Y167" s="9"/>
      <c r="Z167" s="9"/>
    </row>
    <row x14ac:dyDescent="0.25" r="168" customHeight="1" ht="18.75">
      <c r="A168" s="9"/>
      <c r="B168" s="18" t="s">
        <v>16</v>
      </c>
      <c r="C168" s="9"/>
      <c r="D168" s="9" t="s">
        <v>100</v>
      </c>
      <c r="E168" s="18" t="s">
        <v>842</v>
      </c>
      <c r="F168" s="19">
        <v>10000000</v>
      </c>
      <c r="G168" s="20">
        <v>800000</v>
      </c>
      <c r="H168" s="21">
        <v>46103</v>
      </c>
      <c r="I168" s="22">
        <f>IF(H168&gt;0,EDATE(H168,-2),"")</f>
        <v>25569.375</v>
      </c>
      <c r="J168" s="18" t="s">
        <v>570</v>
      </c>
      <c r="K168" s="18" t="s">
        <v>843</v>
      </c>
      <c r="L168" s="23">
        <f>IF(E168&gt;0,E168,"")</f>
      </c>
      <c r="M168" s="19" t="s">
        <v>844</v>
      </c>
      <c r="N168" s="19" t="s">
        <v>845</v>
      </c>
      <c r="O168" s="22">
        <f>IF(ISNUMBER(I168), EDATE(I168,36)-1, "")</f>
        <v>25569.375</v>
      </c>
      <c r="P168" s="9"/>
      <c r="Q168" s="9" t="s">
        <v>166</v>
      </c>
      <c r="R168" s="32"/>
      <c r="S168" s="9"/>
      <c r="T168" s="9"/>
      <c r="U168" s="9"/>
      <c r="V168" s="9"/>
      <c r="W168" s="9"/>
      <c r="X168" s="9"/>
      <c r="Y168" s="9"/>
      <c r="Z168" s="9"/>
    </row>
    <row x14ac:dyDescent="0.25" r="169" customHeight="1" ht="18.75">
      <c r="A169" s="9"/>
      <c r="B169" s="18" t="s">
        <v>16</v>
      </c>
      <c r="C169" s="9" t="s">
        <v>846</v>
      </c>
      <c r="D169" s="9" t="s">
        <v>847</v>
      </c>
      <c r="E169" s="18" t="s">
        <v>848</v>
      </c>
      <c r="F169" s="19">
        <v>20000000</v>
      </c>
      <c r="G169" s="20">
        <v>1800000</v>
      </c>
      <c r="H169" s="21">
        <v>46213</v>
      </c>
      <c r="I169" s="22">
        <f>IF(H169&gt;0,EDATE(H169,-2),"")</f>
        <v>25569.375</v>
      </c>
      <c r="J169" s="18" t="s">
        <v>168</v>
      </c>
      <c r="K169" s="18" t="s">
        <v>849</v>
      </c>
      <c r="L169" s="23">
        <f>IF(E169&gt;0,E169,"")</f>
      </c>
      <c r="M169" s="19" t="s">
        <v>850</v>
      </c>
      <c r="N169" s="19">
        <v>38553830</v>
      </c>
      <c r="O169" s="22">
        <f>IF(ISNUMBER(I169), EDATE(I169,36)-1, "")</f>
        <v>25569.375</v>
      </c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x14ac:dyDescent="0.25" r="170" customHeight="1" ht="18.75">
      <c r="A170" s="9"/>
      <c r="B170" s="18" t="s">
        <v>16</v>
      </c>
      <c r="C170" s="9" t="s">
        <v>116</v>
      </c>
      <c r="D170" s="9" t="s">
        <v>117</v>
      </c>
      <c r="E170" s="18" t="s">
        <v>851</v>
      </c>
      <c r="F170" s="19">
        <v>10000000</v>
      </c>
      <c r="G170" s="20">
        <v>800000</v>
      </c>
      <c r="H170" s="21">
        <v>46192</v>
      </c>
      <c r="I170" s="22">
        <f>IF(H170&gt;0,EDATE(H170,-2),"")</f>
        <v>25569.375</v>
      </c>
      <c r="J170" s="18" t="s">
        <v>239</v>
      </c>
      <c r="K170" s="18" t="s">
        <v>852</v>
      </c>
      <c r="L170" s="23">
        <f>IF(E170&gt;0,E170,"")</f>
      </c>
      <c r="M170" s="19" t="s">
        <v>853</v>
      </c>
      <c r="N170" s="19">
        <v>33247307</v>
      </c>
      <c r="O170" s="22">
        <f>IF(ISNUMBER(I170), EDATE(I170,36)-1, "")</f>
        <v>25569.375</v>
      </c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x14ac:dyDescent="0.25" r="171" customHeight="1" ht="18.75">
      <c r="A171" s="9"/>
      <c r="B171" s="18" t="s">
        <v>16</v>
      </c>
      <c r="C171" s="9"/>
      <c r="D171" s="9"/>
      <c r="E171" s="18" t="s">
        <v>854</v>
      </c>
      <c r="F171" s="19">
        <v>10000000</v>
      </c>
      <c r="G171" s="20">
        <v>800000</v>
      </c>
      <c r="H171" s="21">
        <v>46183</v>
      </c>
      <c r="I171" s="22">
        <f>IF(H171&gt;0,EDATE(H171,-2),"")</f>
        <v>25569.375</v>
      </c>
      <c r="J171" s="18" t="s">
        <v>239</v>
      </c>
      <c r="K171" s="18" t="s">
        <v>855</v>
      </c>
      <c r="L171" s="23">
        <f>IF(E171&gt;0,E171,"")</f>
      </c>
      <c r="M171" s="19" t="s">
        <v>856</v>
      </c>
      <c r="N171" s="19" t="s">
        <v>857</v>
      </c>
      <c r="O171" s="22">
        <f>IF(ISNUMBER(I171), EDATE(I171,36)-1, "")</f>
        <v>25569.375</v>
      </c>
      <c r="P171" s="9" t="s">
        <v>858</v>
      </c>
      <c r="Q171" s="9" t="s">
        <v>166</v>
      </c>
      <c r="R171" s="9"/>
      <c r="S171" s="9"/>
      <c r="T171" s="9"/>
      <c r="U171" s="9"/>
      <c r="V171" s="9"/>
      <c r="W171" s="9"/>
      <c r="X171" s="9"/>
      <c r="Y171" s="9"/>
      <c r="Z171" s="9"/>
    </row>
    <row x14ac:dyDescent="0.25" r="172" customHeight="1" ht="18.75">
      <c r="A172" s="9"/>
      <c r="B172" s="18" t="s">
        <v>16</v>
      </c>
      <c r="C172" s="9"/>
      <c r="D172" s="9"/>
      <c r="E172" s="18" t="s">
        <v>411</v>
      </c>
      <c r="F172" s="19">
        <v>60000000</v>
      </c>
      <c r="G172" s="20">
        <v>4800000</v>
      </c>
      <c r="H172" s="21">
        <v>45850</v>
      </c>
      <c r="I172" s="22">
        <f>IF(H172&gt;0,EDATE(H172,-2),"")</f>
        <v>25569.375</v>
      </c>
      <c r="J172" s="18" t="s">
        <v>306</v>
      </c>
      <c r="K172" s="18" t="s">
        <v>859</v>
      </c>
      <c r="L172" s="23">
        <f>IF(E172&gt;0,E172,"")</f>
      </c>
      <c r="M172" s="19" t="s">
        <v>860</v>
      </c>
      <c r="N172" s="19" t="s">
        <v>861</v>
      </c>
      <c r="O172" s="22">
        <f>IF(ISNUMBER(I172), EDATE(I172,36)-1, "")</f>
        <v>25569.375</v>
      </c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x14ac:dyDescent="0.25" r="173" customHeight="1" ht="18.75">
      <c r="A173" s="9"/>
      <c r="B173" s="18" t="s">
        <v>16</v>
      </c>
      <c r="C173" s="9"/>
      <c r="D173" s="9" t="s">
        <v>862</v>
      </c>
      <c r="E173" s="18" t="s">
        <v>276</v>
      </c>
      <c r="F173" s="19">
        <v>10000000</v>
      </c>
      <c r="G173" s="20">
        <v>800000</v>
      </c>
      <c r="H173" s="21">
        <v>46125</v>
      </c>
      <c r="I173" s="22">
        <f>IF(H173&gt;0,EDATE(H173,-2),"")</f>
        <v>25569.375</v>
      </c>
      <c r="J173" s="18" t="s">
        <v>306</v>
      </c>
      <c r="K173" s="18" t="s">
        <v>863</v>
      </c>
      <c r="L173" s="23">
        <f>IF(E173&gt;0,E173,"")</f>
      </c>
      <c r="M173" s="19" t="s">
        <v>864</v>
      </c>
      <c r="N173" s="19" t="s">
        <v>865</v>
      </c>
      <c r="O173" s="22">
        <f>IF(ISNUMBER(I173), EDATE(I173,36)-1, "")</f>
        <v>25569.375</v>
      </c>
      <c r="P173" s="9" t="s">
        <v>866</v>
      </c>
      <c r="Q173" s="9" t="s">
        <v>166</v>
      </c>
      <c r="R173" s="9"/>
      <c r="S173" s="9"/>
      <c r="T173" s="9"/>
      <c r="U173" s="9"/>
      <c r="V173" s="9"/>
      <c r="W173" s="9"/>
      <c r="X173" s="9"/>
      <c r="Y173" s="9"/>
      <c r="Z173" s="9"/>
    </row>
    <row x14ac:dyDescent="0.25" r="174" customHeight="1" ht="18.75">
      <c r="A174" s="9" t="s">
        <v>152</v>
      </c>
      <c r="B174" s="18" t="s">
        <v>16</v>
      </c>
      <c r="C174" s="9" t="s">
        <v>202</v>
      </c>
      <c r="D174" s="9" t="s">
        <v>203</v>
      </c>
      <c r="E174" s="18" t="s">
        <v>276</v>
      </c>
      <c r="F174" s="19">
        <v>20000000</v>
      </c>
      <c r="G174" s="20">
        <v>1000000</v>
      </c>
      <c r="H174" s="21">
        <v>46159</v>
      </c>
      <c r="I174" s="22">
        <f>IF(H174&gt;0,EDATE(H174,-2),"")</f>
        <v>25569.375</v>
      </c>
      <c r="J174" s="18" t="s">
        <v>205</v>
      </c>
      <c r="K174" s="18" t="s">
        <v>867</v>
      </c>
      <c r="L174" s="23">
        <f>IF(E174&gt;0,E174,"")</f>
      </c>
      <c r="M174" s="19">
        <v>6801022667718</v>
      </c>
      <c r="N174" s="19">
        <v>62695067</v>
      </c>
      <c r="O174" s="22">
        <f>IF(ISNUMBER(I174), EDATE(I174,36)-1, "")</f>
        <v>25569.375</v>
      </c>
      <c r="P174" s="9"/>
      <c r="Q174" s="9"/>
      <c r="R174" s="9" t="s">
        <v>868</v>
      </c>
      <c r="S174" s="9"/>
      <c r="T174" s="9"/>
      <c r="U174" s="9"/>
      <c r="V174" s="9"/>
      <c r="W174" s="9"/>
      <c r="X174" s="9"/>
      <c r="Y174" s="9"/>
      <c r="Z174" s="9"/>
    </row>
    <row x14ac:dyDescent="0.25" r="175" customHeight="1" ht="18.75">
      <c r="A175" s="9"/>
      <c r="B175" s="18" t="s">
        <v>16</v>
      </c>
      <c r="C175" s="9"/>
      <c r="D175" s="9"/>
      <c r="E175" s="18" t="s">
        <v>869</v>
      </c>
      <c r="F175" s="19">
        <v>30000000</v>
      </c>
      <c r="G175" s="20">
        <v>2028000</v>
      </c>
      <c r="H175" s="21">
        <v>45974</v>
      </c>
      <c r="I175" s="22">
        <f>IF(H175&gt;0,EDATE(H175,-2),"")</f>
        <v>25569.375</v>
      </c>
      <c r="J175" s="18" t="s">
        <v>155</v>
      </c>
      <c r="K175" s="18" t="s">
        <v>870</v>
      </c>
      <c r="L175" s="23">
        <f>IF(E175&gt;0,E175,"")</f>
      </c>
      <c r="M175" s="19" t="s">
        <v>871</v>
      </c>
      <c r="N175" s="19" t="s">
        <v>872</v>
      </c>
      <c r="O175" s="22">
        <f>IF(ISNUMBER(I175), EDATE(I175,36)-1, "")</f>
        <v>25569.375</v>
      </c>
      <c r="P175" s="9"/>
      <c r="Q175" s="9"/>
      <c r="R175" s="9" t="s">
        <v>873</v>
      </c>
      <c r="S175" s="9"/>
      <c r="T175" s="9"/>
      <c r="U175" s="9"/>
      <c r="V175" s="9"/>
      <c r="W175" s="9"/>
      <c r="X175" s="9"/>
      <c r="Y175" s="9"/>
      <c r="Z175" s="9"/>
    </row>
    <row x14ac:dyDescent="0.25" r="176" customHeight="1" ht="18.75">
      <c r="A176" s="9"/>
      <c r="B176" s="18" t="s">
        <v>16</v>
      </c>
      <c r="C176" s="9"/>
      <c r="D176" s="9"/>
      <c r="E176" s="18" t="s">
        <v>869</v>
      </c>
      <c r="F176" s="19">
        <v>30000000</v>
      </c>
      <c r="G176" s="20">
        <v>1528000</v>
      </c>
      <c r="H176" s="21">
        <v>45985</v>
      </c>
      <c r="I176" s="22">
        <v>45920</v>
      </c>
      <c r="J176" s="18" t="s">
        <v>155</v>
      </c>
      <c r="K176" s="18" t="s">
        <v>870</v>
      </c>
      <c r="L176" s="23">
        <f>IF(E176&gt;0,E176,"")</f>
      </c>
      <c r="M176" s="19" t="s">
        <v>874</v>
      </c>
      <c r="N176" s="19" t="s">
        <v>875</v>
      </c>
      <c r="O176" s="22">
        <f>IF(ISNUMBER(I176), EDATE(I176,36)-1, "")</f>
        <v>25569.375</v>
      </c>
      <c r="P176" s="9"/>
      <c r="Q176" s="9"/>
      <c r="R176" s="33" t="s">
        <v>876</v>
      </c>
      <c r="S176" s="9"/>
      <c r="T176" s="9"/>
      <c r="U176" s="9"/>
      <c r="V176" s="9"/>
      <c r="W176" s="9"/>
      <c r="X176" s="9"/>
      <c r="Y176" s="9"/>
      <c r="Z176" s="9"/>
    </row>
    <row x14ac:dyDescent="0.25" r="177" customHeight="1" ht="18.75">
      <c r="A177" s="9"/>
      <c r="B177" s="18" t="s">
        <v>16</v>
      </c>
      <c r="C177" s="18" t="s">
        <v>877</v>
      </c>
      <c r="D177" s="18" t="s">
        <v>92</v>
      </c>
      <c r="E177" s="18" t="s">
        <v>869</v>
      </c>
      <c r="F177" s="20">
        <v>30000000</v>
      </c>
      <c r="G177" s="8">
        <f>IF(F177&gt;0,_xludf.IFS(F177=10000000,1200000,F177=20000000,1800000,F177=30000000,2400000,F177=60000000,4000000),"")</f>
      </c>
      <c r="H177" s="21">
        <v>46239</v>
      </c>
      <c r="I177" s="22">
        <v>46175</v>
      </c>
      <c r="J177" s="18" t="s">
        <v>282</v>
      </c>
      <c r="K177" s="18" t="s">
        <v>878</v>
      </c>
      <c r="L177" s="23">
        <f>IF(E177&gt;0,E177,"")</f>
      </c>
      <c r="M177" s="19">
        <v>7702232256019</v>
      </c>
      <c r="N177" s="19">
        <v>47805940</v>
      </c>
      <c r="O177" s="22">
        <f>IF(ISNUMBER(I177), EDATE(I177,36)-1, "")</f>
        <v>25569.375</v>
      </c>
      <c r="P177" s="18"/>
      <c r="Q177" s="18"/>
      <c r="R177" s="9"/>
      <c r="S177" s="9"/>
      <c r="T177" s="9"/>
      <c r="U177" s="9"/>
      <c r="V177" s="9"/>
      <c r="W177" s="9"/>
      <c r="X177" s="9"/>
      <c r="Y177" s="9"/>
      <c r="Z177" s="9"/>
    </row>
    <row x14ac:dyDescent="0.25" r="178" customHeight="1" ht="18.75">
      <c r="A178" s="9" t="s">
        <v>63</v>
      </c>
      <c r="B178" s="18" t="s">
        <v>16</v>
      </c>
      <c r="C178" s="9" t="s">
        <v>202</v>
      </c>
      <c r="D178" s="9" t="s">
        <v>203</v>
      </c>
      <c r="E178" s="18" t="s">
        <v>879</v>
      </c>
      <c r="F178" s="19">
        <v>60000000</v>
      </c>
      <c r="G178" s="20">
        <v>4056000</v>
      </c>
      <c r="H178" s="21">
        <v>46153</v>
      </c>
      <c r="I178" s="22">
        <f>IF(H178&gt;0,EDATE(H178,-2),"")</f>
        <v>25569.375</v>
      </c>
      <c r="J178" s="18" t="s">
        <v>161</v>
      </c>
      <c r="K178" s="18" t="s">
        <v>880</v>
      </c>
      <c r="L178" s="23">
        <f>IF(E178&gt;0,E178,"")</f>
      </c>
      <c r="M178" s="19" t="s">
        <v>881</v>
      </c>
      <c r="N178" s="19" t="s">
        <v>882</v>
      </c>
      <c r="O178" s="22">
        <f>IF(ISNUMBER(I178), EDATE(I178,36)-1, "")</f>
        <v>25569.375</v>
      </c>
      <c r="P178" s="9" t="s">
        <v>883</v>
      </c>
      <c r="Q178" s="9" t="s">
        <v>166</v>
      </c>
      <c r="R178" s="9" t="s">
        <v>884</v>
      </c>
      <c r="S178" s="9"/>
      <c r="T178" s="9"/>
      <c r="U178" s="9"/>
      <c r="V178" s="9"/>
      <c r="W178" s="9"/>
      <c r="X178" s="9"/>
      <c r="Y178" s="9"/>
      <c r="Z178" s="9"/>
    </row>
    <row x14ac:dyDescent="0.25" r="179" customHeight="1" ht="18.75">
      <c r="A179" s="9"/>
      <c r="B179" s="18" t="s">
        <v>16</v>
      </c>
      <c r="C179" s="9" t="s">
        <v>153</v>
      </c>
      <c r="D179" s="9" t="s">
        <v>318</v>
      </c>
      <c r="E179" s="18" t="s">
        <v>885</v>
      </c>
      <c r="F179" s="19">
        <v>10000000</v>
      </c>
      <c r="G179" s="20">
        <v>1200000</v>
      </c>
      <c r="H179" s="21">
        <v>46202</v>
      </c>
      <c r="I179" s="22">
        <f>IF(H179&gt;0,EDATE(H179,-2),"")</f>
        <v>25569.375</v>
      </c>
      <c r="J179" s="18" t="s">
        <v>205</v>
      </c>
      <c r="K179" s="18" t="s">
        <v>886</v>
      </c>
      <c r="L179" s="23">
        <f>IF(E179&gt;0,E179,"")</f>
      </c>
      <c r="M179" s="19">
        <v>6501062133014</v>
      </c>
      <c r="N179" s="19">
        <v>87540005</v>
      </c>
      <c r="O179" s="22">
        <f>IF(ISNUMBER(I179), EDATE(I179,36)-1, "")</f>
        <v>25569.375</v>
      </c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x14ac:dyDescent="0.25" r="180" customHeight="1" ht="18.75">
      <c r="A180" s="9" t="s">
        <v>152</v>
      </c>
      <c r="B180" s="18" t="s">
        <v>16</v>
      </c>
      <c r="C180" s="9" t="s">
        <v>454</v>
      </c>
      <c r="D180" s="9" t="s">
        <v>455</v>
      </c>
      <c r="E180" s="18" t="s">
        <v>887</v>
      </c>
      <c r="F180" s="19">
        <v>10000000</v>
      </c>
      <c r="G180" s="20">
        <v>800000</v>
      </c>
      <c r="H180" s="21">
        <v>46154</v>
      </c>
      <c r="I180" s="22">
        <f>IF(H180&gt;0,EDATE(H180,-2),"")</f>
        <v>25569.375</v>
      </c>
      <c r="J180" s="18" t="s">
        <v>155</v>
      </c>
      <c r="K180" s="18" t="s">
        <v>888</v>
      </c>
      <c r="L180" s="23">
        <f>IF(E180&gt;0,E180,"")</f>
      </c>
      <c r="M180" s="19">
        <v>6104011480911</v>
      </c>
      <c r="N180" s="19">
        <v>65859986</v>
      </c>
      <c r="O180" s="22">
        <f>IF(ISNUMBER(I180), EDATE(I180,36)-1, "")</f>
        <v>25569.375</v>
      </c>
      <c r="P180" s="9"/>
      <c r="Q180" s="9"/>
      <c r="R180" s="9" t="s">
        <v>889</v>
      </c>
      <c r="S180" s="9"/>
      <c r="T180" s="9"/>
      <c r="U180" s="9"/>
      <c r="V180" s="9"/>
      <c r="W180" s="9"/>
      <c r="X180" s="9"/>
      <c r="Y180" s="9"/>
      <c r="Z180" s="9"/>
    </row>
    <row x14ac:dyDescent="0.25" r="181" customHeight="1" ht="18.75">
      <c r="A181" s="9"/>
      <c r="B181" s="18" t="s">
        <v>16</v>
      </c>
      <c r="C181" s="9"/>
      <c r="D181" s="9"/>
      <c r="E181" s="18" t="s">
        <v>890</v>
      </c>
      <c r="F181" s="19">
        <v>10000000</v>
      </c>
      <c r="G181" s="20"/>
      <c r="H181" s="21">
        <v>46184</v>
      </c>
      <c r="I181" s="22">
        <f>IF(H181&gt;0,EDATE(H181,-2),"")</f>
        <v>25569.375</v>
      </c>
      <c r="J181" s="18" t="s">
        <v>168</v>
      </c>
      <c r="K181" s="18" t="s">
        <v>471</v>
      </c>
      <c r="L181" s="23">
        <f>IF(E181&gt;0,E181,"")</f>
      </c>
      <c r="M181" s="19" t="s">
        <v>891</v>
      </c>
      <c r="N181" s="19" t="s">
        <v>892</v>
      </c>
      <c r="O181" s="22">
        <f>IF(ISNUMBER(I181), EDATE(I181,36)-1, "")</f>
        <v>25569.375</v>
      </c>
      <c r="P181" s="9" t="s">
        <v>893</v>
      </c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x14ac:dyDescent="0.25" r="182" customHeight="1" ht="18.75">
      <c r="A182" s="9" t="s">
        <v>275</v>
      </c>
      <c r="B182" s="18" t="s">
        <v>16</v>
      </c>
      <c r="C182" s="9"/>
      <c r="D182" s="9"/>
      <c r="E182" s="18" t="s">
        <v>890</v>
      </c>
      <c r="F182" s="19">
        <v>10000000</v>
      </c>
      <c r="G182" s="20"/>
      <c r="H182" s="21">
        <v>46184</v>
      </c>
      <c r="I182" s="22">
        <f>IF(H182&gt;0,EDATE(H182,-2),"")</f>
        <v>25569.375</v>
      </c>
      <c r="J182" s="18" t="s">
        <v>168</v>
      </c>
      <c r="K182" s="18" t="s">
        <v>471</v>
      </c>
      <c r="L182" s="23">
        <f>IF(E182&gt;0,E182,"")</f>
      </c>
      <c r="M182" s="19" t="s">
        <v>891</v>
      </c>
      <c r="N182" s="19">
        <v>88047179</v>
      </c>
      <c r="O182" s="22">
        <f>IF(ISNUMBER(I182), EDATE(I182,36)-1, "")</f>
        <v>25569.375</v>
      </c>
      <c r="P182" s="9"/>
      <c r="Q182" s="9"/>
      <c r="R182" s="9" t="s">
        <v>894</v>
      </c>
      <c r="S182" s="9"/>
      <c r="T182" s="9"/>
      <c r="U182" s="9"/>
      <c r="V182" s="9"/>
      <c r="W182" s="9"/>
      <c r="X182" s="9"/>
      <c r="Y182" s="9"/>
      <c r="Z182" s="9"/>
    </row>
    <row x14ac:dyDescent="0.25" r="183" customHeight="1" ht="18.75">
      <c r="A183" s="9"/>
      <c r="B183" s="18" t="s">
        <v>16</v>
      </c>
      <c r="C183" s="9"/>
      <c r="D183" s="9"/>
      <c r="E183" s="18" t="s">
        <v>895</v>
      </c>
      <c r="F183" s="19">
        <v>10000000</v>
      </c>
      <c r="G183" s="20"/>
      <c r="H183" s="21">
        <v>46184</v>
      </c>
      <c r="I183" s="22">
        <f>IF(H183&gt;0,EDATE(H183,-2),"")</f>
        <v>25569.375</v>
      </c>
      <c r="J183" s="18" t="s">
        <v>168</v>
      </c>
      <c r="K183" s="18" t="s">
        <v>471</v>
      </c>
      <c r="L183" s="23">
        <f>IF(E183&gt;0,E183,"")</f>
      </c>
      <c r="M183" s="19" t="s">
        <v>896</v>
      </c>
      <c r="N183" s="19" t="s">
        <v>897</v>
      </c>
      <c r="O183" s="22">
        <f>IF(ISNUMBER(I183), EDATE(I183,36)-1, "")</f>
        <v>25569.375</v>
      </c>
      <c r="P183" s="9" t="s">
        <v>898</v>
      </c>
      <c r="Q183" s="9" t="s">
        <v>166</v>
      </c>
      <c r="R183" s="9"/>
      <c r="S183" s="9"/>
      <c r="T183" s="9"/>
      <c r="U183" s="9"/>
      <c r="V183" s="9"/>
      <c r="W183" s="9"/>
      <c r="X183" s="9"/>
      <c r="Y183" s="9"/>
      <c r="Z183" s="9"/>
    </row>
    <row x14ac:dyDescent="0.25" r="184" customHeight="1" ht="18.75">
      <c r="A184" s="9" t="s">
        <v>275</v>
      </c>
      <c r="B184" s="18" t="s">
        <v>16</v>
      </c>
      <c r="C184" s="9"/>
      <c r="D184" s="9"/>
      <c r="E184" s="18" t="s">
        <v>895</v>
      </c>
      <c r="F184" s="19">
        <v>10000000</v>
      </c>
      <c r="G184" s="20"/>
      <c r="H184" s="21">
        <v>46184</v>
      </c>
      <c r="I184" s="22">
        <f>IF(H184&gt;0,EDATE(H184,-2),"")</f>
        <v>25569.375</v>
      </c>
      <c r="J184" s="18" t="s">
        <v>168</v>
      </c>
      <c r="K184" s="18" t="s">
        <v>471</v>
      </c>
      <c r="L184" s="23">
        <f>IF(E184&gt;0,E184,"")</f>
      </c>
      <c r="M184" s="19" t="s">
        <v>896</v>
      </c>
      <c r="N184" s="19">
        <v>74120680</v>
      </c>
      <c r="O184" s="22">
        <f>IF(ISNUMBER(I184), EDATE(I184,36)-1, "")</f>
        <v>25569.375</v>
      </c>
      <c r="P184" s="9"/>
      <c r="Q184" s="9"/>
      <c r="R184" s="9" t="s">
        <v>475</v>
      </c>
      <c r="S184" s="9"/>
      <c r="T184" s="9"/>
      <c r="U184" s="9"/>
      <c r="V184" s="9"/>
      <c r="W184" s="9"/>
      <c r="X184" s="9"/>
      <c r="Y184" s="9"/>
      <c r="Z184" s="9"/>
    </row>
    <row x14ac:dyDescent="0.25" r="185" customHeight="1" ht="18.75">
      <c r="A185" s="9"/>
      <c r="B185" s="18" t="s">
        <v>16</v>
      </c>
      <c r="C185" s="9"/>
      <c r="D185" s="9"/>
      <c r="E185" s="18" t="s">
        <v>899</v>
      </c>
      <c r="F185" s="19">
        <v>10000000</v>
      </c>
      <c r="G185" s="20">
        <v>800000</v>
      </c>
      <c r="H185" s="21">
        <v>46184</v>
      </c>
      <c r="I185" s="22">
        <f>IF(H185&gt;0,EDATE(H185,-2),"")</f>
        <v>25569.375</v>
      </c>
      <c r="J185" s="18" t="s">
        <v>168</v>
      </c>
      <c r="K185" s="18" t="s">
        <v>471</v>
      </c>
      <c r="L185" s="23">
        <f>IF(E185&gt;0,E185,"")</f>
      </c>
      <c r="M185" s="19" t="s">
        <v>896</v>
      </c>
      <c r="N185" s="19" t="s">
        <v>897</v>
      </c>
      <c r="O185" s="22">
        <f>IF(ISNUMBER(I185), EDATE(I185,36)-1, "")</f>
        <v>25569.375</v>
      </c>
      <c r="P185" s="9"/>
      <c r="Q185" s="9" t="s">
        <v>166</v>
      </c>
      <c r="R185" s="9"/>
      <c r="S185" s="9"/>
      <c r="T185" s="9"/>
      <c r="U185" s="9"/>
      <c r="V185" s="9"/>
      <c r="W185" s="9"/>
      <c r="X185" s="9"/>
      <c r="Y185" s="9"/>
      <c r="Z185" s="9"/>
    </row>
    <row x14ac:dyDescent="0.25" r="186" customHeight="1" ht="18.75">
      <c r="A186" s="9" t="s">
        <v>152</v>
      </c>
      <c r="B186" s="18" t="s">
        <v>16</v>
      </c>
      <c r="C186" s="9" t="s">
        <v>900</v>
      </c>
      <c r="D186" s="9"/>
      <c r="E186" s="18" t="s">
        <v>901</v>
      </c>
      <c r="F186" s="19">
        <v>20000000</v>
      </c>
      <c r="G186" s="20">
        <v>1528000</v>
      </c>
      <c r="H186" s="21">
        <v>46173</v>
      </c>
      <c r="I186" s="22">
        <f>IF(H186&gt;0,EDATE(H186,-2),"")</f>
        <v>25569.375</v>
      </c>
      <c r="J186" s="18" t="s">
        <v>212</v>
      </c>
      <c r="K186" s="18" t="s">
        <v>902</v>
      </c>
      <c r="L186" s="23">
        <f>IF(E186&gt;0,E186,"")</f>
      </c>
      <c r="M186" s="19" t="s">
        <v>903</v>
      </c>
      <c r="N186" s="19" t="s">
        <v>904</v>
      </c>
      <c r="O186" s="22">
        <f>IF(ISNUMBER(I186), EDATE(I186,36)-1, "")</f>
        <v>25569.375</v>
      </c>
      <c r="P186" s="9"/>
      <c r="Q186" s="9" t="s">
        <v>166</v>
      </c>
      <c r="R186" s="9" t="s">
        <v>905</v>
      </c>
      <c r="S186" s="9"/>
      <c r="T186" s="9"/>
      <c r="U186" s="9"/>
      <c r="V186" s="9"/>
      <c r="W186" s="9"/>
      <c r="X186" s="9"/>
      <c r="Y186" s="9"/>
      <c r="Z186" s="9"/>
    </row>
    <row x14ac:dyDescent="0.25" r="187" customHeight="1" ht="18.75">
      <c r="A187" s="9"/>
      <c r="B187" s="18" t="s">
        <v>16</v>
      </c>
      <c r="C187" s="9"/>
      <c r="D187" s="9"/>
      <c r="E187" s="18" t="s">
        <v>906</v>
      </c>
      <c r="F187" s="19">
        <v>10000000</v>
      </c>
      <c r="G187" s="20">
        <v>800000</v>
      </c>
      <c r="H187" s="21">
        <v>46162</v>
      </c>
      <c r="I187" s="22">
        <f>IF(H187&gt;0,EDATE(H187,-2),"")</f>
        <v>25569.375</v>
      </c>
      <c r="J187" s="18" t="s">
        <v>239</v>
      </c>
      <c r="K187" s="18" t="s">
        <v>907</v>
      </c>
      <c r="L187" s="23">
        <f>IF(E187&gt;0,E187,"")</f>
      </c>
      <c r="M187" s="19" t="s">
        <v>908</v>
      </c>
      <c r="N187" s="19" t="s">
        <v>909</v>
      </c>
      <c r="O187" s="22">
        <f>IF(ISNUMBER(I187), EDATE(I187,36)-1, "")</f>
        <v>25569.375</v>
      </c>
      <c r="P187" s="9"/>
      <c r="Q187" s="9" t="s">
        <v>166</v>
      </c>
      <c r="R187" s="9"/>
      <c r="S187" s="9"/>
      <c r="T187" s="9"/>
      <c r="U187" s="9"/>
      <c r="V187" s="9"/>
      <c r="W187" s="9"/>
      <c r="X187" s="9"/>
      <c r="Y187" s="9"/>
      <c r="Z187" s="9"/>
    </row>
    <row x14ac:dyDescent="0.25" r="188" customHeight="1" ht="18.75">
      <c r="A188" s="9"/>
      <c r="B188" s="18" t="s">
        <v>16</v>
      </c>
      <c r="C188" s="9"/>
      <c r="D188" s="9"/>
      <c r="E188" s="18" t="s">
        <v>910</v>
      </c>
      <c r="F188" s="19">
        <v>20000000</v>
      </c>
      <c r="G188" s="20">
        <v>1528000</v>
      </c>
      <c r="H188" s="21">
        <v>46196</v>
      </c>
      <c r="I188" s="22">
        <f>IF(H188&gt;0,EDATE(H188,-2),"")</f>
        <v>25569.375</v>
      </c>
      <c r="J188" s="18" t="s">
        <v>161</v>
      </c>
      <c r="K188" s="18" t="s">
        <v>911</v>
      </c>
      <c r="L188" s="23">
        <f>IF(E188&gt;0,E188,"")</f>
      </c>
      <c r="M188" s="19" t="s">
        <v>912</v>
      </c>
      <c r="N188" s="19" t="s">
        <v>913</v>
      </c>
      <c r="O188" s="22">
        <f>IF(ISNUMBER(I188), EDATE(I188,36)-1, "")</f>
        <v>25569.375</v>
      </c>
      <c r="P188" s="9"/>
      <c r="Q188" s="9" t="s">
        <v>293</v>
      </c>
      <c r="R188" s="9"/>
      <c r="S188" s="9"/>
      <c r="T188" s="9"/>
      <c r="U188" s="9"/>
      <c r="V188" s="9"/>
      <c r="W188" s="9"/>
      <c r="X188" s="9"/>
      <c r="Y188" s="9"/>
      <c r="Z188" s="9"/>
    </row>
    <row x14ac:dyDescent="0.25" r="189" customHeight="1" ht="18.75">
      <c r="A189" s="9" t="s">
        <v>275</v>
      </c>
      <c r="B189" s="18" t="s">
        <v>16</v>
      </c>
      <c r="C189" s="9"/>
      <c r="D189" s="9"/>
      <c r="E189" s="18" t="s">
        <v>914</v>
      </c>
      <c r="F189" s="19">
        <v>10000000</v>
      </c>
      <c r="G189" s="20">
        <v>800000</v>
      </c>
      <c r="H189" s="21">
        <v>46196</v>
      </c>
      <c r="I189" s="22">
        <f>IF(H189&gt;0,EDATE(H189,-2),"")</f>
        <v>25569.375</v>
      </c>
      <c r="J189" s="18" t="s">
        <v>239</v>
      </c>
      <c r="K189" s="18" t="s">
        <v>915</v>
      </c>
      <c r="L189" s="23">
        <f>IF(E189&gt;0,E189,"")</f>
      </c>
      <c r="M189" s="19" t="s">
        <v>916</v>
      </c>
      <c r="N189" s="19" t="s">
        <v>917</v>
      </c>
      <c r="O189" s="22">
        <f>IF(ISNUMBER(I189), EDATE(I189,36)-1, "")</f>
        <v>25569.375</v>
      </c>
      <c r="P189" s="9" t="s">
        <v>918</v>
      </c>
      <c r="Q189" s="9" t="s">
        <v>166</v>
      </c>
      <c r="R189" s="9" t="s">
        <v>919</v>
      </c>
      <c r="S189" s="9"/>
      <c r="T189" s="9"/>
      <c r="U189" s="9"/>
      <c r="V189" s="9"/>
      <c r="W189" s="9"/>
      <c r="X189" s="9"/>
      <c r="Y189" s="9"/>
      <c r="Z189" s="9"/>
    </row>
    <row x14ac:dyDescent="0.25" r="190" customHeight="1" ht="18.75">
      <c r="A190" s="9"/>
      <c r="B190" s="18" t="s">
        <v>16</v>
      </c>
      <c r="C190" s="9"/>
      <c r="D190" s="9"/>
      <c r="E190" s="18" t="s">
        <v>920</v>
      </c>
      <c r="F190" s="19">
        <v>10000000</v>
      </c>
      <c r="G190" s="20">
        <v>800000</v>
      </c>
      <c r="H190" s="21">
        <v>46186</v>
      </c>
      <c r="I190" s="22">
        <f>IF(H190&gt;0,EDATE(H190,-2),"")</f>
        <v>25569.375</v>
      </c>
      <c r="J190" s="18" t="s">
        <v>161</v>
      </c>
      <c r="K190" s="18" t="s">
        <v>921</v>
      </c>
      <c r="L190" s="23">
        <f>IF(E190&gt;0,E190,"")</f>
      </c>
      <c r="M190" s="19" t="s">
        <v>922</v>
      </c>
      <c r="N190" s="19" t="s">
        <v>923</v>
      </c>
      <c r="O190" s="22">
        <f>IF(ISNUMBER(I190), EDATE(I190,36)-1, "")</f>
        <v>25569.375</v>
      </c>
      <c r="P190" s="9" t="s">
        <v>924</v>
      </c>
      <c r="Q190" s="9" t="s">
        <v>166</v>
      </c>
      <c r="R190" s="9"/>
      <c r="S190" s="9"/>
      <c r="T190" s="9"/>
      <c r="U190" s="9"/>
      <c r="V190" s="9"/>
      <c r="W190" s="9"/>
      <c r="X190" s="9"/>
      <c r="Y190" s="9"/>
      <c r="Z190" s="9"/>
    </row>
    <row x14ac:dyDescent="0.25" r="191" customHeight="1" ht="18.75">
      <c r="A191" s="9"/>
      <c r="B191" s="18" t="s">
        <v>16</v>
      </c>
      <c r="C191" s="9"/>
      <c r="D191" s="9"/>
      <c r="E191" s="18" t="s">
        <v>925</v>
      </c>
      <c r="F191" s="19">
        <v>10000000</v>
      </c>
      <c r="G191" s="20">
        <v>800000</v>
      </c>
      <c r="H191" s="21">
        <v>46080</v>
      </c>
      <c r="I191" s="22">
        <f>IF(H191&gt;0,EDATE(H191,-2),"")</f>
        <v>25569.375</v>
      </c>
      <c r="J191" s="18" t="s">
        <v>239</v>
      </c>
      <c r="K191" s="18" t="s">
        <v>926</v>
      </c>
      <c r="L191" s="23">
        <f>IF(E191&gt;0,E191,"")</f>
      </c>
      <c r="M191" s="19" t="s">
        <v>927</v>
      </c>
      <c r="N191" s="19" t="s">
        <v>928</v>
      </c>
      <c r="O191" s="22">
        <f>IF(ISNUMBER(I191), EDATE(I191,36)-1, "")</f>
        <v>25569.375</v>
      </c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x14ac:dyDescent="0.25" r="192" customHeight="1" ht="18.75">
      <c r="A192" s="9"/>
      <c r="B192" s="18" t="s">
        <v>16</v>
      </c>
      <c r="C192" s="9"/>
      <c r="D192" s="9"/>
      <c r="E192" s="18" t="s">
        <v>929</v>
      </c>
      <c r="F192" s="19">
        <v>10000000</v>
      </c>
      <c r="G192" s="20">
        <v>800000</v>
      </c>
      <c r="H192" s="21">
        <v>46008</v>
      </c>
      <c r="I192" s="22">
        <f>IF(H192&gt;0,EDATE(H192,-2),"")</f>
        <v>25569.375</v>
      </c>
      <c r="J192" s="18" t="s">
        <v>168</v>
      </c>
      <c r="K192" s="18" t="s">
        <v>930</v>
      </c>
      <c r="L192" s="23">
        <f>IF(E192&gt;0,E192,"")</f>
      </c>
      <c r="M192" s="19" t="s">
        <v>931</v>
      </c>
      <c r="N192" s="19" t="s">
        <v>932</v>
      </c>
      <c r="O192" s="22">
        <f>IF(ISNUMBER(I192), EDATE(I192,36)-1, "")</f>
        <v>25569.375</v>
      </c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x14ac:dyDescent="0.25" r="193" customHeight="1" ht="18.75">
      <c r="A193" s="9" t="s">
        <v>252</v>
      </c>
      <c r="B193" s="18" t="s">
        <v>16</v>
      </c>
      <c r="C193" s="9"/>
      <c r="D193" s="9"/>
      <c r="E193" s="18" t="s">
        <v>34</v>
      </c>
      <c r="F193" s="19">
        <v>60000000</v>
      </c>
      <c r="G193" s="20"/>
      <c r="H193" s="21">
        <v>44145</v>
      </c>
      <c r="I193" s="22">
        <f>IF(H193&gt;0,EDATE(H193,-2),"")</f>
        <v>25569.375</v>
      </c>
      <c r="J193" s="18" t="s">
        <v>933</v>
      </c>
      <c r="K193" s="18" t="s">
        <v>934</v>
      </c>
      <c r="L193" s="23">
        <f>IF(E193&gt;0,E193,"")</f>
      </c>
      <c r="M193" s="19" t="s">
        <v>935</v>
      </c>
      <c r="N193" s="19" t="s">
        <v>936</v>
      </c>
      <c r="O193" s="22">
        <f>IF(ISNUMBER(I193), EDATE(I193,36)-1, "")</f>
        <v>25569.375</v>
      </c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x14ac:dyDescent="0.25" r="194" customHeight="1" ht="18.75">
      <c r="A194" s="9"/>
      <c r="B194" s="18" t="s">
        <v>16</v>
      </c>
      <c r="C194" s="9"/>
      <c r="D194" s="9"/>
      <c r="E194" s="18" t="s">
        <v>34</v>
      </c>
      <c r="F194" s="19">
        <v>60000000</v>
      </c>
      <c r="G194" s="20">
        <v>4800000</v>
      </c>
      <c r="H194" s="21">
        <v>45909</v>
      </c>
      <c r="I194" s="22">
        <f>IF(H194&gt;0,EDATE(H194,-2),"")</f>
        <v>25569.375</v>
      </c>
      <c r="J194" s="18" t="s">
        <v>155</v>
      </c>
      <c r="K194" s="18" t="s">
        <v>937</v>
      </c>
      <c r="L194" s="23">
        <f>IF(E194&gt;0,E194,"")</f>
      </c>
      <c r="M194" s="19" t="s">
        <v>935</v>
      </c>
      <c r="N194" s="19" t="s">
        <v>938</v>
      </c>
      <c r="O194" s="22">
        <f>IF(ISNUMBER(I194), EDATE(I194,36)-1, "")</f>
        <v>25569.375</v>
      </c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x14ac:dyDescent="0.25" r="195" customHeight="1" ht="18.75">
      <c r="A195" s="9" t="s">
        <v>252</v>
      </c>
      <c r="B195" s="18" t="s">
        <v>16</v>
      </c>
      <c r="C195" s="9"/>
      <c r="D195" s="9"/>
      <c r="E195" s="18" t="s">
        <v>34</v>
      </c>
      <c r="F195" s="19">
        <v>60000000</v>
      </c>
      <c r="G195" s="20"/>
      <c r="H195" s="21">
        <v>45971</v>
      </c>
      <c r="I195" s="22">
        <f>IF(H195&gt;0,EDATE(H195,-2),"")</f>
        <v>25569.375</v>
      </c>
      <c r="J195" s="18" t="s">
        <v>933</v>
      </c>
      <c r="K195" s="18" t="s">
        <v>939</v>
      </c>
      <c r="L195" s="23">
        <f>IF(E195&gt;0,E195,"")</f>
      </c>
      <c r="M195" s="19" t="s">
        <v>935</v>
      </c>
      <c r="N195" s="19" t="s">
        <v>938</v>
      </c>
      <c r="O195" s="22">
        <f>IF(ISNUMBER(I195), EDATE(I195,36)-1, "")</f>
        <v>25569.375</v>
      </c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x14ac:dyDescent="0.25" r="196" customHeight="1" ht="18.75">
      <c r="A196" s="9"/>
      <c r="B196" s="18" t="s">
        <v>16</v>
      </c>
      <c r="C196" s="9" t="s">
        <v>202</v>
      </c>
      <c r="D196" s="9" t="s">
        <v>203</v>
      </c>
      <c r="E196" s="18" t="s">
        <v>34</v>
      </c>
      <c r="F196" s="19">
        <v>20000000</v>
      </c>
      <c r="G196" s="20">
        <v>1000000</v>
      </c>
      <c r="H196" s="21">
        <v>46183</v>
      </c>
      <c r="I196" s="22">
        <f>IF(H196&gt;0,EDATE(H196,-2),"")</f>
        <v>25569.375</v>
      </c>
      <c r="J196" s="18" t="s">
        <v>940</v>
      </c>
      <c r="K196" s="18" t="s">
        <v>941</v>
      </c>
      <c r="L196" s="23">
        <f>IF(E196&gt;0,E196,"")</f>
      </c>
      <c r="M196" s="19">
        <v>5109162052811</v>
      </c>
      <c r="N196" s="19">
        <v>84776122</v>
      </c>
      <c r="O196" s="22">
        <f>IF(ISNUMBER(I196), EDATE(I196,36)-1, "")</f>
        <v>25569.375</v>
      </c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x14ac:dyDescent="0.25" r="197" customHeight="1" ht="18.75">
      <c r="A197" s="9"/>
      <c r="B197" s="18" t="s">
        <v>16</v>
      </c>
      <c r="C197" s="9"/>
      <c r="D197" s="9"/>
      <c r="E197" s="18" t="s">
        <v>942</v>
      </c>
      <c r="F197" s="19">
        <v>30000000</v>
      </c>
      <c r="G197" s="20">
        <v>2028000</v>
      </c>
      <c r="H197" s="21">
        <v>46133</v>
      </c>
      <c r="I197" s="22">
        <f>IF(H197&gt;0,EDATE(H197,-2),"")</f>
        <v>25569.375</v>
      </c>
      <c r="J197" s="18" t="s">
        <v>239</v>
      </c>
      <c r="K197" s="18" t="s">
        <v>943</v>
      </c>
      <c r="L197" s="23">
        <f>IF(E197&gt;0,E197,"")</f>
      </c>
      <c r="M197" s="19" t="s">
        <v>944</v>
      </c>
      <c r="N197" s="19">
        <v>85439498</v>
      </c>
      <c r="O197" s="22">
        <f>IF(ISNUMBER(I197), EDATE(I197,36)-1, "")</f>
        <v>25569.375</v>
      </c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x14ac:dyDescent="0.25" r="198" customHeight="1" ht="18.75">
      <c r="A198" s="9"/>
      <c r="B198" s="18" t="s">
        <v>16</v>
      </c>
      <c r="C198" s="9"/>
      <c r="D198" s="9"/>
      <c r="E198" s="18" t="s">
        <v>945</v>
      </c>
      <c r="F198" s="19">
        <v>10000000</v>
      </c>
      <c r="G198" s="20">
        <v>800000</v>
      </c>
      <c r="H198" s="21">
        <v>46111</v>
      </c>
      <c r="I198" s="22">
        <f>IF(H198&gt;0,EDATE(H198,-2),"")</f>
        <v>25569.375</v>
      </c>
      <c r="J198" s="18" t="s">
        <v>155</v>
      </c>
      <c r="K198" s="18" t="s">
        <v>946</v>
      </c>
      <c r="L198" s="23">
        <f>IF(E198&gt;0,E198,"")</f>
      </c>
      <c r="M198" s="19" t="s">
        <v>947</v>
      </c>
      <c r="N198" s="19" t="s">
        <v>948</v>
      </c>
      <c r="O198" s="22">
        <f>IF(ISNUMBER(I198), EDATE(I198,36)-1, "")</f>
        <v>25569.375</v>
      </c>
      <c r="P198" s="9"/>
      <c r="Q198" s="9" t="s">
        <v>949</v>
      </c>
      <c r="R198" s="9"/>
      <c r="S198" s="9"/>
      <c r="T198" s="9"/>
      <c r="U198" s="9"/>
      <c r="V198" s="9"/>
      <c r="W198" s="9"/>
      <c r="X198" s="9"/>
      <c r="Y198" s="9"/>
      <c r="Z198" s="9"/>
    </row>
    <row x14ac:dyDescent="0.25" r="199" customHeight="1" ht="18.75">
      <c r="A199" s="9"/>
      <c r="B199" s="18" t="s">
        <v>16</v>
      </c>
      <c r="C199" s="9" t="s">
        <v>454</v>
      </c>
      <c r="D199" s="9" t="s">
        <v>647</v>
      </c>
      <c r="E199" s="18" t="s">
        <v>950</v>
      </c>
      <c r="F199" s="19">
        <v>30000000</v>
      </c>
      <c r="G199" s="20">
        <v>2400000</v>
      </c>
      <c r="H199" s="21">
        <v>46208</v>
      </c>
      <c r="I199" s="22">
        <f>IF(H199&gt;0,EDATE(H199,-2),"")</f>
        <v>25569.375</v>
      </c>
      <c r="J199" s="18" t="s">
        <v>217</v>
      </c>
      <c r="K199" s="18" t="s">
        <v>951</v>
      </c>
      <c r="L199" s="23">
        <f>IF(E199&gt;0,E199,"")</f>
      </c>
      <c r="M199" s="19">
        <v>403813165438</v>
      </c>
      <c r="N199" s="19">
        <v>29340831</v>
      </c>
      <c r="O199" s="22">
        <f>IF(ISNUMBER(I199), EDATE(I199,36)-1, "")</f>
        <v>25569.375</v>
      </c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x14ac:dyDescent="0.25" r="200" customHeight="1" ht="18.75">
      <c r="A200" s="9"/>
      <c r="B200" s="18" t="s">
        <v>16</v>
      </c>
      <c r="C200" s="9"/>
      <c r="D200" s="9"/>
      <c r="E200" s="18" t="s">
        <v>952</v>
      </c>
      <c r="F200" s="19">
        <v>20000000</v>
      </c>
      <c r="G200" s="20">
        <v>1528000</v>
      </c>
      <c r="H200" s="21">
        <v>46052</v>
      </c>
      <c r="I200" s="22">
        <f>IF(H200&gt;0,EDATE(H200,-2),"")</f>
        <v>25569.375</v>
      </c>
      <c r="J200" s="18" t="s">
        <v>155</v>
      </c>
      <c r="K200" s="18" t="s">
        <v>953</v>
      </c>
      <c r="L200" s="23">
        <f>IF(E200&gt;0,E200,"")</f>
      </c>
      <c r="M200" s="19" t="s">
        <v>954</v>
      </c>
      <c r="N200" s="19" t="s">
        <v>955</v>
      </c>
      <c r="O200" s="22">
        <f>IF(ISNUMBER(I200), EDATE(I200,36)-1, "")</f>
        <v>25569.375</v>
      </c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x14ac:dyDescent="0.25" r="201" customHeight="1" ht="18.75">
      <c r="A201" s="9"/>
      <c r="B201" s="18" t="s">
        <v>16</v>
      </c>
      <c r="C201" s="9" t="s">
        <v>627</v>
      </c>
      <c r="D201" s="9" t="s">
        <v>373</v>
      </c>
      <c r="E201" s="18" t="s">
        <v>952</v>
      </c>
      <c r="F201" s="19">
        <v>20000000</v>
      </c>
      <c r="G201" s="20">
        <v>800000</v>
      </c>
      <c r="H201" s="21">
        <v>46221</v>
      </c>
      <c r="I201" s="22">
        <f>IF(H201&gt;0,EDATE(H201,-2),"")</f>
        <v>25569.375</v>
      </c>
      <c r="J201" s="18" t="s">
        <v>205</v>
      </c>
      <c r="K201" s="18" t="s">
        <v>956</v>
      </c>
      <c r="L201" s="23">
        <f>IF(E201&gt;0,E201,"")</f>
      </c>
      <c r="M201" s="19" t="s">
        <v>957</v>
      </c>
      <c r="N201" s="19">
        <v>77119650</v>
      </c>
      <c r="O201" s="22">
        <f>IF(ISNUMBER(I201), EDATE(I201,36)-1, "")</f>
        <v>25569.375</v>
      </c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x14ac:dyDescent="0.25" r="202" customHeight="1" ht="18.75">
      <c r="A202" s="9"/>
      <c r="B202" s="18" t="s">
        <v>16</v>
      </c>
      <c r="C202" s="9"/>
      <c r="D202" s="9" t="s">
        <v>958</v>
      </c>
      <c r="E202" s="18" t="s">
        <v>959</v>
      </c>
      <c r="F202" s="19">
        <v>10000000</v>
      </c>
      <c r="G202" s="20">
        <v>500000</v>
      </c>
      <c r="H202" s="21">
        <v>46083</v>
      </c>
      <c r="I202" s="22">
        <f>IF(H202&gt;0,EDATE(H202,-2),"")</f>
        <v>25569.375</v>
      </c>
      <c r="J202" s="18" t="s">
        <v>155</v>
      </c>
      <c r="K202" s="18" t="s">
        <v>960</v>
      </c>
      <c r="L202" s="23">
        <f>IF(E202&gt;0,E202,"")</f>
      </c>
      <c r="M202" s="19" t="s">
        <v>961</v>
      </c>
      <c r="N202" s="19" t="s">
        <v>962</v>
      </c>
      <c r="O202" s="22">
        <f>IF(ISNUMBER(I202), EDATE(I202,36)-1, "")</f>
        <v>25569.375</v>
      </c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x14ac:dyDescent="0.25" r="203" customHeight="1" ht="18.75">
      <c r="A203" s="9" t="s">
        <v>252</v>
      </c>
      <c r="B203" s="18" t="s">
        <v>16</v>
      </c>
      <c r="C203" s="9" t="s">
        <v>143</v>
      </c>
      <c r="D203" s="9" t="s">
        <v>14</v>
      </c>
      <c r="E203" s="18" t="s">
        <v>963</v>
      </c>
      <c r="F203" s="19">
        <v>10000000</v>
      </c>
      <c r="G203" s="20">
        <v>1200000</v>
      </c>
      <c r="H203" s="21">
        <v>46188</v>
      </c>
      <c r="I203" s="22">
        <f>IF(H203&gt;0,EDATE(H203,-2),"")</f>
        <v>25569.375</v>
      </c>
      <c r="J203" s="18" t="s">
        <v>379</v>
      </c>
      <c r="K203" s="18" t="s">
        <v>964</v>
      </c>
      <c r="L203" s="23">
        <f>IF(E203&gt;0,E203,"")</f>
      </c>
      <c r="M203" s="19" t="s">
        <v>965</v>
      </c>
      <c r="N203" s="19" t="s">
        <v>966</v>
      </c>
      <c r="O203" s="22">
        <f>IF(ISNUMBER(I203), EDATE(I203,36)-1, "")</f>
        <v>25569.375</v>
      </c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x14ac:dyDescent="0.25" r="204" customHeight="1" ht="18.75">
      <c r="A204" s="9"/>
      <c r="B204" s="18" t="s">
        <v>13</v>
      </c>
      <c r="C204" s="9"/>
      <c r="D204" s="9"/>
      <c r="E204" s="18" t="s">
        <v>967</v>
      </c>
      <c r="F204" s="19">
        <v>60000000</v>
      </c>
      <c r="G204" s="20">
        <v>4800000</v>
      </c>
      <c r="H204" s="21">
        <v>45778</v>
      </c>
      <c r="I204" s="22">
        <f>IF(H204&gt;0,EDATE(H204,-2),"")</f>
        <v>25569.375</v>
      </c>
      <c r="J204" s="18" t="s">
        <v>155</v>
      </c>
      <c r="K204" s="18" t="s">
        <v>968</v>
      </c>
      <c r="L204" s="23">
        <f>IF(E204&gt;0,E204,"")</f>
      </c>
      <c r="M204" s="19" t="s">
        <v>969</v>
      </c>
      <c r="N204" s="19" t="s">
        <v>970</v>
      </c>
      <c r="O204" s="22">
        <f>IF(ISNUMBER(I204), EDATE(I204,36)-1, "")</f>
        <v>25569.375</v>
      </c>
      <c r="P204" s="9"/>
      <c r="Q204" s="9" t="s">
        <v>971</v>
      </c>
      <c r="R204" s="9"/>
      <c r="S204" s="9"/>
      <c r="T204" s="9"/>
      <c r="U204" s="9"/>
      <c r="V204" s="9"/>
      <c r="W204" s="9"/>
      <c r="X204" s="9"/>
      <c r="Y204" s="9"/>
      <c r="Z204" s="9"/>
    </row>
    <row x14ac:dyDescent="0.25" r="205" customHeight="1" ht="18.75">
      <c r="A205" s="9"/>
      <c r="B205" s="18" t="s">
        <v>972</v>
      </c>
      <c r="C205" s="9"/>
      <c r="D205" s="9"/>
      <c r="E205" s="18" t="s">
        <v>967</v>
      </c>
      <c r="F205" s="19">
        <v>60000000</v>
      </c>
      <c r="G205" s="20">
        <v>4800000</v>
      </c>
      <c r="H205" s="21">
        <v>45818</v>
      </c>
      <c r="I205" s="22">
        <f>IF(H205&gt;0,EDATE(H205,-2),"")</f>
        <v>25569.375</v>
      </c>
      <c r="J205" s="18" t="s">
        <v>282</v>
      </c>
      <c r="K205" s="18" t="s">
        <v>973</v>
      </c>
      <c r="L205" s="23">
        <f>IF(E205&gt;0,E205,"")</f>
      </c>
      <c r="M205" s="19" t="s">
        <v>969</v>
      </c>
      <c r="N205" s="19" t="s">
        <v>970</v>
      </c>
      <c r="O205" s="22">
        <f>IF(ISNUMBER(I205), EDATE(I205,36)-1, "")</f>
        <v>25569.375</v>
      </c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x14ac:dyDescent="0.25" r="206" customHeight="1" ht="18.75">
      <c r="A206" s="9"/>
      <c r="B206" s="18" t="s">
        <v>16</v>
      </c>
      <c r="C206" s="9"/>
      <c r="D206" s="9"/>
      <c r="E206" s="18" t="s">
        <v>967</v>
      </c>
      <c r="F206" s="19">
        <v>30000000</v>
      </c>
      <c r="G206" s="20">
        <v>2400000</v>
      </c>
      <c r="H206" s="21">
        <v>45938</v>
      </c>
      <c r="I206" s="22">
        <f>IF(H206&gt;0,EDATE(H206,-2),"")</f>
        <v>25569.375</v>
      </c>
      <c r="J206" s="18" t="s">
        <v>282</v>
      </c>
      <c r="K206" s="18" t="s">
        <v>973</v>
      </c>
      <c r="L206" s="23">
        <f>IF(E206&gt;0,E206,"")</f>
      </c>
      <c r="M206" s="19" t="s">
        <v>969</v>
      </c>
      <c r="N206" s="19" t="s">
        <v>970</v>
      </c>
      <c r="O206" s="22">
        <f>IF(ISNUMBER(I206), EDATE(I206,36)-1, "")</f>
        <v>25569.375</v>
      </c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x14ac:dyDescent="0.25" r="207" customHeight="1" ht="18.75">
      <c r="A207" s="9"/>
      <c r="B207" s="18" t="s">
        <v>16</v>
      </c>
      <c r="C207" s="9"/>
      <c r="D207" s="9"/>
      <c r="E207" s="18" t="s">
        <v>967</v>
      </c>
      <c r="F207" s="19">
        <v>30000000</v>
      </c>
      <c r="G207" s="20">
        <v>2400000</v>
      </c>
      <c r="H207" s="21">
        <v>45940</v>
      </c>
      <c r="I207" s="22">
        <f>IF(H207&gt;0,EDATE(H207,-2),"")</f>
        <v>25569.375</v>
      </c>
      <c r="J207" s="18" t="s">
        <v>282</v>
      </c>
      <c r="K207" s="18" t="s">
        <v>973</v>
      </c>
      <c r="L207" s="23">
        <f>IF(E207&gt;0,E207,"")</f>
      </c>
      <c r="M207" s="19" t="s">
        <v>969</v>
      </c>
      <c r="N207" s="19" t="s">
        <v>970</v>
      </c>
      <c r="O207" s="22">
        <f>IF(ISNUMBER(I207), EDATE(I207,36)-1, "")</f>
        <v>25569.375</v>
      </c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x14ac:dyDescent="0.25" r="208" customHeight="1" ht="18.75">
      <c r="A208" s="9"/>
      <c r="B208" s="18" t="s">
        <v>16</v>
      </c>
      <c r="C208" s="9"/>
      <c r="D208" s="9"/>
      <c r="E208" s="18" t="s">
        <v>974</v>
      </c>
      <c r="F208" s="19">
        <v>20000000</v>
      </c>
      <c r="G208" s="20">
        <v>1528000</v>
      </c>
      <c r="H208" s="21">
        <v>46001</v>
      </c>
      <c r="I208" s="22">
        <f>IF(H208&gt;0,EDATE(H208,-2),"")</f>
        <v>25569.375</v>
      </c>
      <c r="J208" s="18" t="s">
        <v>580</v>
      </c>
      <c r="K208" s="18" t="s">
        <v>975</v>
      </c>
      <c r="L208" s="23">
        <f>IF(E208&gt;0,E208,"")</f>
      </c>
      <c r="M208" s="19" t="s">
        <v>976</v>
      </c>
      <c r="N208" s="19" t="s">
        <v>977</v>
      </c>
      <c r="O208" s="22">
        <f>IF(ISNUMBER(I208), EDATE(I208,36)-1, "")</f>
        <v>25569.375</v>
      </c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x14ac:dyDescent="0.25" r="209" customHeight="1" ht="18.75">
      <c r="A209" s="9"/>
      <c r="B209" s="18" t="s">
        <v>16</v>
      </c>
      <c r="C209" s="18" t="s">
        <v>454</v>
      </c>
      <c r="D209" s="18" t="s">
        <v>357</v>
      </c>
      <c r="E209" s="18" t="s">
        <v>978</v>
      </c>
      <c r="F209" s="20">
        <v>10000000</v>
      </c>
      <c r="G209" s="8">
        <f>IF(F209&gt;0,_xludf.IFS(F209=10000000,1200000,F209=20000000,1800000,F209=30000000,2400000,F209=60000000,4000000),"")</f>
      </c>
      <c r="H209" s="21">
        <v>46242</v>
      </c>
      <c r="I209" s="22">
        <f>IF(H209&gt;0,EDATE(H209,-2),"")</f>
        <v>25569.375</v>
      </c>
      <c r="J209" s="18" t="s">
        <v>217</v>
      </c>
      <c r="K209" s="18" t="s">
        <v>979</v>
      </c>
      <c r="L209" s="23">
        <f>IF(E209&gt;0,E209,"")</f>
      </c>
      <c r="M209" s="19">
        <v>5609131350612</v>
      </c>
      <c r="N209" s="19">
        <v>54849679</v>
      </c>
      <c r="O209" s="22">
        <f>IF(ISNUMBER(I209), EDATE(I209,36)-1, "")</f>
        <v>25569.375</v>
      </c>
      <c r="P209" s="18"/>
      <c r="Q209" s="18"/>
      <c r="R209" s="9"/>
      <c r="S209" s="9"/>
      <c r="T209" s="9"/>
      <c r="U209" s="9"/>
      <c r="V209" s="9"/>
      <c r="W209" s="9"/>
      <c r="X209" s="9"/>
      <c r="Y209" s="9"/>
      <c r="Z209" s="9"/>
    </row>
    <row x14ac:dyDescent="0.25" r="210" customHeight="1" ht="18.75">
      <c r="A210" s="9"/>
      <c r="B210" s="18" t="s">
        <v>16</v>
      </c>
      <c r="C210" s="9" t="s">
        <v>816</v>
      </c>
      <c r="D210" s="9"/>
      <c r="E210" s="18" t="s">
        <v>980</v>
      </c>
      <c r="F210" s="19">
        <v>20000000</v>
      </c>
      <c r="G210" s="20">
        <v>1000000</v>
      </c>
      <c r="H210" s="21">
        <v>46175</v>
      </c>
      <c r="I210" s="22">
        <f>IF(H210&gt;0,EDATE(H210,-2),"")</f>
        <v>25569.375</v>
      </c>
      <c r="J210" s="18" t="s">
        <v>239</v>
      </c>
      <c r="K210" s="18" t="s">
        <v>818</v>
      </c>
      <c r="L210" s="23">
        <f>IF(E210&gt;0,E210,"")</f>
      </c>
      <c r="M210" s="19" t="s">
        <v>981</v>
      </c>
      <c r="N210" s="19" t="s">
        <v>820</v>
      </c>
      <c r="O210" s="22">
        <f>IF(ISNUMBER(I210), EDATE(I210,36)-1, "")</f>
        <v>25569.375</v>
      </c>
      <c r="P210" s="9" t="s">
        <v>982</v>
      </c>
      <c r="Q210" s="9" t="s">
        <v>166</v>
      </c>
      <c r="R210" s="9"/>
      <c r="S210" s="9"/>
      <c r="T210" s="9"/>
      <c r="U210" s="9"/>
      <c r="V210" s="9"/>
      <c r="W210" s="9"/>
      <c r="X210" s="9"/>
      <c r="Y210" s="9"/>
      <c r="Z210" s="9"/>
    </row>
    <row x14ac:dyDescent="0.25" r="211" customHeight="1" ht="18.75">
      <c r="A211" s="9"/>
      <c r="B211" s="18" t="s">
        <v>16</v>
      </c>
      <c r="C211" s="9"/>
      <c r="D211" s="9"/>
      <c r="E211" s="18" t="s">
        <v>983</v>
      </c>
      <c r="F211" s="19">
        <v>10000000</v>
      </c>
      <c r="G211" s="20">
        <v>800000</v>
      </c>
      <c r="H211" s="21">
        <v>46159</v>
      </c>
      <c r="I211" s="22">
        <f>IF(H211&gt;0,EDATE(H211,-2),"")</f>
        <v>25569.375</v>
      </c>
      <c r="J211" s="18" t="s">
        <v>239</v>
      </c>
      <c r="K211" s="18" t="s">
        <v>907</v>
      </c>
      <c r="L211" s="23">
        <f>IF(E211&gt;0,E211,"")</f>
      </c>
      <c r="M211" s="19" t="s">
        <v>984</v>
      </c>
      <c r="N211" s="19" t="s">
        <v>985</v>
      </c>
      <c r="O211" s="22">
        <f>IF(ISNUMBER(I211), EDATE(I211,36)-1, "")</f>
        <v>25569.375</v>
      </c>
      <c r="P211" s="9" t="s">
        <v>986</v>
      </c>
      <c r="Q211" s="9" t="s">
        <v>166</v>
      </c>
      <c r="R211" s="9"/>
      <c r="S211" s="9"/>
      <c r="T211" s="9"/>
      <c r="U211" s="9"/>
      <c r="V211" s="9"/>
      <c r="W211" s="9"/>
      <c r="X211" s="9"/>
      <c r="Y211" s="9"/>
      <c r="Z211" s="9"/>
    </row>
    <row x14ac:dyDescent="0.25" r="212" customHeight="1" ht="18.75">
      <c r="A212" s="9"/>
      <c r="B212" s="18" t="s">
        <v>16</v>
      </c>
      <c r="C212" s="9" t="s">
        <v>143</v>
      </c>
      <c r="D212" s="9" t="s">
        <v>14</v>
      </c>
      <c r="E212" s="18" t="s">
        <v>987</v>
      </c>
      <c r="F212" s="19">
        <v>10000000</v>
      </c>
      <c r="G212" s="20">
        <v>1200000</v>
      </c>
      <c r="H212" s="21">
        <v>46202</v>
      </c>
      <c r="I212" s="22">
        <f>IF(H212&gt;0,EDATE(H212,-2),"")</f>
        <v>25569.375</v>
      </c>
      <c r="J212" s="18" t="s">
        <v>988</v>
      </c>
      <c r="K212" s="18" t="s">
        <v>989</v>
      </c>
      <c r="L212" s="23">
        <f>IF(E212&gt;0,E212,"")</f>
      </c>
      <c r="M212" s="19" t="s">
        <v>990</v>
      </c>
      <c r="N212" s="19" t="s">
        <v>991</v>
      </c>
      <c r="O212" s="22">
        <f>IF(ISNUMBER(I212), EDATE(I212,36)-1, "")</f>
        <v>25569.375</v>
      </c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x14ac:dyDescent="0.25" r="213" customHeight="1" ht="18.75">
      <c r="A213" s="9"/>
      <c r="B213" s="18" t="s">
        <v>16</v>
      </c>
      <c r="C213" s="9"/>
      <c r="D213" s="9"/>
      <c r="E213" s="18" t="s">
        <v>992</v>
      </c>
      <c r="F213" s="19">
        <v>10000000</v>
      </c>
      <c r="G213" s="20">
        <v>800000</v>
      </c>
      <c r="H213" s="21">
        <v>46093</v>
      </c>
      <c r="I213" s="22">
        <f>IF(H213&gt;0,EDATE(H213,-2),"")</f>
        <v>25569.375</v>
      </c>
      <c r="J213" s="18" t="s">
        <v>282</v>
      </c>
      <c r="K213" s="18" t="s">
        <v>993</v>
      </c>
      <c r="L213" s="23">
        <f>IF(E213&gt;0,E213,"")</f>
      </c>
      <c r="M213" s="19" t="s">
        <v>994</v>
      </c>
      <c r="N213" s="19" t="s">
        <v>995</v>
      </c>
      <c r="O213" s="22">
        <f>IF(ISNUMBER(I213), EDATE(I213,36)-1, "")</f>
        <v>25569.375</v>
      </c>
      <c r="P213" s="9"/>
      <c r="Q213" s="9" t="s">
        <v>166</v>
      </c>
      <c r="R213" s="9"/>
      <c r="S213" s="9"/>
      <c r="T213" s="9"/>
      <c r="U213" s="9"/>
      <c r="V213" s="9"/>
      <c r="W213" s="9"/>
      <c r="X213" s="9"/>
      <c r="Y213" s="9"/>
      <c r="Z213" s="9"/>
    </row>
    <row x14ac:dyDescent="0.25" r="214" customHeight="1" ht="18.75">
      <c r="A214" s="9"/>
      <c r="B214" s="18" t="s">
        <v>16</v>
      </c>
      <c r="C214" s="9" t="s">
        <v>88</v>
      </c>
      <c r="D214" s="9" t="s">
        <v>14</v>
      </c>
      <c r="E214" s="18" t="s">
        <v>996</v>
      </c>
      <c r="F214" s="19">
        <v>10000000</v>
      </c>
      <c r="G214" s="20">
        <v>800000</v>
      </c>
      <c r="H214" s="21">
        <v>46174</v>
      </c>
      <c r="I214" s="22">
        <f>IF(H214&gt;0,EDATE(H214,-2),"")</f>
        <v>25569.375</v>
      </c>
      <c r="J214" s="18" t="s">
        <v>161</v>
      </c>
      <c r="K214" s="18" t="s">
        <v>997</v>
      </c>
      <c r="L214" s="23">
        <f>IF(E214&gt;0,E214,"")</f>
      </c>
      <c r="M214" s="19" t="s">
        <v>998</v>
      </c>
      <c r="N214" s="19" t="s">
        <v>999</v>
      </c>
      <c r="O214" s="22">
        <f>IF(ISNUMBER(I214), EDATE(I214,36)-1, "")</f>
        <v>25569.375</v>
      </c>
      <c r="P214" s="9" t="s">
        <v>1000</v>
      </c>
      <c r="Q214" s="9" t="s">
        <v>166</v>
      </c>
      <c r="R214" s="9" t="s">
        <v>1001</v>
      </c>
      <c r="S214" s="9"/>
      <c r="T214" s="9"/>
      <c r="U214" s="9"/>
      <c r="V214" s="9"/>
      <c r="W214" s="9"/>
      <c r="X214" s="9"/>
      <c r="Y214" s="9"/>
      <c r="Z214" s="9"/>
    </row>
    <row x14ac:dyDescent="0.25" r="215" customHeight="1" ht="18.75">
      <c r="A215" s="9"/>
      <c r="B215" s="18" t="s">
        <v>16</v>
      </c>
      <c r="C215" s="9" t="s">
        <v>88</v>
      </c>
      <c r="D215" s="9" t="s">
        <v>14</v>
      </c>
      <c r="E215" s="18" t="s">
        <v>996</v>
      </c>
      <c r="F215" s="19">
        <v>10000000</v>
      </c>
      <c r="G215" s="20">
        <v>400000</v>
      </c>
      <c r="H215" s="21">
        <v>46235</v>
      </c>
      <c r="I215" s="22">
        <f>IF(H215&gt;0,EDATE(H215,-2),"")</f>
        <v>25569.375</v>
      </c>
      <c r="J215" s="18" t="s">
        <v>212</v>
      </c>
      <c r="K215" s="18" t="s">
        <v>1002</v>
      </c>
      <c r="L215" s="23">
        <f>IF(E215&gt;0,E215,"")</f>
      </c>
      <c r="M215" s="19">
        <v>9008082011110</v>
      </c>
      <c r="N215" s="19">
        <v>34364407</v>
      </c>
      <c r="O215" s="22">
        <f>IF(ISNUMBER(I215), EDATE(I215,36)-1, "")</f>
        <v>25569.375</v>
      </c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x14ac:dyDescent="0.25" r="216" customHeight="1" ht="18.75">
      <c r="A216" s="9"/>
      <c r="B216" s="18" t="s">
        <v>16</v>
      </c>
      <c r="C216" s="9"/>
      <c r="D216" s="9"/>
      <c r="E216" s="18" t="s">
        <v>1003</v>
      </c>
      <c r="F216" s="19">
        <v>10000000</v>
      </c>
      <c r="G216" s="20"/>
      <c r="H216" s="21">
        <v>46184</v>
      </c>
      <c r="I216" s="22">
        <f>IF(H216&gt;0,EDATE(H216,-2),"")</f>
        <v>25569.375</v>
      </c>
      <c r="J216" s="18" t="s">
        <v>168</v>
      </c>
      <c r="K216" s="18" t="s">
        <v>471</v>
      </c>
      <c r="L216" s="23">
        <f>IF(E216&gt;0,E216,"")</f>
      </c>
      <c r="M216" s="19" t="s">
        <v>1004</v>
      </c>
      <c r="N216" s="19" t="s">
        <v>1005</v>
      </c>
      <c r="O216" s="22">
        <f>IF(ISNUMBER(I216), EDATE(I216,36)-1, "")</f>
        <v>25569.375</v>
      </c>
      <c r="P216" s="9" t="s">
        <v>1006</v>
      </c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x14ac:dyDescent="0.25" r="217" customHeight="1" ht="18.75">
      <c r="A217" s="9" t="s">
        <v>275</v>
      </c>
      <c r="B217" s="18" t="s">
        <v>16</v>
      </c>
      <c r="C217" s="9"/>
      <c r="D217" s="9"/>
      <c r="E217" s="18" t="s">
        <v>1003</v>
      </c>
      <c r="F217" s="19">
        <v>10000000</v>
      </c>
      <c r="G217" s="20"/>
      <c r="H217" s="21">
        <v>46184</v>
      </c>
      <c r="I217" s="22">
        <f>IF(H217&gt;0,EDATE(H217,-2),"")</f>
        <v>25569.375</v>
      </c>
      <c r="J217" s="18" t="s">
        <v>168</v>
      </c>
      <c r="K217" s="18" t="s">
        <v>471</v>
      </c>
      <c r="L217" s="23">
        <f>IF(E217&gt;0,E217,"")</f>
      </c>
      <c r="M217" s="19" t="s">
        <v>1007</v>
      </c>
      <c r="N217" s="19">
        <v>43350369</v>
      </c>
      <c r="O217" s="22">
        <f>IF(ISNUMBER(I217), EDATE(I217,36)-1, "")</f>
        <v>25569.375</v>
      </c>
      <c r="P217" s="9"/>
      <c r="Q217" s="9"/>
      <c r="R217" s="9" t="s">
        <v>475</v>
      </c>
      <c r="S217" s="9"/>
      <c r="T217" s="9"/>
      <c r="U217" s="9"/>
      <c r="V217" s="9"/>
      <c r="W217" s="9"/>
      <c r="X217" s="9"/>
      <c r="Y217" s="9"/>
      <c r="Z217" s="9"/>
    </row>
    <row x14ac:dyDescent="0.25" r="218" customHeight="1" ht="18.75">
      <c r="A218" s="9"/>
      <c r="B218" s="18" t="s">
        <v>16</v>
      </c>
      <c r="C218" s="9"/>
      <c r="D218" s="9"/>
      <c r="E218" s="18" t="s">
        <v>1008</v>
      </c>
      <c r="F218" s="19">
        <v>20000000</v>
      </c>
      <c r="G218" s="20">
        <v>1528000</v>
      </c>
      <c r="H218" s="21">
        <v>46175</v>
      </c>
      <c r="I218" s="22">
        <f>IF(H218&gt;0,EDATE(H218,-2),"")</f>
        <v>25569.375</v>
      </c>
      <c r="J218" s="18" t="s">
        <v>239</v>
      </c>
      <c r="K218" s="18" t="s">
        <v>818</v>
      </c>
      <c r="L218" s="23">
        <f>IF(E218&gt;0,E218,"")</f>
      </c>
      <c r="M218" s="19" t="s">
        <v>1009</v>
      </c>
      <c r="N218" s="19" t="s">
        <v>820</v>
      </c>
      <c r="O218" s="22">
        <f>IF(ISNUMBER(I218), EDATE(I218,36)-1, "")</f>
        <v>25569.375</v>
      </c>
      <c r="P218" s="9" t="s">
        <v>1010</v>
      </c>
      <c r="Q218" s="9" t="s">
        <v>166</v>
      </c>
      <c r="R218" s="9"/>
      <c r="S218" s="9"/>
      <c r="T218" s="9"/>
      <c r="U218" s="9"/>
      <c r="V218" s="9"/>
      <c r="W218" s="9"/>
      <c r="X218" s="9"/>
      <c r="Y218" s="9"/>
      <c r="Z218" s="9"/>
    </row>
    <row x14ac:dyDescent="0.25" r="219" customHeight="1" ht="18.75">
      <c r="A219" s="9"/>
      <c r="B219" s="18" t="s">
        <v>16</v>
      </c>
      <c r="C219" s="9" t="s">
        <v>627</v>
      </c>
      <c r="D219" s="9"/>
      <c r="E219" s="18" t="s">
        <v>1011</v>
      </c>
      <c r="F219" s="19">
        <v>10000000</v>
      </c>
      <c r="G219" s="20">
        <v>1200000</v>
      </c>
      <c r="H219" s="21">
        <v>46205</v>
      </c>
      <c r="I219" s="22">
        <f>IF(H219&gt;0,EDATE(H219,-2),"")</f>
        <v>25569.375</v>
      </c>
      <c r="J219" s="18" t="s">
        <v>239</v>
      </c>
      <c r="K219" s="18" t="s">
        <v>1012</v>
      </c>
      <c r="L219" s="23">
        <f>IF(E219&gt;0,E219,"")</f>
      </c>
      <c r="M219" s="19" t="s">
        <v>1013</v>
      </c>
      <c r="N219" s="19" t="s">
        <v>1014</v>
      </c>
      <c r="O219" s="22">
        <f>IF(ISNUMBER(I219), EDATE(I219,36)-1, "")</f>
        <v>25569.375</v>
      </c>
      <c r="P219" s="9" t="s">
        <v>1015</v>
      </c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x14ac:dyDescent="0.25" r="220" customHeight="1" ht="18.75">
      <c r="A220" s="9"/>
      <c r="B220" s="18" t="s">
        <v>16</v>
      </c>
      <c r="C220" s="9" t="s">
        <v>116</v>
      </c>
      <c r="D220" s="9" t="s">
        <v>117</v>
      </c>
      <c r="E220" s="18" t="s">
        <v>1011</v>
      </c>
      <c r="F220" s="19">
        <v>10000000</v>
      </c>
      <c r="G220" s="20">
        <v>800000</v>
      </c>
      <c r="H220" s="21">
        <v>46197</v>
      </c>
      <c r="I220" s="22">
        <f>IF(H220&gt;0,EDATE(H220,-2),"")</f>
        <v>25569.375</v>
      </c>
      <c r="J220" s="18" t="s">
        <v>239</v>
      </c>
      <c r="K220" s="18" t="s">
        <v>1016</v>
      </c>
      <c r="L220" s="23">
        <f>IF(E220&gt;0,E220,"")</f>
      </c>
      <c r="M220" s="19" t="s">
        <v>1017</v>
      </c>
      <c r="N220" s="19">
        <v>37354203</v>
      </c>
      <c r="O220" s="22">
        <f>IF(ISNUMBER(I220), EDATE(I220,36)-1, "")</f>
        <v>25569.375</v>
      </c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x14ac:dyDescent="0.25" r="221" customHeight="1" ht="18.75">
      <c r="A221" s="9"/>
      <c r="B221" s="18" t="s">
        <v>16</v>
      </c>
      <c r="C221" s="9"/>
      <c r="D221" s="9" t="s">
        <v>357</v>
      </c>
      <c r="E221" s="18" t="s">
        <v>1011</v>
      </c>
      <c r="F221" s="19">
        <v>10000000</v>
      </c>
      <c r="G221" s="20">
        <v>1200000</v>
      </c>
      <c r="H221" s="21">
        <v>46210</v>
      </c>
      <c r="I221" s="22">
        <f>IF(H221&gt;0,EDATE(H221,-2),"")</f>
        <v>25569.375</v>
      </c>
      <c r="J221" s="18" t="s">
        <v>212</v>
      </c>
      <c r="K221" s="18" t="s">
        <v>1018</v>
      </c>
      <c r="L221" s="23">
        <f>IF(E221&gt;0,E221,"")</f>
      </c>
      <c r="M221" s="19" t="s">
        <v>1019</v>
      </c>
      <c r="N221" s="19">
        <v>87680141</v>
      </c>
      <c r="O221" s="22">
        <f>IF(ISNUMBER(I221), EDATE(I221,36)-1, "")</f>
        <v>25569.375</v>
      </c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x14ac:dyDescent="0.25" r="222" customHeight="1" ht="18.75">
      <c r="A222" s="9"/>
      <c r="B222" s="18" t="s">
        <v>16</v>
      </c>
      <c r="C222" s="18" t="s">
        <v>737</v>
      </c>
      <c r="D222" s="18" t="s">
        <v>669</v>
      </c>
      <c r="E222" s="18" t="s">
        <v>1020</v>
      </c>
      <c r="F222" s="20">
        <v>60000000</v>
      </c>
      <c r="G222" s="8">
        <f>IF(F222&gt;0,_xludf.IFS(F222=10000000,1200000,F222=20000000,1800000,F222=30000000,2400000,F222=60000000,4000000),"")</f>
      </c>
      <c r="H222" s="21">
        <v>46242</v>
      </c>
      <c r="I222" s="22">
        <f>IF(H222&gt;0,EDATE(H222,-2),"")</f>
        <v>25569.375</v>
      </c>
      <c r="J222" s="18" t="s">
        <v>212</v>
      </c>
      <c r="K222" s="18" t="s">
        <v>1021</v>
      </c>
      <c r="L222" s="23">
        <f>IF(E222&gt;0,E222,"")</f>
      </c>
      <c r="M222" s="19">
        <v>8701051179013</v>
      </c>
      <c r="N222" s="19">
        <v>27312942</v>
      </c>
      <c r="O222" s="22">
        <f>IF(ISNUMBER(I222), EDATE(I222,36)-1, "")</f>
        <v>25569.375</v>
      </c>
      <c r="P222" s="18"/>
      <c r="Q222" s="18"/>
      <c r="R222" s="9"/>
      <c r="S222" s="9"/>
      <c r="T222" s="9"/>
      <c r="U222" s="9"/>
      <c r="V222" s="9"/>
      <c r="W222" s="9"/>
      <c r="X222" s="9"/>
      <c r="Y222" s="9"/>
      <c r="Z222" s="9"/>
    </row>
    <row x14ac:dyDescent="0.25" r="223" customHeight="1" ht="18.75">
      <c r="A223" s="9"/>
      <c r="B223" s="18" t="s">
        <v>16</v>
      </c>
      <c r="C223" s="9"/>
      <c r="D223" s="9"/>
      <c r="E223" s="18" t="s">
        <v>1022</v>
      </c>
      <c r="F223" s="19">
        <v>60000000</v>
      </c>
      <c r="G223" s="20">
        <v>4800000</v>
      </c>
      <c r="H223" s="21">
        <v>45931</v>
      </c>
      <c r="I223" s="22">
        <v>45848</v>
      </c>
      <c r="J223" s="18" t="s">
        <v>168</v>
      </c>
      <c r="K223" s="18" t="s">
        <v>1023</v>
      </c>
      <c r="L223" s="23">
        <f>IF(E223&gt;0,E223,"")</f>
      </c>
      <c r="M223" s="19" t="s">
        <v>1024</v>
      </c>
      <c r="N223" s="19" t="s">
        <v>1025</v>
      </c>
      <c r="O223" s="22">
        <v>46965</v>
      </c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x14ac:dyDescent="0.25" r="224" customHeight="1" ht="18.75">
      <c r="A224" s="9"/>
      <c r="B224" s="18" t="s">
        <v>16</v>
      </c>
      <c r="C224" s="9"/>
      <c r="D224" s="9" t="s">
        <v>18</v>
      </c>
      <c r="E224" s="18" t="s">
        <v>1022</v>
      </c>
      <c r="F224" s="19">
        <v>10000000</v>
      </c>
      <c r="G224" s="20">
        <v>800000</v>
      </c>
      <c r="H224" s="21">
        <v>46116</v>
      </c>
      <c r="I224" s="22">
        <f>IF(H224&gt;0,EDATE(H224,-2),"")</f>
        <v>25569.375</v>
      </c>
      <c r="J224" s="18" t="s">
        <v>155</v>
      </c>
      <c r="K224" s="18" t="s">
        <v>1026</v>
      </c>
      <c r="L224" s="23">
        <f>IF(E224&gt;0,E224,"")</f>
      </c>
      <c r="M224" s="19" t="s">
        <v>1027</v>
      </c>
      <c r="N224" s="19" t="s">
        <v>1028</v>
      </c>
      <c r="O224" s="22">
        <f>IF(ISNUMBER(I224), EDATE(I224,36)-1, "")</f>
        <v>25569.375</v>
      </c>
      <c r="P224" s="9" t="s">
        <v>1029</v>
      </c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x14ac:dyDescent="0.25" r="225" customHeight="1" ht="18.75">
      <c r="A225" s="9"/>
      <c r="B225" s="18" t="s">
        <v>16</v>
      </c>
      <c r="C225" s="9"/>
      <c r="D225" s="9"/>
      <c r="E225" s="18" t="s">
        <v>1030</v>
      </c>
      <c r="F225" s="19">
        <v>10000000</v>
      </c>
      <c r="G225" s="20">
        <v>1200000</v>
      </c>
      <c r="H225" s="21">
        <v>46221</v>
      </c>
      <c r="I225" s="22">
        <f>IF(H225&gt;0,EDATE(H225,-2),"")</f>
        <v>25569.375</v>
      </c>
      <c r="J225" s="18" t="s">
        <v>205</v>
      </c>
      <c r="K225" s="18" t="s">
        <v>1031</v>
      </c>
      <c r="L225" s="23">
        <f>IF(E225&gt;0,E225,"")</f>
      </c>
      <c r="M225" s="19">
        <v>6602282182710</v>
      </c>
      <c r="N225" s="19">
        <v>22464909</v>
      </c>
      <c r="O225" s="22">
        <f>IF(ISNUMBER(I225), EDATE(I225,36)-1, "")</f>
        <v>25569.375</v>
      </c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x14ac:dyDescent="0.25" r="226" customHeight="1" ht="18.75">
      <c r="A226" s="24"/>
      <c r="B226" s="25" t="s">
        <v>16</v>
      </c>
      <c r="C226" s="24"/>
      <c r="D226" s="24"/>
      <c r="E226" s="25" t="s">
        <v>1032</v>
      </c>
      <c r="F226" s="26">
        <v>10000000</v>
      </c>
      <c r="G226" s="27"/>
      <c r="H226" s="28">
        <v>46159</v>
      </c>
      <c r="I226" s="29">
        <f>IF(H226&gt;0,EDATE(H226,-2),"")</f>
        <v>25569.375</v>
      </c>
      <c r="J226" s="25" t="s">
        <v>239</v>
      </c>
      <c r="K226" s="25" t="s">
        <v>1033</v>
      </c>
      <c r="L226" s="30">
        <f>IF(E226&gt;0,E226,"")</f>
      </c>
      <c r="M226" s="26" t="s">
        <v>1034</v>
      </c>
      <c r="N226" s="26" t="s">
        <v>1035</v>
      </c>
      <c r="O226" s="29">
        <f>IF(ISNUMBER(I226), EDATE(I226,36)-1, "")</f>
        <v>25569.375</v>
      </c>
      <c r="P226" s="24" t="s">
        <v>1036</v>
      </c>
      <c r="Q226" s="24" t="s">
        <v>179</v>
      </c>
      <c r="R226" s="24" t="s">
        <v>1037</v>
      </c>
      <c r="S226" s="9"/>
      <c r="T226" s="9"/>
      <c r="U226" s="9"/>
      <c r="V226" s="9"/>
      <c r="W226" s="9"/>
      <c r="X226" s="9"/>
      <c r="Y226" s="9"/>
      <c r="Z226" s="9"/>
    </row>
    <row x14ac:dyDescent="0.25" r="227" customHeight="1" ht="18.75">
      <c r="A227" s="9"/>
      <c r="B227" s="18" t="s">
        <v>972</v>
      </c>
      <c r="C227" s="9"/>
      <c r="D227" s="9"/>
      <c r="E227" s="18" t="s">
        <v>1038</v>
      </c>
      <c r="F227" s="19">
        <v>60000000</v>
      </c>
      <c r="G227" s="20">
        <v>4800000</v>
      </c>
      <c r="H227" s="21">
        <v>45802</v>
      </c>
      <c r="I227" s="22">
        <f>IF(H227&gt;0,EDATE(H227,-2),"")</f>
        <v>25569.375</v>
      </c>
      <c r="J227" s="18" t="s">
        <v>282</v>
      </c>
      <c r="K227" s="18" t="s">
        <v>1039</v>
      </c>
      <c r="L227" s="23">
        <f>IF(E227&gt;0,E227,"")</f>
      </c>
      <c r="M227" s="19" t="s">
        <v>1040</v>
      </c>
      <c r="N227" s="19" t="s">
        <v>1041</v>
      </c>
      <c r="O227" s="22">
        <f>IF(ISNUMBER(I227), EDATE(I227,36)-1, "")</f>
        <v>25569.375</v>
      </c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x14ac:dyDescent="0.25" r="228" customHeight="1" ht="18.75">
      <c r="A228" s="9"/>
      <c r="B228" s="18" t="s">
        <v>16</v>
      </c>
      <c r="C228" s="9"/>
      <c r="D228" s="9"/>
      <c r="E228" s="18" t="s">
        <v>1042</v>
      </c>
      <c r="F228" s="19">
        <v>40000000</v>
      </c>
      <c r="G228" s="20">
        <v>2528000</v>
      </c>
      <c r="H228" s="21">
        <v>46104</v>
      </c>
      <c r="I228" s="22">
        <f>IF(H228&gt;0,EDATE(H228,-2),"")</f>
        <v>25569.375</v>
      </c>
      <c r="J228" s="18" t="s">
        <v>217</v>
      </c>
      <c r="K228" s="18" t="s">
        <v>1043</v>
      </c>
      <c r="L228" s="18" t="s">
        <v>1042</v>
      </c>
      <c r="M228" s="19">
        <v>6708152348056</v>
      </c>
      <c r="N228" s="19">
        <v>91487281</v>
      </c>
      <c r="O228" s="22">
        <f>IF(ISNUMBER(I228), EDATE(I228,36)-1, "")</f>
        <v>25569.375</v>
      </c>
      <c r="P228" s="9"/>
      <c r="Q228" s="9"/>
      <c r="R228" s="9" t="s">
        <v>546</v>
      </c>
      <c r="S228" s="9"/>
      <c r="T228" s="9"/>
      <c r="U228" s="9"/>
      <c r="V228" s="9"/>
      <c r="W228" s="9"/>
      <c r="X228" s="9"/>
      <c r="Y228" s="9"/>
      <c r="Z228" s="9"/>
    </row>
    <row x14ac:dyDescent="0.25" r="229" customHeight="1" ht="18.75">
      <c r="A229" s="9"/>
      <c r="B229" s="18" t="s">
        <v>16</v>
      </c>
      <c r="C229" s="9"/>
      <c r="D229" s="9" t="s">
        <v>1044</v>
      </c>
      <c r="E229" s="18" t="s">
        <v>1045</v>
      </c>
      <c r="F229" s="19">
        <v>10000000</v>
      </c>
      <c r="G229" s="20">
        <v>500000</v>
      </c>
      <c r="H229" s="21">
        <v>46147</v>
      </c>
      <c r="I229" s="22">
        <f>IF(H229&gt;0,EDATE(H229,-2),"")</f>
        <v>25569.375</v>
      </c>
      <c r="J229" s="18" t="s">
        <v>161</v>
      </c>
      <c r="K229" s="18" t="s">
        <v>1046</v>
      </c>
      <c r="L229" s="23">
        <f>IF(E229&gt;0,E229,"")</f>
      </c>
      <c r="M229" s="19" t="s">
        <v>1047</v>
      </c>
      <c r="N229" s="19" t="s">
        <v>1048</v>
      </c>
      <c r="O229" s="22">
        <f>IF(ISNUMBER(I229), EDATE(I229,36)-1, "")</f>
        <v>25569.375</v>
      </c>
      <c r="P229" s="9" t="s">
        <v>1049</v>
      </c>
      <c r="Q229" s="9" t="s">
        <v>166</v>
      </c>
      <c r="R229" s="9"/>
      <c r="S229" s="9"/>
      <c r="T229" s="9"/>
      <c r="U229" s="9"/>
      <c r="V229" s="9"/>
      <c r="W229" s="9"/>
      <c r="X229" s="9"/>
      <c r="Y229" s="9"/>
      <c r="Z229" s="9"/>
    </row>
    <row x14ac:dyDescent="0.25" r="230" customHeight="1" ht="18.75">
      <c r="A230" s="9"/>
      <c r="B230" s="18" t="s">
        <v>16</v>
      </c>
      <c r="C230" s="9"/>
      <c r="D230" s="9"/>
      <c r="E230" s="18" t="s">
        <v>1050</v>
      </c>
      <c r="F230" s="19">
        <v>10000000</v>
      </c>
      <c r="G230" s="20"/>
      <c r="H230" s="21">
        <v>46018</v>
      </c>
      <c r="I230" s="22">
        <f>IF(H230&gt;0,EDATE(H230,-2),"")</f>
        <v>25569.375</v>
      </c>
      <c r="J230" s="18" t="s">
        <v>155</v>
      </c>
      <c r="K230" s="18" t="s">
        <v>1051</v>
      </c>
      <c r="L230" s="23">
        <f>IF(E230&gt;0,E230,"")</f>
      </c>
      <c r="M230" s="19" t="s">
        <v>1052</v>
      </c>
      <c r="N230" s="19" t="s">
        <v>1053</v>
      </c>
      <c r="O230" s="22">
        <f>IF(ISNUMBER(I230), EDATE(I230,36)-1, "")</f>
        <v>25569.375</v>
      </c>
      <c r="P230" s="9"/>
      <c r="Q230" s="9" t="s">
        <v>293</v>
      </c>
      <c r="R230" s="9" t="s">
        <v>1054</v>
      </c>
      <c r="S230" s="9"/>
      <c r="T230" s="9"/>
      <c r="U230" s="9"/>
      <c r="V230" s="9"/>
      <c r="W230" s="9"/>
      <c r="X230" s="9"/>
      <c r="Y230" s="9"/>
      <c r="Z230" s="9"/>
    </row>
    <row x14ac:dyDescent="0.25" r="231" customHeight="1" ht="18.75">
      <c r="A231" s="9" t="s">
        <v>152</v>
      </c>
      <c r="B231" s="18" t="s">
        <v>16</v>
      </c>
      <c r="C231" s="9" t="s">
        <v>116</v>
      </c>
      <c r="D231" s="9" t="s">
        <v>117</v>
      </c>
      <c r="E231" s="18" t="s">
        <v>1050</v>
      </c>
      <c r="F231" s="19">
        <v>30000000</v>
      </c>
      <c r="G231" s="20">
        <v>2028000</v>
      </c>
      <c r="H231" s="21">
        <v>46115</v>
      </c>
      <c r="I231" s="22">
        <f>IF(H231&gt;0,EDATE(H231,-2),"")</f>
        <v>25569.375</v>
      </c>
      <c r="J231" s="18" t="s">
        <v>155</v>
      </c>
      <c r="K231" s="18" t="s">
        <v>1055</v>
      </c>
      <c r="L231" s="23">
        <f>IF(E231&gt;0,E231,"")</f>
      </c>
      <c r="M231" s="19" t="s">
        <v>1056</v>
      </c>
      <c r="N231" s="19">
        <v>45703237</v>
      </c>
      <c r="O231" s="22">
        <f>IF(ISNUMBER(I231), EDATE(I231,36)-1, "")</f>
        <v>25569.375</v>
      </c>
      <c r="P231" s="9"/>
      <c r="Q231" s="9"/>
      <c r="R231" s="9" t="s">
        <v>1057</v>
      </c>
      <c r="S231" s="9"/>
      <c r="T231" s="9"/>
      <c r="U231" s="9"/>
      <c r="V231" s="9"/>
      <c r="W231" s="9"/>
      <c r="X231" s="9"/>
      <c r="Y231" s="9"/>
      <c r="Z231" s="9"/>
    </row>
    <row x14ac:dyDescent="0.25" r="232" customHeight="1" ht="18.75">
      <c r="A232" s="9"/>
      <c r="B232" s="18" t="s">
        <v>16</v>
      </c>
      <c r="C232" s="9" t="s">
        <v>816</v>
      </c>
      <c r="D232" s="9"/>
      <c r="E232" s="18" t="s">
        <v>1058</v>
      </c>
      <c r="F232" s="19">
        <v>20000000</v>
      </c>
      <c r="G232" s="20">
        <v>1528000</v>
      </c>
      <c r="H232" s="21">
        <v>46156</v>
      </c>
      <c r="I232" s="22">
        <f>IF(H232&gt;0,EDATE(H232,-2),"")</f>
        <v>25569.375</v>
      </c>
      <c r="J232" s="18" t="s">
        <v>161</v>
      </c>
      <c r="K232" s="18" t="s">
        <v>1059</v>
      </c>
      <c r="L232" s="23">
        <f>IF(E232&gt;0,E232,"")</f>
      </c>
      <c r="M232" s="19" t="s">
        <v>1060</v>
      </c>
      <c r="N232" s="19" t="s">
        <v>1061</v>
      </c>
      <c r="O232" s="22">
        <f>IF(ISNUMBER(I232), EDATE(I232,36)-1, "")</f>
        <v>25569.375</v>
      </c>
      <c r="P232" s="9" t="s">
        <v>1062</v>
      </c>
      <c r="Q232" s="9" t="s">
        <v>166</v>
      </c>
      <c r="R232" s="9"/>
      <c r="S232" s="9"/>
      <c r="T232" s="9"/>
      <c r="U232" s="9"/>
      <c r="V232" s="9"/>
      <c r="W232" s="9"/>
      <c r="X232" s="9"/>
      <c r="Y232" s="9"/>
      <c r="Z232" s="9"/>
    </row>
    <row x14ac:dyDescent="0.25" r="233" customHeight="1" ht="18.75">
      <c r="A233" s="9"/>
      <c r="B233" s="18" t="s">
        <v>16</v>
      </c>
      <c r="C233" s="9"/>
      <c r="D233" s="9"/>
      <c r="E233" s="18" t="s">
        <v>1063</v>
      </c>
      <c r="F233" s="19">
        <v>10000000</v>
      </c>
      <c r="G233" s="20"/>
      <c r="H233" s="21">
        <v>46184</v>
      </c>
      <c r="I233" s="22">
        <f>IF(H233&gt;0,EDATE(H233,-2),"")</f>
        <v>25569.375</v>
      </c>
      <c r="J233" s="18" t="s">
        <v>168</v>
      </c>
      <c r="K233" s="18" t="s">
        <v>471</v>
      </c>
      <c r="L233" s="23">
        <f>IF(E233&gt;0,E233,"")</f>
      </c>
      <c r="M233" s="19" t="s">
        <v>1064</v>
      </c>
      <c r="N233" s="19" t="s">
        <v>1065</v>
      </c>
      <c r="O233" s="22">
        <f>IF(ISNUMBER(I233), EDATE(I233,36)-1, "")</f>
        <v>25569.375</v>
      </c>
      <c r="P233" s="9" t="s">
        <v>1066</v>
      </c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x14ac:dyDescent="0.25" r="234" customHeight="1" ht="18.75">
      <c r="A234" s="9" t="s">
        <v>275</v>
      </c>
      <c r="B234" s="18" t="s">
        <v>16</v>
      </c>
      <c r="C234" s="9"/>
      <c r="D234" s="9"/>
      <c r="E234" s="18" t="s">
        <v>1063</v>
      </c>
      <c r="F234" s="19">
        <v>10000000</v>
      </c>
      <c r="G234" s="20"/>
      <c r="H234" s="21">
        <v>46184</v>
      </c>
      <c r="I234" s="22">
        <f>IF(H234&gt;0,EDATE(H234,-2),"")</f>
        <v>25569.375</v>
      </c>
      <c r="J234" s="18" t="s">
        <v>168</v>
      </c>
      <c r="K234" s="18" t="s">
        <v>471</v>
      </c>
      <c r="L234" s="23">
        <f>IF(E234&gt;0,E234,"")</f>
      </c>
      <c r="M234" s="19" t="s">
        <v>1064</v>
      </c>
      <c r="N234" s="19">
        <v>65102880</v>
      </c>
      <c r="O234" s="22">
        <f>IF(ISNUMBER(I234), EDATE(I234,36)-1, "")</f>
        <v>25569.375</v>
      </c>
      <c r="P234" s="9"/>
      <c r="Q234" s="9"/>
      <c r="R234" s="9" t="s">
        <v>894</v>
      </c>
      <c r="S234" s="9"/>
      <c r="T234" s="9"/>
      <c r="U234" s="9"/>
      <c r="V234" s="9"/>
      <c r="W234" s="9"/>
      <c r="X234" s="9"/>
      <c r="Y234" s="9"/>
      <c r="Z234" s="9"/>
    </row>
    <row x14ac:dyDescent="0.25" r="235" customHeight="1" ht="18.75">
      <c r="A235" s="9"/>
      <c r="B235" s="18" t="s">
        <v>16</v>
      </c>
      <c r="C235" s="9"/>
      <c r="D235" s="9"/>
      <c r="E235" s="18" t="s">
        <v>1067</v>
      </c>
      <c r="F235" s="19">
        <v>10000000</v>
      </c>
      <c r="G235" s="20"/>
      <c r="H235" s="21">
        <v>46184</v>
      </c>
      <c r="I235" s="22">
        <f>IF(H235&gt;0,EDATE(H235,-2),"")</f>
        <v>25569.375</v>
      </c>
      <c r="J235" s="18" t="s">
        <v>168</v>
      </c>
      <c r="K235" s="18" t="s">
        <v>471</v>
      </c>
      <c r="L235" s="23">
        <f>IF(E235&gt;0,E235,"")</f>
      </c>
      <c r="M235" s="19" t="s">
        <v>1068</v>
      </c>
      <c r="N235" s="19" t="s">
        <v>1069</v>
      </c>
      <c r="O235" s="22">
        <f>IF(ISNUMBER(I235), EDATE(I235,36)-1, "")</f>
        <v>25569.375</v>
      </c>
      <c r="P235" s="9" t="s">
        <v>1070</v>
      </c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x14ac:dyDescent="0.25" r="236" customHeight="1" ht="18.75">
      <c r="A236" s="9" t="s">
        <v>275</v>
      </c>
      <c r="B236" s="18" t="s">
        <v>16</v>
      </c>
      <c r="C236" s="9"/>
      <c r="D236" s="9"/>
      <c r="E236" s="18" t="s">
        <v>1067</v>
      </c>
      <c r="F236" s="19">
        <v>10000000</v>
      </c>
      <c r="G236" s="20"/>
      <c r="H236" s="21">
        <v>46184</v>
      </c>
      <c r="I236" s="22">
        <f>IF(H236&gt;0,EDATE(H236,-2),"")</f>
        <v>25569.375</v>
      </c>
      <c r="J236" s="18" t="s">
        <v>168</v>
      </c>
      <c r="K236" s="18" t="s">
        <v>471</v>
      </c>
      <c r="L236" s="23">
        <f>IF(E236&gt;0,E236,"")</f>
      </c>
      <c r="M236" s="19" t="s">
        <v>1068</v>
      </c>
      <c r="N236" s="19">
        <v>51121416</v>
      </c>
      <c r="O236" s="22">
        <f>IF(ISNUMBER(I236), EDATE(I236,36)-1, "")</f>
        <v>25569.375</v>
      </c>
      <c r="P236" s="9"/>
      <c r="Q236" s="9"/>
      <c r="R236" s="9" t="s">
        <v>894</v>
      </c>
      <c r="S236" s="9"/>
      <c r="T236" s="9"/>
      <c r="U236" s="9"/>
      <c r="V236" s="9"/>
      <c r="W236" s="9"/>
      <c r="X236" s="9"/>
      <c r="Y236" s="9"/>
      <c r="Z236" s="9"/>
    </row>
    <row x14ac:dyDescent="0.25" r="237" customHeight="1" ht="18.75">
      <c r="A237" s="9"/>
      <c r="B237" s="18" t="s">
        <v>16</v>
      </c>
      <c r="C237" s="9"/>
      <c r="D237" s="9"/>
      <c r="E237" s="18" t="s">
        <v>1071</v>
      </c>
      <c r="F237" s="19">
        <v>20000000</v>
      </c>
      <c r="G237" s="20">
        <v>1528000</v>
      </c>
      <c r="H237" s="21">
        <v>45993</v>
      </c>
      <c r="I237" s="22">
        <f>IF(H237&gt;0,EDATE(H237,-2),"")</f>
        <v>25569.375</v>
      </c>
      <c r="J237" s="18" t="s">
        <v>155</v>
      </c>
      <c r="K237" s="18" t="s">
        <v>1072</v>
      </c>
      <c r="L237" s="23">
        <f>IF(E237&gt;0,E237,"")</f>
      </c>
      <c r="M237" s="19" t="s">
        <v>1073</v>
      </c>
      <c r="N237" s="19" t="s">
        <v>1074</v>
      </c>
      <c r="O237" s="22">
        <f>IF(ISNUMBER(I237), EDATE(I237,36)-1, "")</f>
        <v>25569.375</v>
      </c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x14ac:dyDescent="0.25" r="238" customHeight="1" ht="18.75">
      <c r="A238" s="9"/>
      <c r="B238" s="18" t="s">
        <v>16</v>
      </c>
      <c r="C238" s="9"/>
      <c r="D238" s="9"/>
      <c r="E238" s="18" t="s">
        <v>1075</v>
      </c>
      <c r="F238" s="19">
        <v>10000000</v>
      </c>
      <c r="G238" s="20">
        <v>800000</v>
      </c>
      <c r="H238" s="21">
        <v>46155</v>
      </c>
      <c r="I238" s="22">
        <f>IF(H238&gt;0,EDATE(H238,-2),"")</f>
        <v>25569.375</v>
      </c>
      <c r="J238" s="18" t="s">
        <v>168</v>
      </c>
      <c r="K238" s="18" t="s">
        <v>1076</v>
      </c>
      <c r="L238" s="23">
        <f>IF(E238&gt;0,E238,"")</f>
      </c>
      <c r="M238" s="19" t="s">
        <v>1077</v>
      </c>
      <c r="N238" s="19" t="s">
        <v>1078</v>
      </c>
      <c r="O238" s="22">
        <f>IF(ISNUMBER(I238), EDATE(I238,36)-1, "")</f>
        <v>25569.375</v>
      </c>
      <c r="P238" s="9" t="s">
        <v>1079</v>
      </c>
      <c r="Q238" s="9" t="s">
        <v>179</v>
      </c>
      <c r="R238" s="9"/>
      <c r="S238" s="9"/>
      <c r="T238" s="9"/>
      <c r="U238" s="9"/>
      <c r="V238" s="9"/>
      <c r="W238" s="9"/>
      <c r="X238" s="9"/>
      <c r="Y238" s="9"/>
      <c r="Z238" s="9"/>
    </row>
    <row x14ac:dyDescent="0.25" r="239" customHeight="1" ht="18.75">
      <c r="A239" s="9"/>
      <c r="B239" s="18" t="s">
        <v>16</v>
      </c>
      <c r="C239" s="9"/>
      <c r="D239" s="9"/>
      <c r="E239" s="18" t="s">
        <v>1080</v>
      </c>
      <c r="F239" s="19">
        <v>10000000</v>
      </c>
      <c r="G239" s="20">
        <v>800000</v>
      </c>
      <c r="H239" s="21">
        <v>46107</v>
      </c>
      <c r="I239" s="22">
        <f>IF(H239&gt;0,EDATE(H239,-2),"")</f>
        <v>25569.375</v>
      </c>
      <c r="J239" s="18" t="s">
        <v>168</v>
      </c>
      <c r="K239" s="18" t="s">
        <v>1081</v>
      </c>
      <c r="L239" s="23">
        <f>IF(E239&gt;0,E239,"")</f>
      </c>
      <c r="M239" s="19">
        <v>6204102663515</v>
      </c>
      <c r="N239" s="19">
        <v>47567064</v>
      </c>
      <c r="O239" s="22">
        <f>IF(ISNUMBER(I239), EDATE(I239,36)-1, "")</f>
        <v>25569.375</v>
      </c>
      <c r="P239" s="9"/>
      <c r="Q239" s="9"/>
      <c r="R239" s="9" t="s">
        <v>1082</v>
      </c>
      <c r="S239" s="9"/>
      <c r="T239" s="9"/>
      <c r="U239" s="9"/>
      <c r="V239" s="9"/>
      <c r="W239" s="9"/>
      <c r="X239" s="9"/>
      <c r="Y239" s="9"/>
      <c r="Z239" s="9"/>
    </row>
    <row x14ac:dyDescent="0.25" r="240" customHeight="1" ht="18.75">
      <c r="A240" s="9"/>
      <c r="B240" s="18" t="s">
        <v>16</v>
      </c>
      <c r="C240" s="9"/>
      <c r="D240" s="9" t="s">
        <v>1044</v>
      </c>
      <c r="E240" s="18" t="s">
        <v>1083</v>
      </c>
      <c r="F240" s="19">
        <v>10000000</v>
      </c>
      <c r="G240" s="20">
        <v>500000</v>
      </c>
      <c r="H240" s="21">
        <v>46159</v>
      </c>
      <c r="I240" s="22">
        <f>IF(H240&gt;0,EDATE(H240,-2),"")</f>
        <v>25569.375</v>
      </c>
      <c r="J240" s="18" t="s">
        <v>212</v>
      </c>
      <c r="K240" s="18" t="s">
        <v>1084</v>
      </c>
      <c r="L240" s="23">
        <f>IF(E240&gt;0,E240,"")</f>
      </c>
      <c r="M240" s="19" t="s">
        <v>1085</v>
      </c>
      <c r="N240" s="19" t="s">
        <v>1086</v>
      </c>
      <c r="O240" s="22">
        <f>IF(ISNUMBER(I240), EDATE(I240,36)-1, "")</f>
        <v>25569.375</v>
      </c>
      <c r="P240" s="9" t="s">
        <v>1087</v>
      </c>
      <c r="Q240" s="9" t="s">
        <v>166</v>
      </c>
      <c r="R240" s="9"/>
      <c r="S240" s="9"/>
      <c r="T240" s="9"/>
      <c r="U240" s="9"/>
      <c r="V240" s="9"/>
      <c r="W240" s="9"/>
      <c r="X240" s="9"/>
      <c r="Y240" s="9"/>
      <c r="Z240" s="9"/>
    </row>
    <row x14ac:dyDescent="0.25" r="241" customHeight="1" ht="18.75">
      <c r="A241" s="9"/>
      <c r="B241" s="18" t="s">
        <v>16</v>
      </c>
      <c r="C241" s="9"/>
      <c r="D241" s="9"/>
      <c r="E241" s="18" t="s">
        <v>1088</v>
      </c>
      <c r="F241" s="19">
        <v>10000000</v>
      </c>
      <c r="G241" s="20">
        <v>800000</v>
      </c>
      <c r="H241" s="21">
        <v>45910</v>
      </c>
      <c r="I241" s="22">
        <f>IF(H241&gt;0,EDATE(H241,-2),"")</f>
        <v>25569.375</v>
      </c>
      <c r="J241" s="18" t="s">
        <v>239</v>
      </c>
      <c r="K241" s="18" t="s">
        <v>1089</v>
      </c>
      <c r="L241" s="23">
        <f>IF(E241&gt;0,E241,"")</f>
      </c>
      <c r="M241" s="19" t="s">
        <v>1090</v>
      </c>
      <c r="N241" s="19" t="s">
        <v>1091</v>
      </c>
      <c r="O241" s="22">
        <f>IF(ISNUMBER(I241), EDATE(I241,36)-1, "")</f>
        <v>25569.375</v>
      </c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x14ac:dyDescent="0.25" r="242" customHeight="1" ht="18.75">
      <c r="A242" s="9"/>
      <c r="B242" s="18" t="s">
        <v>16</v>
      </c>
      <c r="C242" s="9"/>
      <c r="D242" s="9"/>
      <c r="E242" s="18" t="s">
        <v>1092</v>
      </c>
      <c r="F242" s="19">
        <v>60000000</v>
      </c>
      <c r="G242" s="20">
        <v>4056000</v>
      </c>
      <c r="H242" s="21">
        <v>46152</v>
      </c>
      <c r="I242" s="22">
        <f>IF(H242&gt;0,EDATE(H242,-2),"")</f>
        <v>25569.375</v>
      </c>
      <c r="J242" s="18" t="s">
        <v>239</v>
      </c>
      <c r="K242" s="18" t="s">
        <v>1093</v>
      </c>
      <c r="L242" s="23">
        <f>IF(E242&gt;0,E242,"")</f>
      </c>
      <c r="M242" s="19" t="s">
        <v>1094</v>
      </c>
      <c r="N242" s="19" t="s">
        <v>1095</v>
      </c>
      <c r="O242" s="22">
        <f>IF(ISNUMBER(I242), EDATE(I242,36)-1, "")</f>
        <v>25569.375</v>
      </c>
      <c r="P242" s="9" t="s">
        <v>1096</v>
      </c>
      <c r="Q242" s="9" t="s">
        <v>166</v>
      </c>
      <c r="R242" s="9"/>
      <c r="S242" s="9"/>
      <c r="T242" s="9"/>
      <c r="U242" s="9"/>
      <c r="V242" s="9"/>
      <c r="W242" s="9"/>
      <c r="X242" s="9"/>
      <c r="Y242" s="9"/>
      <c r="Z242" s="9"/>
    </row>
    <row x14ac:dyDescent="0.25" r="243" customHeight="1" ht="18.75">
      <c r="A243" s="9"/>
      <c r="B243" s="18" t="s">
        <v>16</v>
      </c>
      <c r="C243" s="9" t="s">
        <v>454</v>
      </c>
      <c r="D243" s="9" t="s">
        <v>585</v>
      </c>
      <c r="E243" s="18" t="s">
        <v>1092</v>
      </c>
      <c r="F243" s="19">
        <v>10000000</v>
      </c>
      <c r="G243" s="20">
        <v>800000</v>
      </c>
      <c r="H243" s="21">
        <v>46200</v>
      </c>
      <c r="I243" s="22">
        <f>IF(H243&gt;0,EDATE(H243,-2),"")</f>
        <v>25569.375</v>
      </c>
      <c r="J243" s="18" t="s">
        <v>212</v>
      </c>
      <c r="K243" s="18" t="s">
        <v>1097</v>
      </c>
      <c r="L243" s="23">
        <f>IF(E243&gt;0,E243,"")</f>
      </c>
      <c r="M243" s="19" t="s">
        <v>1098</v>
      </c>
      <c r="N243" s="19" t="s">
        <v>1099</v>
      </c>
      <c r="O243" s="22">
        <f>IF(ISNUMBER(I243), EDATE(I243,36)-1, "")</f>
        <v>25569.375</v>
      </c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x14ac:dyDescent="0.25" r="244" customHeight="1" ht="18.75">
      <c r="A244" s="9"/>
      <c r="B244" s="18" t="s">
        <v>16</v>
      </c>
      <c r="C244" s="9" t="s">
        <v>143</v>
      </c>
      <c r="D244" s="9" t="s">
        <v>14</v>
      </c>
      <c r="E244" s="18" t="s">
        <v>1092</v>
      </c>
      <c r="F244" s="19">
        <v>10000000</v>
      </c>
      <c r="G244" s="20">
        <v>1200000</v>
      </c>
      <c r="H244" s="21">
        <v>46214</v>
      </c>
      <c r="I244" s="22">
        <f>IF(H244&gt;0,EDATE(H244,-2),"")</f>
        <v>25569.375</v>
      </c>
      <c r="J244" s="18" t="s">
        <v>155</v>
      </c>
      <c r="K244" s="18" t="s">
        <v>1100</v>
      </c>
      <c r="L244" s="23">
        <f>IF(E244&gt;0,E244,"")</f>
      </c>
      <c r="M244" s="19" t="s">
        <v>1101</v>
      </c>
      <c r="N244" s="19" t="s">
        <v>1102</v>
      </c>
      <c r="O244" s="22">
        <f>IF(ISNUMBER(I244), EDATE(I244,36)-1, "")</f>
        <v>25569.375</v>
      </c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x14ac:dyDescent="0.25" r="245" customHeight="1" ht="18.75">
      <c r="A245" s="9"/>
      <c r="B245" s="18" t="s">
        <v>16</v>
      </c>
      <c r="C245" s="9"/>
      <c r="D245" s="9"/>
      <c r="E245" s="18" t="s">
        <v>35</v>
      </c>
      <c r="F245" s="19">
        <v>10000000</v>
      </c>
      <c r="G245" s="20">
        <v>800000</v>
      </c>
      <c r="H245" s="21">
        <v>46145</v>
      </c>
      <c r="I245" s="22">
        <f>IF(H245&gt;0,EDATE(H245,-2),"")</f>
        <v>25569.375</v>
      </c>
      <c r="J245" s="18" t="s">
        <v>302</v>
      </c>
      <c r="K245" s="18" t="s">
        <v>1103</v>
      </c>
      <c r="L245" s="23">
        <f>IF(E245&gt;0,E245,"")</f>
      </c>
      <c r="M245" s="19" t="s">
        <v>1104</v>
      </c>
      <c r="N245" s="19" t="s">
        <v>1105</v>
      </c>
      <c r="O245" s="22">
        <f>IF(ISNUMBER(I245), EDATE(I245,36)-1, "")</f>
        <v>25569.375</v>
      </c>
      <c r="P245" s="9" t="s">
        <v>36</v>
      </c>
      <c r="Q245" s="9" t="s">
        <v>293</v>
      </c>
      <c r="R245" s="9"/>
      <c r="S245" s="9"/>
      <c r="T245" s="9"/>
      <c r="U245" s="9"/>
      <c r="V245" s="9"/>
      <c r="W245" s="9"/>
      <c r="X245" s="9"/>
      <c r="Y245" s="9"/>
      <c r="Z245" s="9"/>
    </row>
    <row x14ac:dyDescent="0.25" r="246" customHeight="1" ht="18.75">
      <c r="A246" s="9"/>
      <c r="B246" s="18" t="s">
        <v>16</v>
      </c>
      <c r="C246" s="9"/>
      <c r="D246" s="9"/>
      <c r="E246" s="18" t="s">
        <v>1106</v>
      </c>
      <c r="F246" s="19">
        <v>10000000</v>
      </c>
      <c r="G246" s="20"/>
      <c r="H246" s="21">
        <v>46184</v>
      </c>
      <c r="I246" s="22">
        <f>IF(H246&gt;0,EDATE(H246,-2),"")</f>
        <v>25569.375</v>
      </c>
      <c r="J246" s="18" t="s">
        <v>168</v>
      </c>
      <c r="K246" s="18" t="s">
        <v>471</v>
      </c>
      <c r="L246" s="23">
        <f>IF(E246&gt;0,E246,"")</f>
      </c>
      <c r="M246" s="19" t="s">
        <v>1107</v>
      </c>
      <c r="N246" s="19" t="s">
        <v>1108</v>
      </c>
      <c r="O246" s="22">
        <f>IF(ISNUMBER(I246), EDATE(I246,36)-1, "")</f>
        <v>25569.375</v>
      </c>
      <c r="P246" s="9" t="s">
        <v>1109</v>
      </c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x14ac:dyDescent="0.25" r="247" customHeight="1" ht="18.75">
      <c r="A247" s="9" t="s">
        <v>275</v>
      </c>
      <c r="B247" s="18" t="s">
        <v>16</v>
      </c>
      <c r="C247" s="9"/>
      <c r="D247" s="9"/>
      <c r="E247" s="18" t="s">
        <v>1106</v>
      </c>
      <c r="F247" s="19">
        <v>10000000</v>
      </c>
      <c r="G247" s="20"/>
      <c r="H247" s="21">
        <v>46184</v>
      </c>
      <c r="I247" s="22">
        <f>IF(H247&gt;0,EDATE(H247,-2),"")</f>
        <v>25569.375</v>
      </c>
      <c r="J247" s="18" t="s">
        <v>168</v>
      </c>
      <c r="K247" s="18" t="s">
        <v>471</v>
      </c>
      <c r="L247" s="23">
        <f>IF(E247&gt;0,E247,"")</f>
      </c>
      <c r="M247" s="19" t="s">
        <v>1110</v>
      </c>
      <c r="N247" s="19">
        <v>63650889</v>
      </c>
      <c r="O247" s="22">
        <f>IF(ISNUMBER(I247), EDATE(I247,36)-1, "")</f>
        <v>25569.375</v>
      </c>
      <c r="P247" s="9"/>
      <c r="Q247" s="9"/>
      <c r="R247" s="9" t="s">
        <v>894</v>
      </c>
      <c r="S247" s="9"/>
      <c r="T247" s="9"/>
      <c r="U247" s="9"/>
      <c r="V247" s="9"/>
      <c r="W247" s="9"/>
      <c r="X247" s="9"/>
      <c r="Y247" s="9"/>
      <c r="Z247" s="9"/>
    </row>
    <row x14ac:dyDescent="0.25" r="248" customHeight="1" ht="18.75">
      <c r="A248" s="9"/>
      <c r="B248" s="18" t="s">
        <v>16</v>
      </c>
      <c r="C248" s="9"/>
      <c r="D248" s="9"/>
      <c r="E248" s="18" t="s">
        <v>1111</v>
      </c>
      <c r="F248" s="19">
        <v>10000000</v>
      </c>
      <c r="G248" s="20">
        <v>800000</v>
      </c>
      <c r="H248" s="21">
        <v>46043</v>
      </c>
      <c r="I248" s="22">
        <f>IF(H248&gt;0,EDATE(H248,-2),"")</f>
        <v>25569.375</v>
      </c>
      <c r="J248" s="18" t="s">
        <v>168</v>
      </c>
      <c r="K248" s="18" t="s">
        <v>1112</v>
      </c>
      <c r="L248" s="23">
        <f>IF(E248&gt;0,E248,"")</f>
      </c>
      <c r="M248" s="19" t="s">
        <v>1113</v>
      </c>
      <c r="N248" s="19" t="s">
        <v>1114</v>
      </c>
      <c r="O248" s="22">
        <f>IF(ISNUMBER(I248), EDATE(I248,36)-1, "")</f>
        <v>25569.375</v>
      </c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x14ac:dyDescent="0.25" r="249" customHeight="1" ht="18.75">
      <c r="A249" s="9"/>
      <c r="B249" s="18" t="s">
        <v>16</v>
      </c>
      <c r="C249" s="9"/>
      <c r="D249" s="9"/>
      <c r="E249" s="18" t="s">
        <v>1115</v>
      </c>
      <c r="F249" s="19">
        <v>10000000</v>
      </c>
      <c r="G249" s="20">
        <v>800000</v>
      </c>
      <c r="H249" s="21">
        <v>46172</v>
      </c>
      <c r="I249" s="22">
        <f>IF(H249&gt;0,EDATE(H249,-2),"")</f>
        <v>25569.375</v>
      </c>
      <c r="J249" s="18" t="s">
        <v>212</v>
      </c>
      <c r="K249" s="18" t="s">
        <v>902</v>
      </c>
      <c r="L249" s="23">
        <f>IF(E249&gt;0,E249,"")</f>
      </c>
      <c r="M249" s="19" t="s">
        <v>1116</v>
      </c>
      <c r="N249" s="19" t="s">
        <v>1117</v>
      </c>
      <c r="O249" s="22">
        <f>IF(ISNUMBER(I249), EDATE(I249,36)-1, "")</f>
        <v>25569.375</v>
      </c>
      <c r="P249" s="9"/>
      <c r="Q249" s="9" t="s">
        <v>166</v>
      </c>
      <c r="R249" s="9"/>
      <c r="S249" s="9"/>
      <c r="T249" s="9"/>
      <c r="U249" s="9"/>
      <c r="V249" s="9"/>
      <c r="W249" s="9"/>
      <c r="X249" s="9"/>
      <c r="Y249" s="9"/>
      <c r="Z249" s="9"/>
    </row>
    <row x14ac:dyDescent="0.25" r="250" customHeight="1" ht="18.75">
      <c r="A250" s="9"/>
      <c r="B250" s="18" t="s">
        <v>16</v>
      </c>
      <c r="C250" s="9"/>
      <c r="D250" s="9"/>
      <c r="E250" s="18" t="s">
        <v>37</v>
      </c>
      <c r="F250" s="19">
        <v>10000000</v>
      </c>
      <c r="G250" s="20">
        <v>800000</v>
      </c>
      <c r="H250" s="21">
        <v>46145</v>
      </c>
      <c r="I250" s="22">
        <f>IF(H250&gt;0,EDATE(H250,-2),"")</f>
        <v>25569.375</v>
      </c>
      <c r="J250" s="18" t="s">
        <v>239</v>
      </c>
      <c r="K250" s="18" t="s">
        <v>1118</v>
      </c>
      <c r="L250" s="23">
        <f>IF(E250&gt;0,E250,"")</f>
      </c>
      <c r="M250" s="19" t="s">
        <v>1119</v>
      </c>
      <c r="N250" s="19" t="s">
        <v>1120</v>
      </c>
      <c r="O250" s="22">
        <f>IF(ISNUMBER(I250), EDATE(I250,36)-1, "")</f>
        <v>25569.375</v>
      </c>
      <c r="P250" s="9" t="s">
        <v>38</v>
      </c>
      <c r="Q250" s="9" t="s">
        <v>293</v>
      </c>
      <c r="R250" s="9"/>
      <c r="S250" s="9"/>
      <c r="T250" s="9"/>
      <c r="U250" s="9"/>
      <c r="V250" s="9"/>
      <c r="W250" s="9"/>
      <c r="X250" s="9"/>
      <c r="Y250" s="9"/>
      <c r="Z250" s="9"/>
    </row>
    <row x14ac:dyDescent="0.25" r="251" customHeight="1" ht="18.75">
      <c r="A251" s="9" t="s">
        <v>152</v>
      </c>
      <c r="B251" s="18" t="s">
        <v>16</v>
      </c>
      <c r="C251" s="9" t="s">
        <v>900</v>
      </c>
      <c r="D251" s="9" t="s">
        <v>1121</v>
      </c>
      <c r="E251" s="18" t="s">
        <v>1122</v>
      </c>
      <c r="F251" s="19">
        <v>10000000</v>
      </c>
      <c r="G251" s="20">
        <v>800000</v>
      </c>
      <c r="H251" s="21">
        <v>45981</v>
      </c>
      <c r="I251" s="22">
        <f>IF(H251&gt;0,EDATE(H251,-2),"")</f>
        <v>25569.375</v>
      </c>
      <c r="J251" s="18" t="s">
        <v>168</v>
      </c>
      <c r="K251" s="18" t="s">
        <v>1123</v>
      </c>
      <c r="L251" s="23">
        <f>IF(E251&gt;0,E251,"")</f>
      </c>
      <c r="M251" s="19" t="s">
        <v>1124</v>
      </c>
      <c r="N251" s="19">
        <v>39254228</v>
      </c>
      <c r="O251" s="22">
        <f>IF(ISNUMBER(I251), EDATE(I251,36)-1, "")</f>
        <v>25569.375</v>
      </c>
      <c r="P251" s="9"/>
      <c r="Q251" s="9"/>
      <c r="R251" s="9" t="s">
        <v>1125</v>
      </c>
      <c r="S251" s="9"/>
      <c r="T251" s="9"/>
      <c r="U251" s="9"/>
      <c r="V251" s="9"/>
      <c r="W251" s="9"/>
      <c r="X251" s="9"/>
      <c r="Y251" s="9"/>
      <c r="Z251" s="9"/>
    </row>
    <row x14ac:dyDescent="0.25" r="252" customHeight="1" ht="18.75">
      <c r="A252" s="9"/>
      <c r="B252" s="18" t="s">
        <v>16</v>
      </c>
      <c r="C252" s="9"/>
      <c r="D252" s="9"/>
      <c r="E252" s="18" t="s">
        <v>1126</v>
      </c>
      <c r="F252" s="19">
        <v>60000000</v>
      </c>
      <c r="G252" s="20">
        <v>4056000</v>
      </c>
      <c r="H252" s="21">
        <v>46012</v>
      </c>
      <c r="I252" s="22">
        <f>IF(H252&gt;0,EDATE(H252,-2),"")</f>
        <v>25569.375</v>
      </c>
      <c r="J252" s="18" t="s">
        <v>302</v>
      </c>
      <c r="K252" s="18" t="s">
        <v>1127</v>
      </c>
      <c r="L252" s="23">
        <f>IF(E252&gt;0,E252,"")</f>
      </c>
      <c r="M252" s="19" t="s">
        <v>1128</v>
      </c>
      <c r="N252" s="19" t="s">
        <v>1129</v>
      </c>
      <c r="O252" s="22">
        <f>IF(ISNUMBER(I252), EDATE(I252,36)-1, "")</f>
        <v>25569.375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x14ac:dyDescent="0.25" r="253" customHeight="1" ht="18.75">
      <c r="A253" s="9"/>
      <c r="B253" s="18" t="s">
        <v>16</v>
      </c>
      <c r="C253" s="9"/>
      <c r="D253" s="9"/>
      <c r="E253" s="18" t="s">
        <v>1126</v>
      </c>
      <c r="F253" s="19">
        <v>30000000</v>
      </c>
      <c r="G253" s="20">
        <v>2028000</v>
      </c>
      <c r="H253" s="21">
        <v>46065</v>
      </c>
      <c r="I253" s="22">
        <f>IF(H253&gt;0,EDATE(H253,-2),"")</f>
        <v>25569.375</v>
      </c>
      <c r="J253" s="18" t="s">
        <v>239</v>
      </c>
      <c r="K253" s="18" t="s">
        <v>1130</v>
      </c>
      <c r="L253" s="23">
        <f>IF(E253&gt;0,E253,"")</f>
      </c>
      <c r="M253" s="19" t="s">
        <v>1131</v>
      </c>
      <c r="N253" s="19" t="s">
        <v>1132</v>
      </c>
      <c r="O253" s="22">
        <f>IF(ISNUMBER(I253), EDATE(I253,36)-1, "")</f>
        <v>25569.375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x14ac:dyDescent="0.25" r="254" customHeight="1" ht="18.75">
      <c r="A254" s="9" t="s">
        <v>1133</v>
      </c>
      <c r="B254" s="18" t="s">
        <v>16</v>
      </c>
      <c r="C254" s="9"/>
      <c r="D254" s="9"/>
      <c r="E254" s="18" t="s">
        <v>1134</v>
      </c>
      <c r="F254" s="19">
        <v>120000000</v>
      </c>
      <c r="G254" s="20">
        <v>9600000</v>
      </c>
      <c r="H254" s="21">
        <v>46019</v>
      </c>
      <c r="I254" s="22">
        <f>IF(H254&gt;0,EDATE(H254,-2),"")</f>
        <v>25569.375</v>
      </c>
      <c r="J254" s="18" t="s">
        <v>239</v>
      </c>
      <c r="K254" s="18" t="s">
        <v>1135</v>
      </c>
      <c r="L254" s="23">
        <f>IF(E254&gt;0,E254,"")</f>
      </c>
      <c r="M254" s="19" t="s">
        <v>1136</v>
      </c>
      <c r="N254" s="19" t="s">
        <v>1137</v>
      </c>
      <c r="O254" s="22">
        <f>IF(ISNUMBER(I254), EDATE(I254,36)-1, "")</f>
        <v>25569.375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x14ac:dyDescent="0.25" r="255" customHeight="1" ht="18.75">
      <c r="A255" s="9"/>
      <c r="B255" s="18" t="s">
        <v>13</v>
      </c>
      <c r="C255" s="9"/>
      <c r="D255" s="9"/>
      <c r="E255" s="18" t="s">
        <v>1134</v>
      </c>
      <c r="F255" s="19">
        <v>10000000</v>
      </c>
      <c r="G255" s="20">
        <v>900000</v>
      </c>
      <c r="H255" s="21">
        <v>45778</v>
      </c>
      <c r="I255" s="22">
        <f>IF(H255&gt;0,EDATE(H255,-2),"")</f>
        <v>25569.375</v>
      </c>
      <c r="J255" s="18" t="s">
        <v>239</v>
      </c>
      <c r="K255" s="18" t="s">
        <v>1135</v>
      </c>
      <c r="L255" s="23">
        <f>IF(E255&gt;0,E255,"")</f>
      </c>
      <c r="M255" s="19" t="s">
        <v>1136</v>
      </c>
      <c r="N255" s="19" t="s">
        <v>1137</v>
      </c>
      <c r="O255" s="22">
        <f>IF(ISNUMBER(I255), EDATE(I255,36)-1, "")</f>
        <v>25569.375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x14ac:dyDescent="0.25" r="256" customHeight="1" ht="18.75">
      <c r="A256" s="9"/>
      <c r="B256" s="18" t="s">
        <v>16</v>
      </c>
      <c r="C256" s="9"/>
      <c r="D256" s="9"/>
      <c r="E256" s="18" t="s">
        <v>1134</v>
      </c>
      <c r="F256" s="19">
        <v>20000000</v>
      </c>
      <c r="G256" s="20">
        <v>1600000</v>
      </c>
      <c r="H256" s="21">
        <v>45840</v>
      </c>
      <c r="I256" s="22">
        <f>IF(H256&gt;0,EDATE(H256,-2),"")</f>
        <v>25569.375</v>
      </c>
      <c r="J256" s="18" t="s">
        <v>239</v>
      </c>
      <c r="K256" s="18" t="s">
        <v>1135</v>
      </c>
      <c r="L256" s="23">
        <f>IF(E256&gt;0,E256,"")</f>
      </c>
      <c r="M256" s="19" t="s">
        <v>1136</v>
      </c>
      <c r="N256" s="19" t="s">
        <v>1137</v>
      </c>
      <c r="O256" s="22">
        <f>IF(ISNUMBER(I256), EDATE(I256,36)-1, "")</f>
        <v>25569.375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x14ac:dyDescent="0.25" r="257" customHeight="1" ht="18.75">
      <c r="A257" s="9"/>
      <c r="B257" s="18" t="s">
        <v>16</v>
      </c>
      <c r="C257" s="9"/>
      <c r="D257" s="9"/>
      <c r="E257" s="18" t="s">
        <v>1134</v>
      </c>
      <c r="F257" s="19">
        <v>30000000</v>
      </c>
      <c r="G257" s="20">
        <v>2400000</v>
      </c>
      <c r="H257" s="21">
        <v>45909</v>
      </c>
      <c r="I257" s="22">
        <f>IF(H257&gt;0,EDATE(H257,-2),"")</f>
        <v>25569.375</v>
      </c>
      <c r="J257" s="18" t="s">
        <v>239</v>
      </c>
      <c r="K257" s="18" t="s">
        <v>1135</v>
      </c>
      <c r="L257" s="23">
        <f>IF(E257&gt;0,E257,"")</f>
      </c>
      <c r="M257" s="19" t="s">
        <v>1136</v>
      </c>
      <c r="N257" s="19" t="s">
        <v>1137</v>
      </c>
      <c r="O257" s="22">
        <f>IF(ISNUMBER(I257), EDATE(I257,36)-1, "")</f>
        <v>25569.375</v>
      </c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x14ac:dyDescent="0.25" r="258" customHeight="1" ht="18.75">
      <c r="A258" s="9"/>
      <c r="B258" s="18" t="s">
        <v>16</v>
      </c>
      <c r="C258" s="9"/>
      <c r="D258" s="9" t="s">
        <v>357</v>
      </c>
      <c r="E258" s="18" t="s">
        <v>1138</v>
      </c>
      <c r="F258" s="19">
        <v>20000000</v>
      </c>
      <c r="G258" s="20">
        <v>1528000</v>
      </c>
      <c r="H258" s="21">
        <v>46179</v>
      </c>
      <c r="I258" s="22">
        <f>IF(H258&gt;0,EDATE(H258,-2),"")</f>
        <v>25569.375</v>
      </c>
      <c r="J258" s="18" t="s">
        <v>1139</v>
      </c>
      <c r="K258" s="18" t="s">
        <v>1140</v>
      </c>
      <c r="L258" s="23">
        <f>IF(E258&gt;0,E258,"")</f>
      </c>
      <c r="M258" s="19" t="s">
        <v>1141</v>
      </c>
      <c r="N258" s="19" t="s">
        <v>1142</v>
      </c>
      <c r="O258" s="22">
        <f>IF(ISNUMBER(I258), EDATE(I258,36)-1, "")</f>
        <v>25569.375</v>
      </c>
      <c r="P258" s="9" t="s">
        <v>1143</v>
      </c>
      <c r="Q258" s="9" t="s">
        <v>166</v>
      </c>
      <c r="R258" s="9"/>
      <c r="S258" s="9"/>
      <c r="T258" s="9"/>
      <c r="U258" s="9"/>
      <c r="V258" s="9"/>
      <c r="W258" s="9"/>
      <c r="X258" s="9"/>
      <c r="Y258" s="9"/>
      <c r="Z258" s="9"/>
    </row>
    <row x14ac:dyDescent="0.25" r="259" customHeight="1" ht="18.75">
      <c r="A259" s="9"/>
      <c r="B259" s="18" t="s">
        <v>16</v>
      </c>
      <c r="C259" s="9"/>
      <c r="D259" s="9" t="s">
        <v>357</v>
      </c>
      <c r="E259" s="18" t="s">
        <v>1138</v>
      </c>
      <c r="F259" s="19">
        <v>10000000</v>
      </c>
      <c r="G259" s="20">
        <v>800000</v>
      </c>
      <c r="H259" s="21">
        <v>46203</v>
      </c>
      <c r="I259" s="22">
        <f>IF(H259&gt;0,EDATE(H259,-2),"")</f>
        <v>25569.375</v>
      </c>
      <c r="J259" s="18" t="s">
        <v>217</v>
      </c>
      <c r="K259" s="18" t="s">
        <v>1144</v>
      </c>
      <c r="L259" s="23">
        <f>IF(E259&gt;0,E259,"")</f>
      </c>
      <c r="M259" s="19" t="s">
        <v>1141</v>
      </c>
      <c r="N259" s="19">
        <v>91780750</v>
      </c>
      <c r="O259" s="22">
        <f>IF(ISNUMBER(I259), EDATE(I259,36)-1, "")</f>
        <v>25569.375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x14ac:dyDescent="0.25" r="260" customHeight="1" ht="18.75">
      <c r="A260" s="9" t="s">
        <v>252</v>
      </c>
      <c r="B260" s="18" t="s">
        <v>16</v>
      </c>
      <c r="C260" s="9" t="s">
        <v>454</v>
      </c>
      <c r="D260" s="9" t="s">
        <v>647</v>
      </c>
      <c r="E260" s="18" t="s">
        <v>1145</v>
      </c>
      <c r="F260" s="19">
        <v>10000000</v>
      </c>
      <c r="G260" s="20"/>
      <c r="H260" s="21" t="s">
        <v>449</v>
      </c>
      <c r="I260" s="22"/>
      <c r="J260" s="18"/>
      <c r="K260" s="18"/>
      <c r="L260" s="23">
        <f>IF(E260&gt;0,E260,"")</f>
      </c>
      <c r="M260" s="19"/>
      <c r="N260" s="19"/>
      <c r="O260" s="22">
        <f>IF(ISNUMBER(I260), EDATE(I260,36)-1, "")</f>
        <v>25569.375</v>
      </c>
      <c r="P260" s="9"/>
      <c r="Q260" s="9"/>
      <c r="R260" s="9" t="s">
        <v>1146</v>
      </c>
      <c r="S260" s="9"/>
      <c r="T260" s="9"/>
      <c r="U260" s="9"/>
      <c r="V260" s="9"/>
      <c r="W260" s="9"/>
      <c r="X260" s="9"/>
      <c r="Y260" s="9"/>
      <c r="Z260" s="9"/>
    </row>
    <row x14ac:dyDescent="0.25" r="261" customHeight="1" ht="18.75">
      <c r="A261" s="9"/>
      <c r="B261" s="18" t="s">
        <v>16</v>
      </c>
      <c r="C261" s="9"/>
      <c r="D261" s="9"/>
      <c r="E261" s="18" t="s">
        <v>1147</v>
      </c>
      <c r="F261" s="19">
        <v>10000000</v>
      </c>
      <c r="G261" s="20">
        <v>800000</v>
      </c>
      <c r="H261" s="21">
        <v>46167</v>
      </c>
      <c r="I261" s="22">
        <f>IF(H261&gt;0,EDATE(H261,-2),"")</f>
        <v>25569.375</v>
      </c>
      <c r="J261" s="18" t="s">
        <v>168</v>
      </c>
      <c r="K261" s="18" t="s">
        <v>1148</v>
      </c>
      <c r="L261" s="23">
        <f>IF(E261&gt;0,E261,"")</f>
      </c>
      <c r="M261" s="19" t="s">
        <v>1149</v>
      </c>
      <c r="N261" s="19" t="s">
        <v>1150</v>
      </c>
      <c r="O261" s="22">
        <f>IF(ISNUMBER(I261), EDATE(I261,36)-1, "")</f>
        <v>25569.375</v>
      </c>
      <c r="P261" s="9"/>
      <c r="Q261" s="9" t="s">
        <v>166</v>
      </c>
      <c r="R261" s="9"/>
      <c r="S261" s="9"/>
      <c r="T261" s="9"/>
      <c r="U261" s="9"/>
      <c r="V261" s="9"/>
      <c r="W261" s="9"/>
      <c r="X261" s="9"/>
      <c r="Y261" s="9"/>
      <c r="Z261" s="9"/>
    </row>
    <row x14ac:dyDescent="0.25" r="262" customHeight="1" ht="18.75">
      <c r="A262" s="9"/>
      <c r="B262" s="18" t="s">
        <v>16</v>
      </c>
      <c r="C262" s="9" t="s">
        <v>55</v>
      </c>
      <c r="D262" s="9" t="s">
        <v>56</v>
      </c>
      <c r="E262" s="18" t="s">
        <v>1151</v>
      </c>
      <c r="F262" s="19">
        <v>10000000</v>
      </c>
      <c r="G262" s="20">
        <v>800000</v>
      </c>
      <c r="H262" s="21">
        <v>46203</v>
      </c>
      <c r="I262" s="22">
        <f>IF(H262&gt;0,EDATE(H262,-2),"")</f>
        <v>25569.375</v>
      </c>
      <c r="J262" s="18" t="s">
        <v>217</v>
      </c>
      <c r="K262" s="18" t="s">
        <v>1152</v>
      </c>
      <c r="L262" s="23">
        <f>IF(E262&gt;0,E262,"")</f>
      </c>
      <c r="M262" s="19" t="s">
        <v>1153</v>
      </c>
      <c r="N262" s="19" t="s">
        <v>1154</v>
      </c>
      <c r="O262" s="22">
        <f>IF(ISNUMBER(I262), EDATE(I262,36)-1, "")</f>
        <v>25569.375</v>
      </c>
      <c r="P262" s="9" t="s">
        <v>1155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x14ac:dyDescent="0.25" r="263" customHeight="1" ht="18.75">
      <c r="A263" s="9" t="s">
        <v>252</v>
      </c>
      <c r="B263" s="18" t="s">
        <v>16</v>
      </c>
      <c r="C263" s="9"/>
      <c r="D263" s="9"/>
      <c r="E263" s="18" t="s">
        <v>1156</v>
      </c>
      <c r="F263" s="19">
        <v>10000000</v>
      </c>
      <c r="G263" s="20">
        <v>800000</v>
      </c>
      <c r="H263" s="21">
        <v>45974</v>
      </c>
      <c r="I263" s="22">
        <f>IF(H263&gt;0,EDATE(H263,-2),"")</f>
        <v>25569.375</v>
      </c>
      <c r="J263" s="18" t="s">
        <v>379</v>
      </c>
      <c r="K263" s="18" t="s">
        <v>1157</v>
      </c>
      <c r="L263" s="23">
        <f>IF(E263&gt;0,E263,"")</f>
      </c>
      <c r="M263" s="19" t="s">
        <v>1158</v>
      </c>
      <c r="N263" s="19" t="s">
        <v>1159</v>
      </c>
      <c r="O263" s="22">
        <f>IF(ISNUMBER(I263), EDATE(I263,36)-1, "")</f>
        <v>25569.375</v>
      </c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x14ac:dyDescent="0.25" r="264" customHeight="1" ht="18.75">
      <c r="A264" s="9"/>
      <c r="B264" s="18" t="s">
        <v>16</v>
      </c>
      <c r="C264" s="9"/>
      <c r="D264" s="9" t="s">
        <v>1160</v>
      </c>
      <c r="E264" s="18" t="s">
        <v>1161</v>
      </c>
      <c r="F264" s="19">
        <v>60000000</v>
      </c>
      <c r="G264" s="20">
        <v>4056000</v>
      </c>
      <c r="H264" s="21">
        <v>46118</v>
      </c>
      <c r="I264" s="22">
        <f>IF(H264&gt;0,EDATE(H264,-2),"")</f>
        <v>25569.375</v>
      </c>
      <c r="J264" s="18" t="s">
        <v>282</v>
      </c>
      <c r="K264" s="18" t="s">
        <v>1162</v>
      </c>
      <c r="L264" s="23">
        <f>IF(E264&gt;0,E264,"")</f>
      </c>
      <c r="M264" s="19" t="s">
        <v>1163</v>
      </c>
      <c r="N264" s="19" t="s">
        <v>1164</v>
      </c>
      <c r="O264" s="22">
        <f>IF(ISNUMBER(I264), EDATE(I264,36)-1, "")</f>
        <v>25569.375</v>
      </c>
      <c r="P264" s="9"/>
      <c r="Q264" s="9" t="s">
        <v>166</v>
      </c>
      <c r="R264" s="9"/>
      <c r="S264" s="9"/>
      <c r="T264" s="9"/>
      <c r="U264" s="9"/>
      <c r="V264" s="9"/>
      <c r="W264" s="9"/>
      <c r="X264" s="9"/>
      <c r="Y264" s="9"/>
      <c r="Z264" s="9"/>
    </row>
    <row x14ac:dyDescent="0.25" r="265" customHeight="1" ht="18.75">
      <c r="A265" s="9"/>
      <c r="B265" s="18" t="s">
        <v>16</v>
      </c>
      <c r="C265" s="9" t="s">
        <v>816</v>
      </c>
      <c r="D265" s="9" t="s">
        <v>1160</v>
      </c>
      <c r="E265" s="18" t="s">
        <v>1161</v>
      </c>
      <c r="F265" s="19">
        <v>30000000</v>
      </c>
      <c r="G265" s="20">
        <v>2028000</v>
      </c>
      <c r="H265" s="21">
        <v>46197</v>
      </c>
      <c r="I265" s="22">
        <f>IF(H265&gt;0,EDATE(H265,-2),"")</f>
        <v>25569.375</v>
      </c>
      <c r="J265" s="18" t="s">
        <v>168</v>
      </c>
      <c r="K265" s="18" t="s">
        <v>1162</v>
      </c>
      <c r="L265" s="23">
        <f>IF(E265&gt;0,E265,"")</f>
      </c>
      <c r="M265" s="19" t="s">
        <v>1163</v>
      </c>
      <c r="N265" s="19" t="s">
        <v>1164</v>
      </c>
      <c r="O265" s="22">
        <f>IF(ISNUMBER(I265), EDATE(I265,36)-1, "")</f>
        <v>25569.375</v>
      </c>
      <c r="P265" s="9" t="s">
        <v>1165</v>
      </c>
      <c r="Q265" s="9" t="s">
        <v>166</v>
      </c>
      <c r="R265" s="9"/>
      <c r="S265" s="9"/>
      <c r="T265" s="9"/>
      <c r="U265" s="9"/>
      <c r="V265" s="9"/>
      <c r="W265" s="9"/>
      <c r="X265" s="9"/>
      <c r="Y265" s="9"/>
      <c r="Z265" s="9"/>
    </row>
    <row x14ac:dyDescent="0.25" r="266" customHeight="1" ht="18.75">
      <c r="A266" s="9"/>
      <c r="B266" s="18" t="s">
        <v>16</v>
      </c>
      <c r="C266" s="9"/>
      <c r="D266" s="9"/>
      <c r="E266" s="18" t="s">
        <v>1166</v>
      </c>
      <c r="F266" s="19">
        <v>10000000</v>
      </c>
      <c r="G266" s="20">
        <v>800000</v>
      </c>
      <c r="H266" s="21">
        <v>46063</v>
      </c>
      <c r="I266" s="22">
        <f>IF(H266&gt;0,EDATE(H266,-2),"")</f>
        <v>25569.375</v>
      </c>
      <c r="J266" s="18" t="s">
        <v>155</v>
      </c>
      <c r="K266" s="18" t="s">
        <v>1167</v>
      </c>
      <c r="L266" s="23">
        <f>IF(E266&gt;0,E266,"")</f>
      </c>
      <c r="M266" s="19" t="s">
        <v>1168</v>
      </c>
      <c r="N266" s="19" t="s">
        <v>1169</v>
      </c>
      <c r="O266" s="22">
        <f>IF(ISNUMBER(I266), EDATE(I266,36)-1, "")</f>
        <v>25569.375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x14ac:dyDescent="0.25" r="267" customHeight="1" ht="18.75">
      <c r="A267" s="9"/>
      <c r="B267" s="18" t="s">
        <v>16</v>
      </c>
      <c r="C267" s="9"/>
      <c r="D267" s="9"/>
      <c r="E267" s="18" t="s">
        <v>1170</v>
      </c>
      <c r="F267" s="19">
        <v>60000000</v>
      </c>
      <c r="G267" s="20">
        <v>4056000</v>
      </c>
      <c r="H267" s="21">
        <v>46172</v>
      </c>
      <c r="I267" s="22">
        <f>IF(H267&gt;0,EDATE(H267,-2),"")</f>
        <v>25569.375</v>
      </c>
      <c r="J267" s="18" t="s">
        <v>168</v>
      </c>
      <c r="K267" s="18" t="s">
        <v>1171</v>
      </c>
      <c r="L267" s="23">
        <f>IF(E267&gt;0,E267,"")</f>
      </c>
      <c r="M267" s="19" t="s">
        <v>1172</v>
      </c>
      <c r="N267" s="19" t="s">
        <v>1173</v>
      </c>
      <c r="O267" s="22">
        <f>IF(ISNUMBER(I267), EDATE(I267,36)-1, "")</f>
        <v>25569.375</v>
      </c>
      <c r="P267" s="9" t="s">
        <v>1174</v>
      </c>
      <c r="Q267" s="9" t="s">
        <v>166</v>
      </c>
      <c r="R267" s="9"/>
      <c r="S267" s="9"/>
      <c r="T267" s="9"/>
      <c r="U267" s="9"/>
      <c r="V267" s="9"/>
      <c r="W267" s="9"/>
      <c r="X267" s="9"/>
      <c r="Y267" s="9"/>
      <c r="Z267" s="9"/>
    </row>
    <row x14ac:dyDescent="0.25" r="268" customHeight="1" ht="18.75">
      <c r="A268" s="9"/>
      <c r="B268" s="18" t="s">
        <v>16</v>
      </c>
      <c r="C268" s="9"/>
      <c r="D268" s="9"/>
      <c r="E268" s="18" t="s">
        <v>1175</v>
      </c>
      <c r="F268" s="19">
        <v>10000000</v>
      </c>
      <c r="G268" s="20">
        <v>800000</v>
      </c>
      <c r="H268" s="21">
        <v>46102</v>
      </c>
      <c r="I268" s="22">
        <f>IF(H268&gt;0,EDATE(H268,-2),"")</f>
        <v>25569.375</v>
      </c>
      <c r="J268" s="18" t="s">
        <v>155</v>
      </c>
      <c r="K268" s="18" t="s">
        <v>478</v>
      </c>
      <c r="L268" s="23">
        <f>IF(E268&gt;0,E268,"")</f>
      </c>
      <c r="M268" s="19" t="s">
        <v>1176</v>
      </c>
      <c r="N268" s="19" t="s">
        <v>1177</v>
      </c>
      <c r="O268" s="22">
        <f>IF(ISNUMBER(I268), EDATE(I268,36)-1, "")</f>
        <v>25569.375</v>
      </c>
      <c r="P268" s="9"/>
      <c r="Q268" s="9" t="s">
        <v>1178</v>
      </c>
      <c r="R268" s="9" t="s">
        <v>1179</v>
      </c>
      <c r="S268" s="9"/>
      <c r="T268" s="9"/>
      <c r="U268" s="9"/>
      <c r="V268" s="9"/>
      <c r="W268" s="9"/>
      <c r="X268" s="9"/>
      <c r="Y268" s="9"/>
      <c r="Z268" s="9"/>
    </row>
    <row x14ac:dyDescent="0.25" r="269" customHeight="1" ht="18.75">
      <c r="A269" s="9"/>
      <c r="B269" s="18" t="s">
        <v>16</v>
      </c>
      <c r="C269" s="9" t="s">
        <v>143</v>
      </c>
      <c r="D269" s="9" t="s">
        <v>14</v>
      </c>
      <c r="E269" s="18" t="s">
        <v>1175</v>
      </c>
      <c r="F269" s="19">
        <v>10000000</v>
      </c>
      <c r="G269" s="20">
        <v>1200000</v>
      </c>
      <c r="H269" s="21">
        <v>46203</v>
      </c>
      <c r="I269" s="22">
        <f>IF(H269&gt;0,EDATE(H269,-2),"")</f>
        <v>25569.375</v>
      </c>
      <c r="J269" s="18" t="s">
        <v>155</v>
      </c>
      <c r="K269" s="18" t="s">
        <v>1180</v>
      </c>
      <c r="L269" s="23">
        <f>IF(E269&gt;0,E269,"")</f>
      </c>
      <c r="M269" s="19" t="s">
        <v>1181</v>
      </c>
      <c r="N269" s="19" t="s">
        <v>1182</v>
      </c>
      <c r="O269" s="22">
        <f>IF(ISNUMBER(I269), EDATE(I269,36)-1, "")</f>
        <v>25569.375</v>
      </c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x14ac:dyDescent="0.25" r="270" customHeight="1" ht="18.75">
      <c r="A270" s="9"/>
      <c r="B270" s="18" t="s">
        <v>16</v>
      </c>
      <c r="C270" s="9"/>
      <c r="D270" s="9"/>
      <c r="E270" s="18" t="s">
        <v>1183</v>
      </c>
      <c r="F270" s="19">
        <v>30000000</v>
      </c>
      <c r="G270" s="20">
        <v>2400000</v>
      </c>
      <c r="H270" s="21">
        <v>45902</v>
      </c>
      <c r="I270" s="22">
        <f>IF(H270&gt;0,EDATE(H270,-2),"")</f>
        <v>25569.375</v>
      </c>
      <c r="J270" s="18" t="s">
        <v>212</v>
      </c>
      <c r="K270" s="18" t="s">
        <v>1184</v>
      </c>
      <c r="L270" s="23">
        <f>IF(E270&gt;0,E270,"")</f>
      </c>
      <c r="M270" s="19" t="s">
        <v>1185</v>
      </c>
      <c r="N270" s="19">
        <v>55325621</v>
      </c>
      <c r="O270" s="22">
        <f>IF(ISNUMBER(I270), EDATE(I270,36)-1, "")</f>
        <v>25569.375</v>
      </c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x14ac:dyDescent="0.25" r="271" customHeight="1" ht="18.75">
      <c r="A271" s="9"/>
      <c r="B271" s="18" t="s">
        <v>16</v>
      </c>
      <c r="C271" s="9" t="s">
        <v>454</v>
      </c>
      <c r="D271" s="9" t="s">
        <v>1186</v>
      </c>
      <c r="E271" s="18" t="s">
        <v>1186</v>
      </c>
      <c r="F271" s="19">
        <v>10000000</v>
      </c>
      <c r="G271" s="20">
        <v>800000</v>
      </c>
      <c r="H271" s="21">
        <v>46180</v>
      </c>
      <c r="I271" s="22">
        <f>IF(H271&gt;0,EDATE(H271,-2),"")</f>
        <v>25569.375</v>
      </c>
      <c r="J271" s="18" t="s">
        <v>155</v>
      </c>
      <c r="K271" s="18" t="s">
        <v>1187</v>
      </c>
      <c r="L271" s="23">
        <f>IF(E271&gt;0,E271,"")</f>
      </c>
      <c r="M271" s="19" t="s">
        <v>1188</v>
      </c>
      <c r="N271" s="19">
        <v>72407060</v>
      </c>
      <c r="O271" s="22">
        <f>IF(ISNUMBER(I271), EDATE(I271,36)-1, "")</f>
        <v>25569.375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x14ac:dyDescent="0.25" r="272" customHeight="1" ht="18.75">
      <c r="A272" s="9"/>
      <c r="B272" s="18" t="s">
        <v>16</v>
      </c>
      <c r="C272" s="9" t="s">
        <v>143</v>
      </c>
      <c r="D272" s="9" t="s">
        <v>22</v>
      </c>
      <c r="E272" s="18" t="s">
        <v>1189</v>
      </c>
      <c r="F272" s="19">
        <v>10000000</v>
      </c>
      <c r="G272" s="20">
        <v>800000</v>
      </c>
      <c r="H272" s="21">
        <v>46182</v>
      </c>
      <c r="I272" s="22">
        <f>IF(H272&gt;0,EDATE(H272,-2),"")</f>
        <v>25569.375</v>
      </c>
      <c r="J272" s="18" t="s">
        <v>168</v>
      </c>
      <c r="K272" s="18" t="s">
        <v>1190</v>
      </c>
      <c r="L272" s="23">
        <f>IF(E272&gt;0,E272,"")</f>
      </c>
      <c r="M272" s="19" t="s">
        <v>1191</v>
      </c>
      <c r="N272" s="19" t="s">
        <v>1192</v>
      </c>
      <c r="O272" s="22">
        <f>IF(ISNUMBER(I272), EDATE(I272,36)-1, "")</f>
        <v>25569.375</v>
      </c>
      <c r="P272" s="9" t="s">
        <v>1193</v>
      </c>
      <c r="Q272" s="9" t="s">
        <v>166</v>
      </c>
      <c r="R272" s="9"/>
      <c r="S272" s="9"/>
      <c r="T272" s="9"/>
      <c r="U272" s="9"/>
      <c r="V272" s="9"/>
      <c r="W272" s="9"/>
      <c r="X272" s="9"/>
      <c r="Y272" s="9"/>
      <c r="Z272" s="9"/>
    </row>
    <row x14ac:dyDescent="0.25" r="273" customHeight="1" ht="18.75">
      <c r="A273" s="9" t="s">
        <v>252</v>
      </c>
      <c r="B273" s="18" t="s">
        <v>16</v>
      </c>
      <c r="C273" s="9" t="s">
        <v>143</v>
      </c>
      <c r="D273" s="9" t="s">
        <v>22</v>
      </c>
      <c r="E273" s="18" t="s">
        <v>1189</v>
      </c>
      <c r="F273" s="19">
        <v>10000000</v>
      </c>
      <c r="G273" s="20"/>
      <c r="H273" s="21">
        <v>46182</v>
      </c>
      <c r="I273" s="22">
        <f>IF(H273&gt;0,EDATE(H273,-2),"")</f>
        <v>25569.375</v>
      </c>
      <c r="J273" s="18" t="s">
        <v>217</v>
      </c>
      <c r="K273" s="18" t="s">
        <v>1194</v>
      </c>
      <c r="L273" s="23">
        <f>IF(E273&gt;0,E273,"")</f>
      </c>
      <c r="M273" s="19" t="s">
        <v>1191</v>
      </c>
      <c r="N273" s="19">
        <v>86341255</v>
      </c>
      <c r="O273" s="22">
        <f>IF(ISNUMBER(I273), EDATE(I273,36)-1, "")</f>
        <v>25569.375</v>
      </c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x14ac:dyDescent="0.25" r="274" customHeight="1" ht="18.75">
      <c r="A274" s="9"/>
      <c r="B274" s="18" t="s">
        <v>16</v>
      </c>
      <c r="C274" s="9"/>
      <c r="D274" s="9"/>
      <c r="E274" s="18" t="s">
        <v>1195</v>
      </c>
      <c r="F274" s="19">
        <v>10000000</v>
      </c>
      <c r="G274" s="20">
        <v>800000</v>
      </c>
      <c r="H274" s="21">
        <v>46126</v>
      </c>
      <c r="I274" s="22">
        <f>IF(H274&gt;0,EDATE(H274,-2),"")</f>
        <v>25569.375</v>
      </c>
      <c r="J274" s="18" t="s">
        <v>182</v>
      </c>
      <c r="K274" s="18" t="s">
        <v>1196</v>
      </c>
      <c r="L274" s="23">
        <f>IF(E274&gt;0,E274,"")</f>
      </c>
      <c r="M274" s="19">
        <v>6102041024838</v>
      </c>
      <c r="N274" s="19">
        <v>43263850</v>
      </c>
      <c r="O274" s="22">
        <f>IF(ISNUMBER(I274), EDATE(I274,36)-1, "")</f>
        <v>25569.375</v>
      </c>
      <c r="P274" s="9" t="s">
        <v>1197</v>
      </c>
      <c r="Q274" s="9" t="s">
        <v>166</v>
      </c>
      <c r="R274" s="9"/>
      <c r="S274" s="9"/>
      <c r="T274" s="9"/>
      <c r="U274" s="9"/>
      <c r="V274" s="9"/>
      <c r="W274" s="9"/>
      <c r="X274" s="9"/>
      <c r="Y274" s="9"/>
      <c r="Z274" s="9"/>
    </row>
    <row x14ac:dyDescent="0.25" r="275" customHeight="1" ht="18.75">
      <c r="A275" s="9" t="s">
        <v>152</v>
      </c>
      <c r="B275" s="18" t="s">
        <v>16</v>
      </c>
      <c r="C275" s="9"/>
      <c r="D275" s="9"/>
      <c r="E275" s="18" t="s">
        <v>1195</v>
      </c>
      <c r="F275" s="19">
        <v>60000000</v>
      </c>
      <c r="G275" s="20"/>
      <c r="H275" s="21">
        <v>46188</v>
      </c>
      <c r="I275" s="22">
        <f>IF(H275&gt;0,EDATE(H275,-2),"")</f>
        <v>25569.375</v>
      </c>
      <c r="J275" s="18" t="s">
        <v>302</v>
      </c>
      <c r="K275" s="18" t="s">
        <v>1198</v>
      </c>
      <c r="L275" s="23">
        <f>IF(E275&gt;0,E275,"")</f>
      </c>
      <c r="M275" s="19" t="s">
        <v>1199</v>
      </c>
      <c r="N275" s="19">
        <v>43263850</v>
      </c>
      <c r="O275" s="22">
        <f>IF(ISNUMBER(I275), EDATE(I275,36)-1, "")</f>
        <v>25569.375</v>
      </c>
      <c r="P275" s="9"/>
      <c r="Q275" s="9"/>
      <c r="R275" s="9" t="s">
        <v>1200</v>
      </c>
      <c r="S275" s="9"/>
      <c r="T275" s="9"/>
      <c r="U275" s="9"/>
      <c r="V275" s="9"/>
      <c r="W275" s="9"/>
      <c r="X275" s="9"/>
      <c r="Y275" s="9"/>
      <c r="Z275" s="9"/>
    </row>
    <row x14ac:dyDescent="0.25" r="276" customHeight="1" ht="18.75">
      <c r="A276" s="9"/>
      <c r="B276" s="18" t="s">
        <v>16</v>
      </c>
      <c r="C276" s="9" t="s">
        <v>80</v>
      </c>
      <c r="D276" s="9" t="s">
        <v>97</v>
      </c>
      <c r="E276" s="18" t="s">
        <v>1201</v>
      </c>
      <c r="F276" s="19">
        <v>10000000</v>
      </c>
      <c r="G276" s="20">
        <v>800000</v>
      </c>
      <c r="H276" s="21">
        <v>46143</v>
      </c>
      <c r="I276" s="22">
        <f>IF(H276&gt;0,EDATE(H276,-2),"")</f>
        <v>25569.375</v>
      </c>
      <c r="J276" s="18" t="s">
        <v>1202</v>
      </c>
      <c r="K276" s="18" t="s">
        <v>1203</v>
      </c>
      <c r="L276" s="23">
        <f>IF(E276&gt;0,E276,"")</f>
      </c>
      <c r="M276" s="19" t="s">
        <v>1204</v>
      </c>
      <c r="N276" s="19">
        <v>35446943</v>
      </c>
      <c r="O276" s="22">
        <f>IF(ISNUMBER(I276), EDATE(I276,36)-1, "")</f>
        <v>25569.375</v>
      </c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x14ac:dyDescent="0.25" r="277" customHeight="1" ht="18.75">
      <c r="A277" s="9" t="s">
        <v>152</v>
      </c>
      <c r="B277" s="18" t="s">
        <v>16</v>
      </c>
      <c r="C277" s="9" t="s">
        <v>80</v>
      </c>
      <c r="D277" s="9" t="s">
        <v>97</v>
      </c>
      <c r="E277" s="18" t="s">
        <v>1201</v>
      </c>
      <c r="F277" s="19">
        <v>10000000</v>
      </c>
      <c r="G277" s="20">
        <v>800000</v>
      </c>
      <c r="H277" s="21">
        <v>46143</v>
      </c>
      <c r="I277" s="22">
        <f>IF(H277&gt;0,EDATE(H277,-2),"")</f>
        <v>25569.375</v>
      </c>
      <c r="J277" s="18" t="s">
        <v>1202</v>
      </c>
      <c r="K277" s="18" t="s">
        <v>1203</v>
      </c>
      <c r="L277" s="23">
        <f>IF(E277&gt;0,E277,"")</f>
      </c>
      <c r="M277" s="19">
        <v>7411252140326</v>
      </c>
      <c r="N277" s="19">
        <v>35446943</v>
      </c>
      <c r="O277" s="22">
        <f>IF(ISNUMBER(I277), EDATE(I277,36)-1, "")</f>
        <v>25569.375</v>
      </c>
      <c r="P277" s="9"/>
      <c r="Q277" s="9"/>
      <c r="R277" s="9" t="s">
        <v>1205</v>
      </c>
      <c r="S277" s="9"/>
      <c r="T277" s="9"/>
      <c r="U277" s="9"/>
      <c r="V277" s="9"/>
      <c r="W277" s="9"/>
      <c r="X277" s="9"/>
      <c r="Y277" s="9"/>
      <c r="Z277" s="9"/>
    </row>
    <row x14ac:dyDescent="0.25" r="278" customHeight="1" ht="18.75">
      <c r="A278" s="9"/>
      <c r="B278" s="18" t="s">
        <v>16</v>
      </c>
      <c r="C278" s="9"/>
      <c r="D278" s="9"/>
      <c r="E278" s="18" t="s">
        <v>1206</v>
      </c>
      <c r="F278" s="19">
        <v>10000000</v>
      </c>
      <c r="G278" s="20">
        <v>800000</v>
      </c>
      <c r="H278" s="21">
        <v>46126</v>
      </c>
      <c r="I278" s="22">
        <f>IF(H278&gt;0,EDATE(H278,-2),"")</f>
        <v>25569.375</v>
      </c>
      <c r="J278" s="18" t="s">
        <v>282</v>
      </c>
      <c r="K278" s="18" t="s">
        <v>471</v>
      </c>
      <c r="L278" s="23">
        <f>IF(E278&gt;0,E278,"")</f>
      </c>
      <c r="M278" s="19" t="s">
        <v>1207</v>
      </c>
      <c r="N278" s="19" t="s">
        <v>1208</v>
      </c>
      <c r="O278" s="22">
        <f>IF(ISNUMBER(I278), EDATE(I278,36)-1, "")</f>
        <v>25569.375</v>
      </c>
      <c r="P278" s="9" t="s">
        <v>1209</v>
      </c>
      <c r="Q278" s="9" t="s">
        <v>166</v>
      </c>
      <c r="R278" s="9"/>
      <c r="S278" s="9"/>
      <c r="T278" s="9"/>
      <c r="U278" s="9"/>
      <c r="V278" s="9"/>
      <c r="W278" s="9"/>
      <c r="X278" s="9"/>
      <c r="Y278" s="9"/>
      <c r="Z278" s="9"/>
    </row>
    <row x14ac:dyDescent="0.25" r="279" customHeight="1" ht="18.75">
      <c r="A279" s="9" t="s">
        <v>152</v>
      </c>
      <c r="B279" s="18" t="s">
        <v>16</v>
      </c>
      <c r="C279" s="9"/>
      <c r="D279" s="9"/>
      <c r="E279" s="18" t="s">
        <v>1206</v>
      </c>
      <c r="F279" s="19">
        <v>60000000</v>
      </c>
      <c r="G279" s="20"/>
      <c r="H279" s="21">
        <v>46188</v>
      </c>
      <c r="I279" s="22">
        <f>IF(H279&gt;0,EDATE(H279,-2),"")</f>
        <v>25569.375</v>
      </c>
      <c r="J279" s="18" t="s">
        <v>217</v>
      </c>
      <c r="K279" s="18" t="s">
        <v>1210</v>
      </c>
      <c r="L279" s="23">
        <f>IF(E279&gt;0,E279,"")</f>
      </c>
      <c r="M279" s="19" t="s">
        <v>1207</v>
      </c>
      <c r="N279" s="19">
        <v>35473850</v>
      </c>
      <c r="O279" s="22">
        <f>IF(ISNUMBER(I279), EDATE(I279,36)-1, "")</f>
        <v>25569.375</v>
      </c>
      <c r="P279" s="9"/>
      <c r="Q279" s="9"/>
      <c r="R279" s="9" t="s">
        <v>1211</v>
      </c>
      <c r="S279" s="9"/>
      <c r="T279" s="9"/>
      <c r="U279" s="9"/>
      <c r="V279" s="9"/>
      <c r="W279" s="9"/>
      <c r="X279" s="9"/>
      <c r="Y279" s="9"/>
      <c r="Z279" s="9"/>
    </row>
    <row x14ac:dyDescent="0.25" r="280" customHeight="1" ht="18.75">
      <c r="A280" s="9"/>
      <c r="B280" s="18" t="s">
        <v>16</v>
      </c>
      <c r="C280" s="18" t="s">
        <v>55</v>
      </c>
      <c r="D280" s="18" t="s">
        <v>56</v>
      </c>
      <c r="E280" s="18" t="s">
        <v>1212</v>
      </c>
      <c r="F280" s="20">
        <v>30000000</v>
      </c>
      <c r="G280" s="8">
        <f>IF(F280&gt;0,_xludf.IFS(F280=10000000,1200000,F280=20000000,1800000,F280=30000000,2400000,F280=60000000,4000000),"")</f>
      </c>
      <c r="H280" s="21">
        <v>46218</v>
      </c>
      <c r="I280" s="22">
        <f>IF(H280&gt;0,EDATE(H280,-2),"")</f>
        <v>25569.375</v>
      </c>
      <c r="J280" s="18" t="s">
        <v>239</v>
      </c>
      <c r="K280" s="18" t="s">
        <v>1213</v>
      </c>
      <c r="L280" s="23">
        <f>IF(E280&gt;0,E280,"")</f>
      </c>
      <c r="M280" s="19">
        <v>7107022058011</v>
      </c>
      <c r="N280" s="19">
        <v>50926282</v>
      </c>
      <c r="O280" s="22">
        <f>IF(ISNUMBER(I280), EDATE(I280,36)-1, "")</f>
        <v>25569.375</v>
      </c>
      <c r="P280" s="18"/>
      <c r="Q280" s="18"/>
      <c r="R280" s="9"/>
      <c r="S280" s="9"/>
      <c r="T280" s="9"/>
      <c r="U280" s="9"/>
      <c r="V280" s="9"/>
      <c r="W280" s="9"/>
      <c r="X280" s="9"/>
      <c r="Y280" s="9"/>
      <c r="Z280" s="9"/>
    </row>
    <row x14ac:dyDescent="0.25" r="281" customHeight="1" ht="18.75">
      <c r="A281" s="9"/>
      <c r="B281" s="18" t="s">
        <v>16</v>
      </c>
      <c r="C281" s="9" t="s">
        <v>143</v>
      </c>
      <c r="D281" s="9" t="s">
        <v>14</v>
      </c>
      <c r="E281" s="18" t="s">
        <v>1214</v>
      </c>
      <c r="F281" s="19">
        <v>20000000</v>
      </c>
      <c r="G281" s="20">
        <v>1528000</v>
      </c>
      <c r="H281" s="21">
        <v>46190</v>
      </c>
      <c r="I281" s="22">
        <f>IF(H281&gt;0,EDATE(H281,-2),"")</f>
        <v>25569.375</v>
      </c>
      <c r="J281" s="18" t="s">
        <v>161</v>
      </c>
      <c r="K281" s="18" t="s">
        <v>1215</v>
      </c>
      <c r="L281" s="23">
        <f>IF(E281&gt;0,E281,"")</f>
      </c>
      <c r="M281" s="19" t="s">
        <v>1216</v>
      </c>
      <c r="N281" s="19" t="s">
        <v>1217</v>
      </c>
      <c r="O281" s="22">
        <f>IF(ISNUMBER(I281), EDATE(I281,36)-1, "")</f>
        <v>25569.375</v>
      </c>
      <c r="P281" s="9" t="s">
        <v>1218</v>
      </c>
      <c r="Q281" s="9" t="s">
        <v>166</v>
      </c>
      <c r="R281" s="9" t="s">
        <v>63</v>
      </c>
      <c r="S281" s="9"/>
      <c r="T281" s="9"/>
      <c r="U281" s="9"/>
      <c r="V281" s="9"/>
      <c r="W281" s="9"/>
      <c r="X281" s="9"/>
      <c r="Y281" s="9"/>
      <c r="Z281" s="9"/>
    </row>
    <row x14ac:dyDescent="0.25" r="282" customHeight="1" ht="18.75">
      <c r="A282" s="9"/>
      <c r="B282" s="18" t="s">
        <v>16</v>
      </c>
      <c r="C282" s="9" t="s">
        <v>143</v>
      </c>
      <c r="D282" s="9" t="s">
        <v>14</v>
      </c>
      <c r="E282" s="18" t="s">
        <v>1214</v>
      </c>
      <c r="F282" s="19">
        <v>10000000</v>
      </c>
      <c r="G282" s="20"/>
      <c r="H282" s="21">
        <v>46224</v>
      </c>
      <c r="I282" s="22">
        <f>IF(H282&gt;0,EDATE(H282,-2),"")</f>
        <v>25569.375</v>
      </c>
      <c r="J282" s="18" t="s">
        <v>155</v>
      </c>
      <c r="K282" s="18" t="s">
        <v>1215</v>
      </c>
      <c r="L282" s="23">
        <f>IF(E282&gt;0,E282,"")</f>
      </c>
      <c r="M282" s="19">
        <v>7108241815212</v>
      </c>
      <c r="N282" s="19">
        <v>39949774</v>
      </c>
      <c r="O282" s="22">
        <f>IF(ISNUMBER(I282), EDATE(I282,36)-1, "")</f>
        <v>25569.375</v>
      </c>
      <c r="P282" s="9"/>
      <c r="Q282" s="9"/>
      <c r="R282" s="9" t="s">
        <v>1219</v>
      </c>
      <c r="S282" s="9"/>
      <c r="T282" s="9"/>
      <c r="U282" s="9"/>
      <c r="V282" s="9"/>
      <c r="W282" s="9"/>
      <c r="X282" s="9"/>
      <c r="Y282" s="9"/>
      <c r="Z282" s="9"/>
    </row>
    <row x14ac:dyDescent="0.25" r="283" customHeight="1" ht="18.75">
      <c r="A283" s="9"/>
      <c r="B283" s="18" t="s">
        <v>13</v>
      </c>
      <c r="C283" s="9"/>
      <c r="D283" s="9"/>
      <c r="E283" s="18" t="s">
        <v>39</v>
      </c>
      <c r="F283" s="19">
        <v>20000000</v>
      </c>
      <c r="G283" s="20">
        <v>1650000</v>
      </c>
      <c r="H283" s="21">
        <v>45774</v>
      </c>
      <c r="I283" s="22">
        <f>IF(H283&gt;0,EDATE(H283,-2),"")</f>
        <v>25569.375</v>
      </c>
      <c r="J283" s="18" t="s">
        <v>239</v>
      </c>
      <c r="K283" s="18" t="s">
        <v>1220</v>
      </c>
      <c r="L283" s="23">
        <f>IF(E283&gt;0,E283,"")</f>
      </c>
      <c r="M283" s="19" t="s">
        <v>1221</v>
      </c>
      <c r="N283" s="19" t="s">
        <v>1222</v>
      </c>
      <c r="O283" s="22">
        <f>IF(ISNUMBER(I283), EDATE(I283,36)-1, "")</f>
        <v>25569.375</v>
      </c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x14ac:dyDescent="0.25" r="284" customHeight="1" ht="18.75">
      <c r="A284" s="9"/>
      <c r="B284" s="18" t="s">
        <v>16</v>
      </c>
      <c r="C284" s="9"/>
      <c r="D284" s="9"/>
      <c r="E284" s="18" t="s">
        <v>39</v>
      </c>
      <c r="F284" s="19">
        <v>20000000</v>
      </c>
      <c r="G284" s="20">
        <v>1600000</v>
      </c>
      <c r="H284" s="21">
        <v>45839</v>
      </c>
      <c r="I284" s="22">
        <f>IF(H284&gt;0,EDATE(H284,-2),"")</f>
        <v>25569.375</v>
      </c>
      <c r="J284" s="18" t="s">
        <v>239</v>
      </c>
      <c r="K284" s="18" t="s">
        <v>1220</v>
      </c>
      <c r="L284" s="23">
        <f>IF(E284&gt;0,E284,"")</f>
      </c>
      <c r="M284" s="19" t="s">
        <v>1221</v>
      </c>
      <c r="N284" s="19" t="s">
        <v>1222</v>
      </c>
      <c r="O284" s="22">
        <f>IF(ISNUMBER(I284), EDATE(I284,36)-1, "")</f>
        <v>25569.375</v>
      </c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x14ac:dyDescent="0.25" r="285" customHeight="1" ht="18.75">
      <c r="A285" s="9"/>
      <c r="B285" s="18" t="s">
        <v>16</v>
      </c>
      <c r="C285" s="9"/>
      <c r="D285" s="9"/>
      <c r="E285" s="18" t="s">
        <v>39</v>
      </c>
      <c r="F285" s="19">
        <v>20000000</v>
      </c>
      <c r="G285" s="20">
        <v>1600000</v>
      </c>
      <c r="H285" s="21">
        <v>45902</v>
      </c>
      <c r="I285" s="22">
        <f>IF(H285&gt;0,EDATE(H285,-2),"")</f>
        <v>25569.375</v>
      </c>
      <c r="J285" s="18" t="s">
        <v>239</v>
      </c>
      <c r="K285" s="18" t="s">
        <v>1220</v>
      </c>
      <c r="L285" s="23">
        <f>IF(E285&gt;0,E285,"")</f>
      </c>
      <c r="M285" s="19" t="s">
        <v>1221</v>
      </c>
      <c r="N285" s="19" t="s">
        <v>1222</v>
      </c>
      <c r="O285" s="22">
        <f>IF(ISNUMBER(I285), EDATE(I285,36)-1, "")</f>
        <v>25569.375</v>
      </c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x14ac:dyDescent="0.25" r="286" customHeight="1" ht="18.75">
      <c r="A286" s="9"/>
      <c r="B286" s="18" t="s">
        <v>16</v>
      </c>
      <c r="C286" s="9"/>
      <c r="D286" s="9"/>
      <c r="E286" s="18" t="s">
        <v>1223</v>
      </c>
      <c r="F286" s="19">
        <v>30000000</v>
      </c>
      <c r="G286" s="20">
        <v>2058000</v>
      </c>
      <c r="H286" s="21">
        <v>45996</v>
      </c>
      <c r="I286" s="22">
        <f>IF(H286&gt;0,EDATE(H286,-2),"")</f>
        <v>25569.375</v>
      </c>
      <c r="J286" s="18" t="s">
        <v>379</v>
      </c>
      <c r="K286" s="18" t="s">
        <v>1224</v>
      </c>
      <c r="L286" s="23">
        <f>IF(E286&gt;0,E286,"")</f>
      </c>
      <c r="M286" s="19" t="s">
        <v>1225</v>
      </c>
      <c r="N286" s="19" t="s">
        <v>1226</v>
      </c>
      <c r="O286" s="22">
        <f>IF(ISNUMBER(I286), EDATE(I286,36)-1, "")</f>
        <v>25569.375</v>
      </c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x14ac:dyDescent="0.25" r="287" customHeight="1" ht="18.75">
      <c r="A287" s="9"/>
      <c r="B287" s="18" t="s">
        <v>16</v>
      </c>
      <c r="C287" s="9"/>
      <c r="D287" s="9" t="s">
        <v>18</v>
      </c>
      <c r="E287" s="18" t="s">
        <v>40</v>
      </c>
      <c r="F287" s="19">
        <v>20000000</v>
      </c>
      <c r="G287" s="20"/>
      <c r="H287" s="21">
        <v>46108</v>
      </c>
      <c r="I287" s="22">
        <f>IF(H287&gt;0,EDATE(H287,-2),"")</f>
        <v>25569.375</v>
      </c>
      <c r="J287" s="18" t="s">
        <v>182</v>
      </c>
      <c r="K287" s="18" t="s">
        <v>1227</v>
      </c>
      <c r="L287" s="23">
        <f>IF(E287&gt;0,E287,"")</f>
      </c>
      <c r="M287" s="19" t="s">
        <v>1228</v>
      </c>
      <c r="N287" s="19" t="s">
        <v>1229</v>
      </c>
      <c r="O287" s="22">
        <f>IF(ISNUMBER(I287), EDATE(I287,36)-1, "")</f>
        <v>25569.375</v>
      </c>
      <c r="P287" s="9"/>
      <c r="Q287" s="9" t="s">
        <v>166</v>
      </c>
      <c r="R287" s="9" t="s">
        <v>1230</v>
      </c>
      <c r="S287" s="9"/>
      <c r="T287" s="9"/>
      <c r="U287" s="9"/>
      <c r="V287" s="9"/>
      <c r="W287" s="9"/>
      <c r="X287" s="9"/>
      <c r="Y287" s="9"/>
      <c r="Z287" s="9"/>
    </row>
    <row x14ac:dyDescent="0.25" r="288" customHeight="1" ht="18.75">
      <c r="A288" s="9"/>
      <c r="B288" s="18" t="s">
        <v>16</v>
      </c>
      <c r="C288" s="9"/>
      <c r="D288" s="9" t="s">
        <v>18</v>
      </c>
      <c r="E288" s="18" t="s">
        <v>40</v>
      </c>
      <c r="F288" s="19">
        <v>60000000</v>
      </c>
      <c r="G288" s="20">
        <v>4056000</v>
      </c>
      <c r="H288" s="21">
        <v>46196</v>
      </c>
      <c r="I288" s="22">
        <f>IF(H288&gt;0,EDATE(H288,-2),"")</f>
        <v>25569.375</v>
      </c>
      <c r="J288" s="18" t="s">
        <v>239</v>
      </c>
      <c r="K288" s="18" t="s">
        <v>1227</v>
      </c>
      <c r="L288" s="23">
        <f>IF(E288&gt;0,E288,"")</f>
      </c>
      <c r="M288" s="19" t="s">
        <v>1228</v>
      </c>
      <c r="N288" s="19" t="s">
        <v>1229</v>
      </c>
      <c r="O288" s="22">
        <f>IF(ISNUMBER(I288), EDATE(I288,36)-1, "")</f>
        <v>25569.375</v>
      </c>
      <c r="P288" s="9"/>
      <c r="Q288" s="9" t="s">
        <v>166</v>
      </c>
      <c r="R288" s="9" t="s">
        <v>41</v>
      </c>
      <c r="S288" s="9"/>
      <c r="T288" s="9"/>
      <c r="U288" s="9"/>
      <c r="V288" s="9"/>
      <c r="W288" s="9"/>
      <c r="X288" s="9"/>
      <c r="Y288" s="9"/>
      <c r="Z288" s="9"/>
    </row>
    <row x14ac:dyDescent="0.25" r="289" customHeight="1" ht="18.75">
      <c r="A289" s="9"/>
      <c r="B289" s="18" t="s">
        <v>16</v>
      </c>
      <c r="C289" s="9"/>
      <c r="D289" s="9"/>
      <c r="E289" s="18" t="s">
        <v>42</v>
      </c>
      <c r="F289" s="19">
        <v>20000000</v>
      </c>
      <c r="G289" s="20">
        <v>1528000</v>
      </c>
      <c r="H289" s="21">
        <v>46081</v>
      </c>
      <c r="I289" s="22">
        <f>IF(H289&gt;0,EDATE(H289,-2),"")</f>
        <v>25569.375</v>
      </c>
      <c r="J289" s="18" t="s">
        <v>212</v>
      </c>
      <c r="K289" s="18" t="s">
        <v>1231</v>
      </c>
      <c r="L289" s="23">
        <f>IF(E289&gt;0,E289,"")</f>
      </c>
      <c r="M289" s="19" t="s">
        <v>1232</v>
      </c>
      <c r="N289" s="19" t="s">
        <v>1233</v>
      </c>
      <c r="O289" s="22">
        <f>IF(ISNUMBER(I289), EDATE(I289,36)-1, "")</f>
        <v>25569.375</v>
      </c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x14ac:dyDescent="0.25" r="290" customHeight="1" ht="18.75">
      <c r="A290" s="9"/>
      <c r="B290" s="18" t="s">
        <v>16</v>
      </c>
      <c r="C290" s="9"/>
      <c r="D290" s="9"/>
      <c r="E290" s="18" t="s">
        <v>43</v>
      </c>
      <c r="F290" s="19">
        <v>10000000</v>
      </c>
      <c r="G290" s="20">
        <v>800000</v>
      </c>
      <c r="H290" s="21">
        <v>46173</v>
      </c>
      <c r="I290" s="22">
        <f>IF(H290&gt;0,EDATE(H290,-2),"")</f>
        <v>25569.375</v>
      </c>
      <c r="J290" s="18" t="s">
        <v>161</v>
      </c>
      <c r="K290" s="18" t="s">
        <v>1234</v>
      </c>
      <c r="L290" s="23">
        <f>IF(E290&gt;0,E290,"")</f>
      </c>
      <c r="M290" s="19" t="s">
        <v>1235</v>
      </c>
      <c r="N290" s="19" t="s">
        <v>1236</v>
      </c>
      <c r="O290" s="22">
        <f>IF(ISNUMBER(I290), EDATE(I290,36)-1, "")</f>
        <v>25569.375</v>
      </c>
      <c r="P290" s="9" t="s">
        <v>44</v>
      </c>
      <c r="Q290" s="9" t="s">
        <v>293</v>
      </c>
      <c r="R290" s="9"/>
      <c r="S290" s="9"/>
      <c r="T290" s="9"/>
      <c r="U290" s="9"/>
      <c r="V290" s="9"/>
      <c r="W290" s="9"/>
      <c r="X290" s="9"/>
      <c r="Y290" s="9"/>
      <c r="Z290" s="9"/>
    </row>
    <row x14ac:dyDescent="0.25" r="291" customHeight="1" ht="18.75">
      <c r="A291" s="9"/>
      <c r="B291" s="18" t="s">
        <v>16</v>
      </c>
      <c r="C291" s="18" t="s">
        <v>454</v>
      </c>
      <c r="D291" s="18" t="s">
        <v>538</v>
      </c>
      <c r="E291" s="18" t="s">
        <v>1237</v>
      </c>
      <c r="F291" s="20">
        <v>10000000</v>
      </c>
      <c r="G291" s="8">
        <f>IF(F291&gt;0,_xludf.IFS(F291=10000000,1200000,F291=20000000,1800000,F291=30000000,2400000,F291=60000000,4000000),"")</f>
      </c>
      <c r="H291" s="21">
        <v>46243</v>
      </c>
      <c r="I291" s="22">
        <f>IF(H291&gt;0,EDATE(H291,-2),"")</f>
        <v>25569.375</v>
      </c>
      <c r="J291" s="18" t="s">
        <v>168</v>
      </c>
      <c r="K291" s="18" t="s">
        <v>1238</v>
      </c>
      <c r="L291" s="23">
        <f>IF(E291&gt;0,E291,"")</f>
      </c>
      <c r="M291" s="19">
        <v>6403272682812</v>
      </c>
      <c r="N291" s="19">
        <v>85567698</v>
      </c>
      <c r="O291" s="22">
        <f>IF(ISNUMBER(I291), EDATE(I291,36)-1, "")</f>
        <v>25569.375</v>
      </c>
      <c r="P291" s="18"/>
      <c r="Q291" s="18"/>
      <c r="R291" s="9"/>
      <c r="S291" s="9"/>
      <c r="T291" s="9"/>
      <c r="U291" s="9"/>
      <c r="V291" s="9"/>
      <c r="W291" s="9"/>
      <c r="X291" s="9"/>
      <c r="Y291" s="9"/>
      <c r="Z291" s="9"/>
    </row>
    <row x14ac:dyDescent="0.25" r="292" customHeight="1" ht="18.75">
      <c r="A292" s="9" t="s">
        <v>1239</v>
      </c>
      <c r="B292" s="18" t="s">
        <v>16</v>
      </c>
      <c r="C292" s="9" t="s">
        <v>48</v>
      </c>
      <c r="D292" s="9" t="s">
        <v>64</v>
      </c>
      <c r="E292" s="18" t="s">
        <v>1240</v>
      </c>
      <c r="F292" s="19">
        <v>10000000</v>
      </c>
      <c r="G292" s="20">
        <v>800000</v>
      </c>
      <c r="H292" s="21">
        <v>46161</v>
      </c>
      <c r="I292" s="22">
        <f>IF(H292&gt;0,EDATE(H292,-2),"")</f>
        <v>25569.375</v>
      </c>
      <c r="J292" s="18" t="s">
        <v>168</v>
      </c>
      <c r="K292" s="18" t="s">
        <v>1241</v>
      </c>
      <c r="L292" s="23">
        <f>IF(E292&gt;0,E292,"")</f>
      </c>
      <c r="M292" s="19" t="s">
        <v>1242</v>
      </c>
      <c r="N292" s="19">
        <v>94534435</v>
      </c>
      <c r="O292" s="22">
        <f>IF(ISNUMBER(I292), EDATE(I292,36)-1, "")</f>
        <v>25569.375</v>
      </c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x14ac:dyDescent="0.25" r="293" customHeight="1" ht="18.75">
      <c r="A293" s="9" t="s">
        <v>252</v>
      </c>
      <c r="B293" s="18" t="s">
        <v>16</v>
      </c>
      <c r="C293" s="9"/>
      <c r="D293" s="9"/>
      <c r="E293" s="18" t="s">
        <v>1240</v>
      </c>
      <c r="F293" s="19">
        <v>10000000</v>
      </c>
      <c r="G293" s="20"/>
      <c r="H293" s="21">
        <v>46161</v>
      </c>
      <c r="I293" s="22">
        <f>IF(H293&gt;0,EDATE(H293,-2),"")</f>
        <v>25569.375</v>
      </c>
      <c r="J293" s="18" t="s">
        <v>168</v>
      </c>
      <c r="K293" s="18" t="s">
        <v>1241</v>
      </c>
      <c r="L293" s="23">
        <f>IF(E293&gt;0,E293,"")</f>
      </c>
      <c r="M293" s="19" t="s">
        <v>1242</v>
      </c>
      <c r="N293" s="19">
        <v>94534435</v>
      </c>
      <c r="O293" s="22">
        <f>IF(ISNUMBER(I293), EDATE(I293,36)-1, "")</f>
        <v>25569.375</v>
      </c>
      <c r="P293" s="9"/>
      <c r="Q293" s="9"/>
      <c r="R293" s="9" t="s">
        <v>1243</v>
      </c>
      <c r="S293" s="9"/>
      <c r="T293" s="9"/>
      <c r="U293" s="9"/>
      <c r="V293" s="9"/>
      <c r="W293" s="9"/>
      <c r="X293" s="9"/>
      <c r="Y293" s="9"/>
      <c r="Z293" s="9"/>
    </row>
    <row x14ac:dyDescent="0.25" r="294" customHeight="1" ht="18.75">
      <c r="A294" s="9"/>
      <c r="B294" s="18" t="s">
        <v>16</v>
      </c>
      <c r="C294" s="9"/>
      <c r="D294" s="9"/>
      <c r="E294" s="18" t="s">
        <v>1244</v>
      </c>
      <c r="F294" s="19">
        <v>10000000</v>
      </c>
      <c r="G294" s="20">
        <v>800000</v>
      </c>
      <c r="H294" s="21">
        <v>46146</v>
      </c>
      <c r="I294" s="22">
        <f>IF(H294&gt;0,EDATE(H294,-2),"")</f>
        <v>25569.375</v>
      </c>
      <c r="J294" s="18" t="s">
        <v>168</v>
      </c>
      <c r="K294" s="18" t="s">
        <v>1245</v>
      </c>
      <c r="L294" s="23">
        <f>IF(E294&gt;0,E294,"")</f>
      </c>
      <c r="M294" s="19" t="s">
        <v>1246</v>
      </c>
      <c r="N294" s="19" t="s">
        <v>1247</v>
      </c>
      <c r="O294" s="22">
        <f>IF(ISNUMBER(I294), EDATE(I294,36)-1, "")</f>
        <v>25569.375</v>
      </c>
      <c r="P294" s="9" t="s">
        <v>1248</v>
      </c>
      <c r="Q294" s="9" t="s">
        <v>179</v>
      </c>
      <c r="R294" s="9"/>
      <c r="S294" s="9"/>
      <c r="T294" s="9"/>
      <c r="U294" s="9"/>
      <c r="V294" s="9"/>
      <c r="W294" s="9"/>
      <c r="X294" s="9"/>
      <c r="Y294" s="9"/>
      <c r="Z294" s="9"/>
    </row>
    <row x14ac:dyDescent="0.25" r="295" customHeight="1" ht="18.75">
      <c r="A295" s="9"/>
      <c r="B295" s="18" t="s">
        <v>16</v>
      </c>
      <c r="C295" s="9" t="s">
        <v>877</v>
      </c>
      <c r="D295" s="9" t="s">
        <v>92</v>
      </c>
      <c r="E295" s="18" t="s">
        <v>1249</v>
      </c>
      <c r="F295" s="19">
        <v>20000000</v>
      </c>
      <c r="G295" s="20">
        <v>1528000</v>
      </c>
      <c r="H295" s="21">
        <v>46102</v>
      </c>
      <c r="I295" s="22">
        <f>IF(H295&gt;0,EDATE(H295,-2),"")</f>
        <v>25569.375</v>
      </c>
      <c r="J295" s="18" t="s">
        <v>155</v>
      </c>
      <c r="K295" s="18" t="s">
        <v>1250</v>
      </c>
      <c r="L295" s="23">
        <f>IF(E295&gt;0,E295,"")</f>
      </c>
      <c r="M295" s="19">
        <v>609064074915</v>
      </c>
      <c r="N295" s="19">
        <v>80776965</v>
      </c>
      <c r="O295" s="22">
        <f>IF(ISNUMBER(I295), EDATE(I295,36)-1, "")</f>
        <v>25569.375</v>
      </c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x14ac:dyDescent="0.25" r="296" customHeight="1" ht="18.75">
      <c r="A296" s="9"/>
      <c r="B296" s="18" t="s">
        <v>16</v>
      </c>
      <c r="C296" s="9"/>
      <c r="D296" s="9"/>
      <c r="E296" s="18" t="s">
        <v>1251</v>
      </c>
      <c r="F296" s="19">
        <v>30000000</v>
      </c>
      <c r="G296" s="20">
        <v>2400000</v>
      </c>
      <c r="H296" s="21">
        <v>45896</v>
      </c>
      <c r="I296" s="22">
        <f>IF(H296&gt;0,EDATE(H296,-2),"")</f>
        <v>25569.375</v>
      </c>
      <c r="J296" s="18" t="s">
        <v>282</v>
      </c>
      <c r="K296" s="18" t="s">
        <v>1252</v>
      </c>
      <c r="L296" s="23">
        <f>IF(E296&gt;0,E296,"")</f>
      </c>
      <c r="M296" s="19" t="s">
        <v>1253</v>
      </c>
      <c r="N296" s="19" t="s">
        <v>1254</v>
      </c>
      <c r="O296" s="22">
        <f>IF(ISNUMBER(I296), EDATE(I296,36)-1, "")</f>
        <v>25569.375</v>
      </c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x14ac:dyDescent="0.25" r="297" customHeight="1" ht="18.75">
      <c r="A297" s="9"/>
      <c r="B297" s="18" t="s">
        <v>16</v>
      </c>
      <c r="C297" s="9"/>
      <c r="D297" s="9"/>
      <c r="E297" s="18" t="s">
        <v>1251</v>
      </c>
      <c r="F297" s="19">
        <v>30000000</v>
      </c>
      <c r="G297" s="20">
        <v>2400000</v>
      </c>
      <c r="H297" s="21">
        <v>45944</v>
      </c>
      <c r="I297" s="22">
        <f>IF(H297&gt;0,EDATE(H297,-2),"")</f>
        <v>25569.375</v>
      </c>
      <c r="J297" s="18" t="s">
        <v>282</v>
      </c>
      <c r="K297" s="18" t="s">
        <v>1252</v>
      </c>
      <c r="L297" s="23">
        <f>IF(E297&gt;0,E297,"")</f>
      </c>
      <c r="M297" s="19" t="s">
        <v>1253</v>
      </c>
      <c r="N297" s="19" t="s">
        <v>1254</v>
      </c>
      <c r="O297" s="22">
        <f>IF(ISNUMBER(I297), EDATE(I297,36)-1, "")</f>
        <v>25569.375</v>
      </c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x14ac:dyDescent="0.25" r="298" customHeight="1" ht="18.75">
      <c r="A298" s="9"/>
      <c r="B298" s="18" t="s">
        <v>16</v>
      </c>
      <c r="C298" s="9"/>
      <c r="D298" s="9"/>
      <c r="E298" s="18" t="s">
        <v>1255</v>
      </c>
      <c r="F298" s="19">
        <v>30000000</v>
      </c>
      <c r="G298" s="20">
        <v>2028000</v>
      </c>
      <c r="H298" s="21">
        <v>46162</v>
      </c>
      <c r="I298" s="22">
        <f>IF(H298&gt;0,EDATE(H298,-2),"")</f>
        <v>25569.375</v>
      </c>
      <c r="J298" s="18" t="s">
        <v>161</v>
      </c>
      <c r="K298" s="18" t="s">
        <v>1256</v>
      </c>
      <c r="L298" s="23">
        <f>IF(E298&gt;0,E298,"")</f>
      </c>
      <c r="M298" s="19" t="s">
        <v>1257</v>
      </c>
      <c r="N298" s="19" t="s">
        <v>1258</v>
      </c>
      <c r="O298" s="22">
        <f>IF(ISNUMBER(I298), EDATE(I298,36)-1, "")</f>
        <v>25569.375</v>
      </c>
      <c r="P298" s="9" t="s">
        <v>1259</v>
      </c>
      <c r="Q298" s="9" t="s">
        <v>166</v>
      </c>
      <c r="R298" s="9"/>
      <c r="S298" s="9"/>
      <c r="T298" s="9"/>
      <c r="U298" s="9"/>
      <c r="V298" s="9"/>
      <c r="W298" s="9"/>
      <c r="X298" s="9"/>
      <c r="Y298" s="9"/>
      <c r="Z298" s="9"/>
    </row>
    <row x14ac:dyDescent="0.25" r="299" customHeight="1" ht="18.75">
      <c r="A299" s="9"/>
      <c r="B299" s="18" t="s">
        <v>16</v>
      </c>
      <c r="C299" s="9"/>
      <c r="D299" s="9" t="s">
        <v>1260</v>
      </c>
      <c r="E299" s="18" t="s">
        <v>1261</v>
      </c>
      <c r="F299" s="19">
        <v>20000000</v>
      </c>
      <c r="G299" s="20">
        <v>1528000</v>
      </c>
      <c r="H299" s="21">
        <v>46147</v>
      </c>
      <c r="I299" s="22">
        <f>IF(H299&gt;0,EDATE(H299,-2),"")</f>
        <v>25569.375</v>
      </c>
      <c r="J299" s="18" t="s">
        <v>161</v>
      </c>
      <c r="K299" s="18" t="s">
        <v>1262</v>
      </c>
      <c r="L299" s="23">
        <f>IF(E299&gt;0,E299,"")</f>
      </c>
      <c r="M299" s="19" t="s">
        <v>1263</v>
      </c>
      <c r="N299" s="19" t="s">
        <v>1264</v>
      </c>
      <c r="O299" s="22">
        <f>IF(ISNUMBER(I299), EDATE(I299,36)-1, "")</f>
        <v>25569.375</v>
      </c>
      <c r="P299" s="9" t="s">
        <v>1265</v>
      </c>
      <c r="Q299" s="9" t="s">
        <v>166</v>
      </c>
      <c r="R299" s="9"/>
      <c r="S299" s="9"/>
      <c r="T299" s="9"/>
      <c r="U299" s="9"/>
      <c r="V299" s="9"/>
      <c r="W299" s="9"/>
      <c r="X299" s="9"/>
      <c r="Y299" s="9"/>
      <c r="Z299" s="9"/>
    </row>
    <row x14ac:dyDescent="0.25" r="300" customHeight="1" ht="18.75">
      <c r="A300" s="9"/>
      <c r="B300" s="18" t="s">
        <v>16</v>
      </c>
      <c r="C300" s="9"/>
      <c r="D300" s="9"/>
      <c r="E300" s="18" t="s">
        <v>1266</v>
      </c>
      <c r="F300" s="19">
        <v>20000000</v>
      </c>
      <c r="G300" s="20">
        <v>1528000</v>
      </c>
      <c r="H300" s="21">
        <v>46147</v>
      </c>
      <c r="I300" s="22">
        <f>IF(H300&gt;0,EDATE(H300,-2),"")</f>
        <v>25569.375</v>
      </c>
      <c r="J300" s="18" t="s">
        <v>155</v>
      </c>
      <c r="K300" s="18" t="s">
        <v>1262</v>
      </c>
      <c r="L300" s="23">
        <f>IF(E300&gt;0,E300,"")</f>
      </c>
      <c r="M300" s="19" t="s">
        <v>1263</v>
      </c>
      <c r="N300" s="19">
        <v>64337585</v>
      </c>
      <c r="O300" s="22">
        <f>IF(ISNUMBER(I300), EDATE(I300,36)-1, "")</f>
        <v>25569.375</v>
      </c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x14ac:dyDescent="0.25" r="301" customHeight="1" ht="18.75">
      <c r="A301" s="9"/>
      <c r="B301" s="18" t="s">
        <v>16</v>
      </c>
      <c r="C301" s="9"/>
      <c r="D301" s="9"/>
      <c r="E301" s="18" t="s">
        <v>862</v>
      </c>
      <c r="F301" s="19">
        <v>10000000</v>
      </c>
      <c r="G301" s="20">
        <v>800000</v>
      </c>
      <c r="H301" s="21">
        <v>46042</v>
      </c>
      <c r="I301" s="22">
        <f>IF(H301&gt;0,EDATE(H301,-2),"")</f>
        <v>25569.375</v>
      </c>
      <c r="J301" s="18" t="s">
        <v>234</v>
      </c>
      <c r="K301" s="18" t="s">
        <v>1267</v>
      </c>
      <c r="L301" s="23">
        <f>IF(E301&gt;0,E301,"")</f>
      </c>
      <c r="M301" s="19" t="s">
        <v>1268</v>
      </c>
      <c r="N301" s="19" t="s">
        <v>1269</v>
      </c>
      <c r="O301" s="22">
        <f>IF(ISNUMBER(I301), EDATE(I301,36)-1, "")</f>
        <v>25569.375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x14ac:dyDescent="0.25" r="302" customHeight="1" ht="18.75">
      <c r="A302" s="9"/>
      <c r="B302" s="18" t="s">
        <v>16</v>
      </c>
      <c r="C302" s="9"/>
      <c r="D302" s="9"/>
      <c r="E302" s="18" t="s">
        <v>1270</v>
      </c>
      <c r="F302" s="19">
        <v>10000000</v>
      </c>
      <c r="G302" s="20"/>
      <c r="H302" s="21">
        <v>46040</v>
      </c>
      <c r="I302" s="22">
        <f>IF(H302&gt;0,EDATE(H302,-2),"")</f>
        <v>25569.375</v>
      </c>
      <c r="J302" s="18" t="s">
        <v>940</v>
      </c>
      <c r="K302" s="18" t="s">
        <v>1271</v>
      </c>
      <c r="L302" s="23">
        <f>IF(E302&gt;0,E302,"")</f>
      </c>
      <c r="M302" s="19" t="s">
        <v>1272</v>
      </c>
      <c r="N302" s="19" t="s">
        <v>1273</v>
      </c>
      <c r="O302" s="22">
        <f>IF(ISNUMBER(I302), EDATE(I302,36)-1, "")</f>
        <v>25569.375</v>
      </c>
      <c r="P302" s="9"/>
      <c r="Q302" s="9"/>
      <c r="R302" s="9" t="s">
        <v>1274</v>
      </c>
      <c r="S302" s="9"/>
      <c r="T302" s="9"/>
      <c r="U302" s="9"/>
      <c r="V302" s="9"/>
      <c r="W302" s="9"/>
      <c r="X302" s="9"/>
      <c r="Y302" s="9"/>
      <c r="Z302" s="9"/>
    </row>
    <row x14ac:dyDescent="0.25" r="303" customHeight="1" ht="18.75">
      <c r="A303" s="9"/>
      <c r="B303" s="18" t="s">
        <v>16</v>
      </c>
      <c r="C303" s="9"/>
      <c r="D303" s="9"/>
      <c r="E303" s="18" t="s">
        <v>1270</v>
      </c>
      <c r="F303" s="19">
        <v>20000000</v>
      </c>
      <c r="G303" s="20">
        <v>1528000</v>
      </c>
      <c r="H303" s="21">
        <v>46046</v>
      </c>
      <c r="I303" s="22">
        <f>IF(H303&gt;0,EDATE(H303,-2),"")</f>
        <v>25569.375</v>
      </c>
      <c r="J303" s="18" t="s">
        <v>205</v>
      </c>
      <c r="K303" s="18" t="s">
        <v>1271</v>
      </c>
      <c r="L303" s="23">
        <f>IF(E303&gt;0,E303,"")</f>
      </c>
      <c r="M303" s="19" t="s">
        <v>1272</v>
      </c>
      <c r="N303" s="19" t="s">
        <v>1273</v>
      </c>
      <c r="O303" s="22">
        <f>IF(ISNUMBER(I303), EDATE(I303,36)-1, "")</f>
        <v>25569.375</v>
      </c>
      <c r="P303" s="9"/>
      <c r="Q303" s="9"/>
      <c r="R303" s="9" t="s">
        <v>63</v>
      </c>
      <c r="S303" s="9"/>
      <c r="T303" s="9"/>
      <c r="U303" s="9"/>
      <c r="V303" s="9"/>
      <c r="W303" s="9"/>
      <c r="X303" s="9"/>
      <c r="Y303" s="9"/>
      <c r="Z303" s="9"/>
    </row>
    <row x14ac:dyDescent="0.25" r="304" customHeight="1" ht="18.75">
      <c r="A304" s="9"/>
      <c r="B304" s="18" t="s">
        <v>16</v>
      </c>
      <c r="C304" s="9"/>
      <c r="D304" s="9" t="s">
        <v>75</v>
      </c>
      <c r="E304" s="18" t="s">
        <v>1275</v>
      </c>
      <c r="F304" s="19">
        <v>10000000</v>
      </c>
      <c r="G304" s="20">
        <v>500000</v>
      </c>
      <c r="H304" s="21">
        <v>46154</v>
      </c>
      <c r="I304" s="22">
        <f>IF(H304&gt;0,EDATE(H304,-2),"")</f>
        <v>25569.375</v>
      </c>
      <c r="J304" s="18" t="s">
        <v>302</v>
      </c>
      <c r="K304" s="18" t="s">
        <v>1276</v>
      </c>
      <c r="L304" s="23">
        <f>IF(E304&gt;0,E304,"")</f>
      </c>
      <c r="M304" s="19" t="s">
        <v>1277</v>
      </c>
      <c r="N304" s="19" t="s">
        <v>1278</v>
      </c>
      <c r="O304" s="22">
        <f>IF(ISNUMBER(I304), EDATE(I304,36)-1, "")</f>
        <v>25569.375</v>
      </c>
      <c r="P304" s="9" t="s">
        <v>1279</v>
      </c>
      <c r="Q304" s="9" t="s">
        <v>166</v>
      </c>
      <c r="R304" s="9"/>
      <c r="S304" s="9"/>
      <c r="T304" s="9"/>
      <c r="U304" s="9"/>
      <c r="V304" s="9"/>
      <c r="W304" s="9"/>
      <c r="X304" s="9"/>
      <c r="Y304" s="9"/>
      <c r="Z304" s="9"/>
    </row>
    <row x14ac:dyDescent="0.25" r="305" customHeight="1" ht="18.75">
      <c r="A305" s="24"/>
      <c r="B305" s="25" t="s">
        <v>16</v>
      </c>
      <c r="C305" s="24"/>
      <c r="D305" s="24"/>
      <c r="E305" s="25" t="s">
        <v>1280</v>
      </c>
      <c r="F305" s="26">
        <v>10000000</v>
      </c>
      <c r="G305" s="27"/>
      <c r="H305" s="28">
        <v>46152</v>
      </c>
      <c r="I305" s="29">
        <f>IF(H305&gt;0,EDATE(H305,-2),"")</f>
        <v>25569.375</v>
      </c>
      <c r="J305" s="25" t="s">
        <v>168</v>
      </c>
      <c r="K305" s="25" t="s">
        <v>1281</v>
      </c>
      <c r="L305" s="30">
        <f>IF(E305&gt;0,E305,"")</f>
      </c>
      <c r="M305" s="26" t="s">
        <v>1282</v>
      </c>
      <c r="N305" s="26" t="s">
        <v>1283</v>
      </c>
      <c r="O305" s="29">
        <f>IF(ISNUMBER(I305), EDATE(I305,36)-1, "")</f>
        <v>25569.375</v>
      </c>
      <c r="P305" s="24"/>
      <c r="Q305" s="24" t="s">
        <v>166</v>
      </c>
      <c r="R305" s="24"/>
      <c r="S305" s="9"/>
      <c r="T305" s="9"/>
      <c r="U305" s="9"/>
      <c r="V305" s="9"/>
      <c r="W305" s="9"/>
      <c r="X305" s="9"/>
      <c r="Y305" s="9"/>
      <c r="Z305" s="9"/>
    </row>
    <row x14ac:dyDescent="0.25" r="306" customHeight="1" ht="18.75">
      <c r="A306" s="9"/>
      <c r="B306" s="18" t="s">
        <v>16</v>
      </c>
      <c r="C306" s="9"/>
      <c r="D306" s="9"/>
      <c r="E306" s="18" t="s">
        <v>1260</v>
      </c>
      <c r="F306" s="19">
        <v>20000000</v>
      </c>
      <c r="G306" s="20">
        <v>1528000</v>
      </c>
      <c r="H306" s="21">
        <v>46110</v>
      </c>
      <c r="I306" s="22">
        <f>IF(H306&gt;0,EDATE(H306,-2),"")</f>
        <v>25569.375</v>
      </c>
      <c r="J306" s="18" t="s">
        <v>234</v>
      </c>
      <c r="K306" s="18" t="s">
        <v>1284</v>
      </c>
      <c r="L306" s="23">
        <f>IF(E306&gt;0,E306,"")</f>
      </c>
      <c r="M306" s="19" t="s">
        <v>1285</v>
      </c>
      <c r="N306" s="19" t="s">
        <v>1286</v>
      </c>
      <c r="O306" s="22">
        <f>IF(ISNUMBER(I306), EDATE(I306,36)-1, "")</f>
        <v>25569.375</v>
      </c>
      <c r="P306" s="9"/>
      <c r="Q306" s="9" t="s">
        <v>166</v>
      </c>
      <c r="R306" s="9"/>
      <c r="S306" s="9"/>
      <c r="T306" s="9"/>
      <c r="U306" s="9"/>
      <c r="V306" s="9"/>
      <c r="W306" s="9"/>
      <c r="X306" s="9"/>
      <c r="Y306" s="9"/>
      <c r="Z306" s="9"/>
    </row>
    <row x14ac:dyDescent="0.25" r="307" customHeight="1" ht="18.75">
      <c r="A307" s="9"/>
      <c r="B307" s="18" t="s">
        <v>16</v>
      </c>
      <c r="C307" s="9"/>
      <c r="D307" s="9"/>
      <c r="E307" s="18" t="s">
        <v>1287</v>
      </c>
      <c r="F307" s="19">
        <v>20000000</v>
      </c>
      <c r="G307" s="20">
        <v>1600000</v>
      </c>
      <c r="H307" s="21">
        <v>45869</v>
      </c>
      <c r="I307" s="22">
        <f>IF(H307&gt;0,EDATE(H307,-2),"")</f>
        <v>25569.375</v>
      </c>
      <c r="J307" s="18" t="s">
        <v>155</v>
      </c>
      <c r="K307" s="18" t="s">
        <v>1288</v>
      </c>
      <c r="L307" s="23">
        <f>IF(E307&gt;0,E307,"")</f>
      </c>
      <c r="M307" s="19" t="s">
        <v>1289</v>
      </c>
      <c r="N307" s="19" t="s">
        <v>1290</v>
      </c>
      <c r="O307" s="22">
        <f>IF(ISNUMBER(I307), EDATE(I307,36)-1, "")</f>
        <v>25569.375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x14ac:dyDescent="0.25" r="308" customHeight="1" ht="18.75">
      <c r="A308" s="9"/>
      <c r="B308" s="18" t="s">
        <v>16</v>
      </c>
      <c r="C308" s="9" t="s">
        <v>816</v>
      </c>
      <c r="D308" s="9" t="s">
        <v>114</v>
      </c>
      <c r="E308" s="18" t="s">
        <v>1291</v>
      </c>
      <c r="F308" s="19">
        <v>30000000</v>
      </c>
      <c r="G308" s="20">
        <v>2400000</v>
      </c>
      <c r="H308" s="21">
        <v>46217</v>
      </c>
      <c r="I308" s="22">
        <f>IF(H308&gt;0,EDATE(H308,-2),"")</f>
        <v>25569.375</v>
      </c>
      <c r="J308" s="18" t="s">
        <v>239</v>
      </c>
      <c r="K308" s="18" t="s">
        <v>1292</v>
      </c>
      <c r="L308" s="23">
        <f>IF(E308&gt;0,E308,"")</f>
      </c>
      <c r="M308" s="19" t="s">
        <v>1293</v>
      </c>
      <c r="N308" s="19">
        <v>64956019</v>
      </c>
      <c r="O308" s="22">
        <f>IF(ISNUMBER(I308), EDATE(I308,36)-1, "")</f>
        <v>25569.375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x14ac:dyDescent="0.25" r="309" customHeight="1" ht="18.75">
      <c r="A309" s="9"/>
      <c r="B309" s="18" t="s">
        <v>16</v>
      </c>
      <c r="C309" s="9"/>
      <c r="D309" s="9" t="s">
        <v>1294</v>
      </c>
      <c r="E309" s="18" t="s">
        <v>1295</v>
      </c>
      <c r="F309" s="19">
        <v>20000000</v>
      </c>
      <c r="G309" s="20">
        <v>1528000</v>
      </c>
      <c r="H309" s="21">
        <v>46092</v>
      </c>
      <c r="I309" s="22">
        <f>IF(H309&gt;0,EDATE(H309,-2),"")</f>
        <v>25569.375</v>
      </c>
      <c r="J309" s="18" t="s">
        <v>282</v>
      </c>
      <c r="K309" s="18" t="s">
        <v>1296</v>
      </c>
      <c r="L309" s="23">
        <f>IF(E309&gt;0,E309,"")</f>
      </c>
      <c r="M309" s="19" t="s">
        <v>1297</v>
      </c>
      <c r="N309" s="19" t="s">
        <v>1298</v>
      </c>
      <c r="O309" s="22">
        <f>IF(ISNUMBER(I309), EDATE(I309,36)-1, "")</f>
        <v>25569.375</v>
      </c>
      <c r="P309" s="9" t="s">
        <v>1299</v>
      </c>
      <c r="Q309" s="9" t="s">
        <v>166</v>
      </c>
      <c r="R309" s="9" t="s">
        <v>1300</v>
      </c>
      <c r="S309" s="9"/>
      <c r="T309" s="9"/>
      <c r="U309" s="9"/>
      <c r="V309" s="9"/>
      <c r="W309" s="9"/>
      <c r="X309" s="9"/>
      <c r="Y309" s="9"/>
      <c r="Z309" s="9"/>
    </row>
    <row x14ac:dyDescent="0.25" r="310" customHeight="1" ht="18.75">
      <c r="A310" s="9"/>
      <c r="B310" s="18" t="s">
        <v>16</v>
      </c>
      <c r="C310" s="9" t="s">
        <v>454</v>
      </c>
      <c r="D310" s="9"/>
      <c r="E310" s="18" t="s">
        <v>1301</v>
      </c>
      <c r="F310" s="19">
        <v>10000000</v>
      </c>
      <c r="G310" s="20">
        <v>800000</v>
      </c>
      <c r="H310" s="21">
        <v>46090</v>
      </c>
      <c r="I310" s="22">
        <f>IF(H310&gt;0,EDATE(H310,-2),"")</f>
        <v>25569.375</v>
      </c>
      <c r="J310" s="18" t="s">
        <v>168</v>
      </c>
      <c r="K310" s="18" t="s">
        <v>1302</v>
      </c>
      <c r="L310" s="23">
        <f>IF(E310&gt;0,E310,"")</f>
      </c>
      <c r="M310" s="19" t="s">
        <v>1303</v>
      </c>
      <c r="N310" s="19" t="s">
        <v>1304</v>
      </c>
      <c r="O310" s="22">
        <f>IF(ISNUMBER(I310), EDATE(I310,36)-1, "")</f>
        <v>25569.375</v>
      </c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x14ac:dyDescent="0.25" r="311" customHeight="1" ht="18.75">
      <c r="A311" s="9"/>
      <c r="B311" s="18" t="s">
        <v>16</v>
      </c>
      <c r="C311" s="9" t="s">
        <v>454</v>
      </c>
      <c r="D311" s="9"/>
      <c r="E311" s="18" t="s">
        <v>1305</v>
      </c>
      <c r="F311" s="19">
        <v>10000000</v>
      </c>
      <c r="G311" s="20">
        <v>800000</v>
      </c>
      <c r="H311" s="21">
        <v>46154</v>
      </c>
      <c r="I311" s="22">
        <f>IF(H311&gt;0,EDATE(H311,-2),"")</f>
        <v>25569.375</v>
      </c>
      <c r="J311" s="18" t="s">
        <v>282</v>
      </c>
      <c r="K311" s="18" t="s">
        <v>1302</v>
      </c>
      <c r="L311" s="23">
        <f>IF(E311&gt;0,E311,"")</f>
      </c>
      <c r="M311" s="19" t="s">
        <v>1306</v>
      </c>
      <c r="N311" s="19" t="s">
        <v>1307</v>
      </c>
      <c r="O311" s="22">
        <f>IF(ISNUMBER(I311), EDATE(I311,36)-1, "")</f>
        <v>25569.375</v>
      </c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x14ac:dyDescent="0.25" r="312" customHeight="1" ht="18.75">
      <c r="A312" s="9" t="s">
        <v>152</v>
      </c>
      <c r="B312" s="18" t="s">
        <v>16</v>
      </c>
      <c r="C312" s="9" t="s">
        <v>55</v>
      </c>
      <c r="D312" s="9" t="s">
        <v>56</v>
      </c>
      <c r="E312" s="18" t="s">
        <v>1305</v>
      </c>
      <c r="F312" s="19">
        <v>20000000</v>
      </c>
      <c r="G312" s="20">
        <v>1528000</v>
      </c>
      <c r="H312" s="21">
        <v>46209</v>
      </c>
      <c r="I312" s="22">
        <f>IF(H312&gt;0,EDATE(H312,-2),"")</f>
        <v>25569.375</v>
      </c>
      <c r="J312" s="18" t="s">
        <v>168</v>
      </c>
      <c r="K312" s="18" t="s">
        <v>1308</v>
      </c>
      <c r="L312" s="23">
        <f>IF(E312&gt;0,E312,"")</f>
      </c>
      <c r="M312" s="19" t="s">
        <v>1309</v>
      </c>
      <c r="N312" s="19">
        <v>87852273</v>
      </c>
      <c r="O312" s="22">
        <f>IF(ISNUMBER(I312), EDATE(I312,36)-1, "")</f>
        <v>25569.375</v>
      </c>
      <c r="P312" s="9"/>
      <c r="Q312" s="9"/>
      <c r="R312" s="9" t="s">
        <v>1310</v>
      </c>
      <c r="S312" s="9"/>
      <c r="T312" s="9"/>
      <c r="U312" s="9"/>
      <c r="V312" s="9"/>
      <c r="W312" s="9"/>
      <c r="X312" s="9"/>
      <c r="Y312" s="9"/>
      <c r="Z312" s="9"/>
    </row>
    <row x14ac:dyDescent="0.25" r="313" customHeight="1" ht="18.75">
      <c r="A313" s="9"/>
      <c r="B313" s="18" t="s">
        <v>16</v>
      </c>
      <c r="C313" s="9" t="s">
        <v>143</v>
      </c>
      <c r="D313" s="9" t="s">
        <v>14</v>
      </c>
      <c r="E313" s="18" t="s">
        <v>1311</v>
      </c>
      <c r="F313" s="19">
        <v>10000000</v>
      </c>
      <c r="G313" s="20">
        <v>1200000</v>
      </c>
      <c r="H313" s="21">
        <v>46231</v>
      </c>
      <c r="I313" s="22">
        <f>IF(H313&gt;0,EDATE(H313,-2),"")</f>
        <v>25569.375</v>
      </c>
      <c r="J313" s="18" t="s">
        <v>155</v>
      </c>
      <c r="K313" s="18" t="s">
        <v>1312</v>
      </c>
      <c r="L313" s="23">
        <f>IF(E313&gt;0,E313,"")</f>
      </c>
      <c r="M313" s="19">
        <v>6310261667616</v>
      </c>
      <c r="N313" s="19">
        <v>52663391</v>
      </c>
      <c r="O313" s="22">
        <f>IF(ISNUMBER(I313), EDATE(I313,36)-1, "")</f>
        <v>25569.375</v>
      </c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x14ac:dyDescent="0.25" r="314" customHeight="1" ht="18.75">
      <c r="A314" s="9"/>
      <c r="B314" s="18" t="s">
        <v>16</v>
      </c>
      <c r="C314" s="9"/>
      <c r="D314" s="9"/>
      <c r="E314" s="18" t="s">
        <v>1313</v>
      </c>
      <c r="F314" s="19">
        <v>10000000</v>
      </c>
      <c r="G314" s="20">
        <v>800000</v>
      </c>
      <c r="H314" s="21">
        <v>46030</v>
      </c>
      <c r="I314" s="22">
        <f>IF(H314&gt;0,EDATE(H314,-2),"")</f>
        <v>25569.375</v>
      </c>
      <c r="J314" s="18" t="s">
        <v>182</v>
      </c>
      <c r="K314" s="18" t="s">
        <v>1314</v>
      </c>
      <c r="L314" s="23">
        <f>IF(E314&gt;0,E314,"")</f>
      </c>
      <c r="M314" s="19" t="s">
        <v>1315</v>
      </c>
      <c r="N314" s="19" t="s">
        <v>1316</v>
      </c>
      <c r="O314" s="22">
        <f>IF(ISNUMBER(I314), EDATE(I314,36)-1, "")</f>
        <v>25569.375</v>
      </c>
      <c r="P314" s="9"/>
      <c r="Q314" s="9" t="s">
        <v>1317</v>
      </c>
      <c r="R314" s="9"/>
      <c r="S314" s="9"/>
      <c r="T314" s="9"/>
      <c r="U314" s="9"/>
      <c r="V314" s="9"/>
      <c r="W314" s="9"/>
      <c r="X314" s="9"/>
      <c r="Y314" s="9"/>
      <c r="Z314" s="9"/>
    </row>
    <row x14ac:dyDescent="0.25" r="315" customHeight="1" ht="18.75">
      <c r="A315" s="9"/>
      <c r="B315" s="18" t="s">
        <v>16</v>
      </c>
      <c r="C315" s="9"/>
      <c r="D315" s="9"/>
      <c r="E315" s="18" t="s">
        <v>45</v>
      </c>
      <c r="F315" s="19">
        <v>60000000</v>
      </c>
      <c r="G315" s="20">
        <v>4800000</v>
      </c>
      <c r="H315" s="21">
        <v>46042</v>
      </c>
      <c r="I315" s="22">
        <f>IF(H315&gt;0,EDATE(H315,-2),"")</f>
        <v>25569.375</v>
      </c>
      <c r="J315" s="18" t="s">
        <v>168</v>
      </c>
      <c r="K315" s="18" t="s">
        <v>1318</v>
      </c>
      <c r="L315" s="23">
        <f>IF(E315&gt;0,E315,"")</f>
      </c>
      <c r="M315" s="19" t="s">
        <v>1319</v>
      </c>
      <c r="N315" s="19">
        <v>90292169</v>
      </c>
      <c r="O315" s="22">
        <f>IF(ISNUMBER(I315), EDATE(I315,36)-1, "")</f>
        <v>25569.375</v>
      </c>
      <c r="P315" s="9"/>
      <c r="Q315" s="9"/>
      <c r="R315" s="9" t="s">
        <v>46</v>
      </c>
      <c r="S315" s="9"/>
      <c r="T315" s="9"/>
      <c r="U315" s="9"/>
      <c r="V315" s="9"/>
      <c r="W315" s="9"/>
      <c r="X315" s="9"/>
      <c r="Y315" s="9"/>
      <c r="Z315" s="9"/>
    </row>
    <row x14ac:dyDescent="0.25" r="316" customHeight="1" ht="18.75">
      <c r="A316" s="9"/>
      <c r="B316" s="18" t="s">
        <v>16</v>
      </c>
      <c r="C316" s="9"/>
      <c r="D316" s="9"/>
      <c r="E316" s="18" t="s">
        <v>45</v>
      </c>
      <c r="F316" s="19">
        <v>60000000</v>
      </c>
      <c r="G316" s="20">
        <v>4800000</v>
      </c>
      <c r="H316" s="21">
        <v>45876</v>
      </c>
      <c r="I316" s="22">
        <f>IF(H316&gt;0,EDATE(H316,-2),"")</f>
        <v>25569.375</v>
      </c>
      <c r="J316" s="18" t="s">
        <v>168</v>
      </c>
      <c r="K316" s="18" t="s">
        <v>1318</v>
      </c>
      <c r="L316" s="23">
        <f>IF(E316&gt;0,E316,"")</f>
      </c>
      <c r="M316" s="19" t="s">
        <v>1319</v>
      </c>
      <c r="N316" s="19">
        <v>90292169</v>
      </c>
      <c r="O316" s="22">
        <f>IF(ISNUMBER(I316), EDATE(I316,36)-1, "")</f>
        <v>25569.375</v>
      </c>
      <c r="P316" s="9"/>
      <c r="Q316" s="9"/>
      <c r="R316" s="9" t="s">
        <v>1320</v>
      </c>
      <c r="S316" s="9"/>
      <c r="T316" s="9"/>
      <c r="U316" s="9"/>
      <c r="V316" s="9"/>
      <c r="W316" s="9"/>
      <c r="X316" s="9"/>
      <c r="Y316" s="9"/>
      <c r="Z316" s="9"/>
    </row>
    <row x14ac:dyDescent="0.25" r="317" customHeight="1" ht="18.75">
      <c r="A317" s="9"/>
      <c r="B317" s="18" t="s">
        <v>16</v>
      </c>
      <c r="C317" s="9"/>
      <c r="D317" s="9"/>
      <c r="E317" s="18" t="s">
        <v>327</v>
      </c>
      <c r="F317" s="19">
        <v>60000000</v>
      </c>
      <c r="G317" s="20">
        <v>4800000</v>
      </c>
      <c r="H317" s="21">
        <v>45904</v>
      </c>
      <c r="I317" s="22">
        <f>IF(H317&gt;0,EDATE(H317,-2),"")</f>
        <v>25569.375</v>
      </c>
      <c r="J317" s="18" t="s">
        <v>174</v>
      </c>
      <c r="K317" s="18" t="s">
        <v>1321</v>
      </c>
      <c r="L317" s="23">
        <f>IF(E317&gt;0,E317,"")</f>
      </c>
      <c r="M317" s="19" t="s">
        <v>1322</v>
      </c>
      <c r="N317" s="19" t="s">
        <v>1323</v>
      </c>
      <c r="O317" s="22">
        <f>IF(ISNUMBER(I317), EDATE(I317,36)-1, "")</f>
        <v>25569.375</v>
      </c>
      <c r="P317" s="9"/>
      <c r="Q317" s="9"/>
      <c r="R317" s="31" t="s">
        <v>1324</v>
      </c>
      <c r="S317" s="9"/>
      <c r="T317" s="9"/>
      <c r="U317" s="9"/>
      <c r="V317" s="9"/>
      <c r="W317" s="9"/>
      <c r="X317" s="9"/>
      <c r="Y317" s="9"/>
      <c r="Z317" s="9"/>
    </row>
    <row x14ac:dyDescent="0.25" r="318" customHeight="1" ht="18.75">
      <c r="A318" s="9"/>
      <c r="B318" s="18" t="s">
        <v>16</v>
      </c>
      <c r="C318" s="9" t="s">
        <v>454</v>
      </c>
      <c r="D318" s="9" t="s">
        <v>1325</v>
      </c>
      <c r="E318" s="18" t="s">
        <v>327</v>
      </c>
      <c r="F318" s="19">
        <v>10000000</v>
      </c>
      <c r="G318" s="20">
        <v>1200000</v>
      </c>
      <c r="H318" s="21">
        <v>46210</v>
      </c>
      <c r="I318" s="22">
        <f>IF(H318&gt;0,EDATE(H318,-2),"")</f>
        <v>25569.375</v>
      </c>
      <c r="J318" s="18" t="s">
        <v>155</v>
      </c>
      <c r="K318" s="18" t="s">
        <v>1326</v>
      </c>
      <c r="L318" s="23">
        <f>IF(E318&gt;0,E318,"")</f>
      </c>
      <c r="M318" s="19" t="s">
        <v>1327</v>
      </c>
      <c r="N318" s="19">
        <v>93125320</v>
      </c>
      <c r="O318" s="22">
        <f>IF(ISNUMBER(I318), EDATE(I318,36)-1, "")</f>
        <v>25569.375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x14ac:dyDescent="0.25" r="319" customHeight="1" ht="18.75">
      <c r="A319" s="9"/>
      <c r="B319" s="18" t="s">
        <v>16</v>
      </c>
      <c r="C319" s="9"/>
      <c r="D319" s="9"/>
      <c r="E319" s="18" t="s">
        <v>1328</v>
      </c>
      <c r="F319" s="19">
        <v>60000000</v>
      </c>
      <c r="G319" s="20">
        <v>4800000</v>
      </c>
      <c r="H319" s="21">
        <v>45915</v>
      </c>
      <c r="I319" s="22">
        <f>IF(H319&gt;0,EDATE(H319,-2),"")</f>
        <v>25569.375</v>
      </c>
      <c r="J319" s="18" t="s">
        <v>239</v>
      </c>
      <c r="K319" s="18" t="s">
        <v>1329</v>
      </c>
      <c r="L319" s="23">
        <f>IF(E319&gt;0,E319,"")</f>
      </c>
      <c r="M319" s="19" t="s">
        <v>1330</v>
      </c>
      <c r="N319" s="19" t="s">
        <v>1331</v>
      </c>
      <c r="O319" s="22">
        <f>IF(ISNUMBER(I319), EDATE(I319,36)-1, "")</f>
        <v>25569.375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x14ac:dyDescent="0.25" r="320" customHeight="1" ht="18.75">
      <c r="A320" s="9"/>
      <c r="B320" s="18" t="s">
        <v>16</v>
      </c>
      <c r="C320" s="9" t="s">
        <v>419</v>
      </c>
      <c r="D320" s="9" t="s">
        <v>1332</v>
      </c>
      <c r="E320" s="18" t="s">
        <v>1333</v>
      </c>
      <c r="F320" s="19">
        <v>10000000</v>
      </c>
      <c r="G320" s="20">
        <v>1200000</v>
      </c>
      <c r="H320" s="21">
        <v>46231</v>
      </c>
      <c r="I320" s="22">
        <f>IF(H320&gt;0,EDATE(H320,-2),"")</f>
        <v>25569.375</v>
      </c>
      <c r="J320" s="18" t="s">
        <v>699</v>
      </c>
      <c r="K320" s="18" t="s">
        <v>1334</v>
      </c>
      <c r="L320" s="23">
        <f>IF(E320&gt;0,E320,"")</f>
      </c>
      <c r="M320" s="19">
        <v>6302222473635</v>
      </c>
      <c r="N320" s="19">
        <v>23300536</v>
      </c>
      <c r="O320" s="22">
        <f>IF(ISNUMBER(I320), EDATE(I320,36)-1, "")</f>
        <v>25569.375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x14ac:dyDescent="0.25" r="321" customHeight="1" ht="18.75">
      <c r="A321" s="9"/>
      <c r="B321" s="18" t="s">
        <v>16</v>
      </c>
      <c r="C321" s="9"/>
      <c r="D321" s="9" t="s">
        <v>22</v>
      </c>
      <c r="E321" s="18" t="s">
        <v>1335</v>
      </c>
      <c r="F321" s="19">
        <v>60000000</v>
      </c>
      <c r="G321" s="20">
        <v>4056000</v>
      </c>
      <c r="H321" s="21">
        <v>46122</v>
      </c>
      <c r="I321" s="22">
        <f>IF(H321&gt;0,EDATE(H321,-2),"")</f>
        <v>25569.375</v>
      </c>
      <c r="J321" s="18" t="s">
        <v>306</v>
      </c>
      <c r="K321" s="18" t="s">
        <v>1336</v>
      </c>
      <c r="L321" s="23">
        <f>IF(E321&gt;0,E321,"")</f>
      </c>
      <c r="M321" s="19" t="s">
        <v>1337</v>
      </c>
      <c r="N321" s="19" t="s">
        <v>1338</v>
      </c>
      <c r="O321" s="22">
        <f>IF(ISNUMBER(I321), EDATE(I321,36)-1, "")</f>
        <v>25569.375</v>
      </c>
      <c r="P321" s="9"/>
      <c r="Q321" s="9" t="s">
        <v>166</v>
      </c>
      <c r="R321" s="9"/>
      <c r="S321" s="9"/>
      <c r="T321" s="9"/>
      <c r="U321" s="9"/>
      <c r="V321" s="9"/>
      <c r="W321" s="9"/>
      <c r="X321" s="9"/>
      <c r="Y321" s="9"/>
      <c r="Z321" s="9"/>
    </row>
    <row x14ac:dyDescent="0.25" r="322" customHeight="1" ht="18.75">
      <c r="A322" s="9"/>
      <c r="B322" s="18" t="s">
        <v>16</v>
      </c>
      <c r="C322" s="9"/>
      <c r="D322" s="9" t="s">
        <v>22</v>
      </c>
      <c r="E322" s="18" t="s">
        <v>47</v>
      </c>
      <c r="F322" s="19">
        <v>10000000</v>
      </c>
      <c r="G322" s="20">
        <v>800000</v>
      </c>
      <c r="H322" s="21">
        <v>46156</v>
      </c>
      <c r="I322" s="22">
        <f>IF(H322&gt;0,EDATE(H322,-2),"")</f>
        <v>25569.375</v>
      </c>
      <c r="J322" s="18" t="s">
        <v>168</v>
      </c>
      <c r="K322" s="18" t="s">
        <v>1339</v>
      </c>
      <c r="L322" s="23">
        <f>IF(E322&gt;0,E322,"")</f>
      </c>
      <c r="M322" s="19" t="s">
        <v>1340</v>
      </c>
      <c r="N322" s="19" t="s">
        <v>1341</v>
      </c>
      <c r="O322" s="22">
        <f>IF(ISNUMBER(I322), EDATE(I322,36)-1, "")</f>
        <v>25569.375</v>
      </c>
      <c r="P322" s="9"/>
      <c r="Q322" s="9" t="s">
        <v>293</v>
      </c>
      <c r="R322" s="9"/>
      <c r="S322" s="9"/>
      <c r="T322" s="9"/>
      <c r="U322" s="9"/>
      <c r="V322" s="9"/>
      <c r="W322" s="9"/>
      <c r="X322" s="9"/>
      <c r="Y322" s="9"/>
      <c r="Z322" s="9"/>
    </row>
    <row x14ac:dyDescent="0.25" r="323" customHeight="1" ht="18.75">
      <c r="A323" s="9"/>
      <c r="B323" s="18" t="s">
        <v>16</v>
      </c>
      <c r="C323" s="9"/>
      <c r="D323" s="9" t="s">
        <v>1260</v>
      </c>
      <c r="E323" s="18" t="s">
        <v>1342</v>
      </c>
      <c r="F323" s="19">
        <v>10000000</v>
      </c>
      <c r="G323" s="20">
        <v>1200000</v>
      </c>
      <c r="H323" s="21">
        <v>46201</v>
      </c>
      <c r="I323" s="22">
        <f>IF(H323&gt;0,EDATE(H323,-2),"")</f>
        <v>25569.375</v>
      </c>
      <c r="J323" s="18" t="s">
        <v>302</v>
      </c>
      <c r="K323" s="18" t="s">
        <v>1343</v>
      </c>
      <c r="L323" s="23">
        <f>IF(E323&gt;0,E323,"")</f>
      </c>
      <c r="M323" s="19" t="s">
        <v>1344</v>
      </c>
      <c r="N323" s="19" t="s">
        <v>1345</v>
      </c>
      <c r="O323" s="22">
        <f>IF(ISNUMBER(I323), EDATE(I323,36)-1, "")</f>
        <v>25569.375</v>
      </c>
      <c r="P323" s="9" t="s">
        <v>1346</v>
      </c>
      <c r="Q323" s="9" t="s">
        <v>166</v>
      </c>
      <c r="R323" s="9"/>
      <c r="S323" s="9"/>
      <c r="T323" s="9"/>
      <c r="U323" s="9"/>
      <c r="V323" s="9"/>
      <c r="W323" s="9"/>
      <c r="X323" s="9"/>
      <c r="Y323" s="9"/>
      <c r="Z323" s="9"/>
    </row>
    <row x14ac:dyDescent="0.25" r="324" customHeight="1" ht="18.75">
      <c r="A324" s="9"/>
      <c r="B324" s="18" t="s">
        <v>16</v>
      </c>
      <c r="C324" s="9" t="s">
        <v>143</v>
      </c>
      <c r="D324" s="9" t="s">
        <v>22</v>
      </c>
      <c r="E324" s="18" t="s">
        <v>1347</v>
      </c>
      <c r="F324" s="19">
        <v>10000000</v>
      </c>
      <c r="G324" s="20">
        <v>800000</v>
      </c>
      <c r="H324" s="21">
        <v>46149</v>
      </c>
      <c r="I324" s="22">
        <f>IF(H324&gt;0,EDATE(H324,-2),"")</f>
        <v>25569.375</v>
      </c>
      <c r="J324" s="18" t="s">
        <v>239</v>
      </c>
      <c r="K324" s="18" t="s">
        <v>1348</v>
      </c>
      <c r="L324" s="23">
        <f>IF(E324&gt;0,E324,"")</f>
      </c>
      <c r="M324" s="19" t="s">
        <v>1349</v>
      </c>
      <c r="N324" s="19" t="s">
        <v>1350</v>
      </c>
      <c r="O324" s="22">
        <f>IF(ISNUMBER(I324), EDATE(I324,36)-1, "")</f>
        <v>25569.375</v>
      </c>
      <c r="P324" s="9" t="s">
        <v>1351</v>
      </c>
      <c r="Q324" s="9" t="s">
        <v>293</v>
      </c>
      <c r="R324" s="9"/>
      <c r="S324" s="9"/>
      <c r="T324" s="9"/>
      <c r="U324" s="9"/>
      <c r="V324" s="9"/>
      <c r="W324" s="9"/>
      <c r="X324" s="9"/>
      <c r="Y324" s="9"/>
      <c r="Z324" s="9"/>
    </row>
    <row x14ac:dyDescent="0.25" r="325" customHeight="1" ht="18.75">
      <c r="A325" s="9"/>
      <c r="B325" s="18" t="s">
        <v>16</v>
      </c>
      <c r="C325" s="9" t="s">
        <v>627</v>
      </c>
      <c r="D325" s="9"/>
      <c r="E325" s="18" t="s">
        <v>1352</v>
      </c>
      <c r="F325" s="19">
        <v>20000000</v>
      </c>
      <c r="G325" s="20">
        <v>1528000</v>
      </c>
      <c r="H325" s="21">
        <v>46150</v>
      </c>
      <c r="I325" s="22">
        <f>IF(H325&gt;0,EDATE(H325,-2),"")</f>
        <v>25569.375</v>
      </c>
      <c r="J325" s="18" t="s">
        <v>205</v>
      </c>
      <c r="K325" s="18" t="s">
        <v>1353</v>
      </c>
      <c r="L325" s="23">
        <f>IF(E325&gt;0,E325,"")</f>
      </c>
      <c r="M325" s="19" t="s">
        <v>1354</v>
      </c>
      <c r="N325" s="19" t="s">
        <v>1355</v>
      </c>
      <c r="O325" s="22">
        <f>IF(ISNUMBER(I325), EDATE(I325,36)-1, "")</f>
        <v>25569.375</v>
      </c>
      <c r="P325" s="9" t="s">
        <v>1356</v>
      </c>
      <c r="Q325" s="9" t="s">
        <v>166</v>
      </c>
      <c r="R325" s="9"/>
      <c r="S325" s="9"/>
      <c r="T325" s="9"/>
      <c r="U325" s="9"/>
      <c r="V325" s="9"/>
      <c r="W325" s="9"/>
      <c r="X325" s="9"/>
      <c r="Y325" s="9"/>
      <c r="Z325" s="9"/>
    </row>
    <row x14ac:dyDescent="0.25" r="326" customHeight="1" ht="18.75">
      <c r="A326" s="9"/>
      <c r="B326" s="18" t="s">
        <v>16</v>
      </c>
      <c r="C326" s="9" t="s">
        <v>454</v>
      </c>
      <c r="D326" s="9" t="s">
        <v>455</v>
      </c>
      <c r="E326" s="18" t="s">
        <v>526</v>
      </c>
      <c r="F326" s="19">
        <v>10000000</v>
      </c>
      <c r="G326" s="20">
        <v>500000</v>
      </c>
      <c r="H326" s="21">
        <v>46166</v>
      </c>
      <c r="I326" s="22">
        <f>IF(H326&gt;0,EDATE(H326,-2),"")</f>
        <v>25569.375</v>
      </c>
      <c r="J326" s="18" t="s">
        <v>302</v>
      </c>
      <c r="K326" s="18" t="s">
        <v>1357</v>
      </c>
      <c r="L326" s="23">
        <f>IF(E326&gt;0,E326,"")</f>
      </c>
      <c r="M326" s="19" t="s">
        <v>1358</v>
      </c>
      <c r="N326" s="19" t="s">
        <v>528</v>
      </c>
      <c r="O326" s="22">
        <f>IF(ISNUMBER(I326), EDATE(I326,36)-1, "")</f>
        <v>25569.375</v>
      </c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x14ac:dyDescent="0.25" r="327" customHeight="1" ht="18.75">
      <c r="A327" s="9"/>
      <c r="B327" s="18" t="s">
        <v>16</v>
      </c>
      <c r="C327" s="9"/>
      <c r="D327" s="9"/>
      <c r="E327" s="18" t="s">
        <v>1359</v>
      </c>
      <c r="F327" s="19">
        <v>30000000</v>
      </c>
      <c r="G327" s="20">
        <v>2028000</v>
      </c>
      <c r="H327" s="21">
        <v>46009</v>
      </c>
      <c r="I327" s="22">
        <f>IF(H327&gt;0,EDATE(H327,-2),"")</f>
        <v>25569.375</v>
      </c>
      <c r="J327" s="18" t="s">
        <v>1360</v>
      </c>
      <c r="K327" s="18" t="s">
        <v>1361</v>
      </c>
      <c r="L327" s="23">
        <f>IF(E327&gt;0,E327,"")</f>
      </c>
      <c r="M327" s="19" t="s">
        <v>1362</v>
      </c>
      <c r="N327" s="19" t="s">
        <v>1363</v>
      </c>
      <c r="O327" s="22">
        <f>IF(ISNUMBER(I327), EDATE(I327,36)-1, "")</f>
        <v>25569.375</v>
      </c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x14ac:dyDescent="0.25" r="328" customHeight="1" ht="18.75">
      <c r="A328" s="9"/>
      <c r="B328" s="18" t="s">
        <v>16</v>
      </c>
      <c r="C328" s="9"/>
      <c r="D328" s="9"/>
      <c r="E328" s="18" t="s">
        <v>1364</v>
      </c>
      <c r="F328" s="19">
        <v>20000000</v>
      </c>
      <c r="G328" s="20">
        <v>1528000</v>
      </c>
      <c r="H328" s="21">
        <v>46159</v>
      </c>
      <c r="I328" s="22">
        <f>IF(H328&gt;0,EDATE(H328,-2),"")</f>
        <v>25569.375</v>
      </c>
      <c r="J328" s="18" t="s">
        <v>161</v>
      </c>
      <c r="K328" s="18" t="s">
        <v>1365</v>
      </c>
      <c r="L328" s="23">
        <f>IF(E328&gt;0,E328,"")</f>
      </c>
      <c r="M328" s="19" t="s">
        <v>1366</v>
      </c>
      <c r="N328" s="19" t="s">
        <v>1367</v>
      </c>
      <c r="O328" s="22">
        <f>IF(ISNUMBER(I328), EDATE(I328,36)-1, "")</f>
        <v>25569.375</v>
      </c>
      <c r="P328" s="9" t="s">
        <v>1368</v>
      </c>
      <c r="Q328" s="9" t="s">
        <v>166</v>
      </c>
      <c r="R328" s="9"/>
      <c r="S328" s="9"/>
      <c r="T328" s="9"/>
      <c r="U328" s="9"/>
      <c r="V328" s="9"/>
      <c r="W328" s="9"/>
      <c r="X328" s="9"/>
      <c r="Y328" s="9"/>
      <c r="Z328" s="9"/>
    </row>
    <row x14ac:dyDescent="0.25" r="329" customHeight="1" ht="18.75">
      <c r="A329" s="9"/>
      <c r="B329" s="18" t="s">
        <v>16</v>
      </c>
      <c r="C329" s="9"/>
      <c r="D329" s="9"/>
      <c r="E329" s="18" t="s">
        <v>1369</v>
      </c>
      <c r="F329" s="19">
        <v>10000000</v>
      </c>
      <c r="G329" s="20">
        <v>800000</v>
      </c>
      <c r="H329" s="21">
        <v>45988</v>
      </c>
      <c r="I329" s="22">
        <f>IF(H329&gt;0,EDATE(H329,-2),"")</f>
        <v>25569.375</v>
      </c>
      <c r="J329" s="18" t="s">
        <v>940</v>
      </c>
      <c r="K329" s="18" t="s">
        <v>416</v>
      </c>
      <c r="L329" s="23">
        <f>IF(E329&gt;0,E329,"")</f>
      </c>
      <c r="M329" s="19" t="s">
        <v>1370</v>
      </c>
      <c r="N329" s="19" t="s">
        <v>1371</v>
      </c>
      <c r="O329" s="22">
        <f>IF(ISNUMBER(I329), EDATE(I329,36)-1, "")</f>
        <v>25569.375</v>
      </c>
      <c r="P329" s="9"/>
      <c r="Q329" s="9" t="s">
        <v>293</v>
      </c>
      <c r="R329" s="9"/>
      <c r="S329" s="9"/>
      <c r="T329" s="9"/>
      <c r="U329" s="9"/>
      <c r="V329" s="9"/>
      <c r="W329" s="9"/>
      <c r="X329" s="9"/>
      <c r="Y329" s="9"/>
      <c r="Z329" s="9"/>
    </row>
    <row x14ac:dyDescent="0.25" r="330" customHeight="1" ht="18.75">
      <c r="A330" s="9"/>
      <c r="B330" s="18" t="s">
        <v>16</v>
      </c>
      <c r="C330" s="9"/>
      <c r="D330" s="9"/>
      <c r="E330" s="18" t="s">
        <v>1372</v>
      </c>
      <c r="F330" s="19">
        <v>10000000</v>
      </c>
      <c r="G330" s="20">
        <v>500000</v>
      </c>
      <c r="H330" s="21">
        <v>46200</v>
      </c>
      <c r="I330" s="22">
        <f>IF(H330&gt;0,EDATE(H330,-2),"")</f>
        <v>25569.375</v>
      </c>
      <c r="J330" s="18" t="s">
        <v>161</v>
      </c>
      <c r="K330" s="18" t="s">
        <v>1373</v>
      </c>
      <c r="L330" s="23">
        <f>IF(E330&gt;0,E330,"")</f>
      </c>
      <c r="M330" s="19" t="s">
        <v>1374</v>
      </c>
      <c r="N330" s="19" t="s">
        <v>1375</v>
      </c>
      <c r="O330" s="22">
        <f>IF(ISNUMBER(I330), EDATE(I330,36)-1, "")</f>
        <v>25569.375</v>
      </c>
      <c r="P330" s="9" t="s">
        <v>1376</v>
      </c>
      <c r="Q330" s="9" t="s">
        <v>166</v>
      </c>
      <c r="R330" s="9"/>
      <c r="S330" s="9"/>
      <c r="T330" s="9"/>
      <c r="U330" s="9"/>
      <c r="V330" s="9"/>
      <c r="W330" s="9"/>
      <c r="X330" s="9"/>
      <c r="Y330" s="9"/>
      <c r="Z330" s="9"/>
    </row>
    <row x14ac:dyDescent="0.25" r="331" customHeight="1" ht="18.75">
      <c r="A331" s="9"/>
      <c r="B331" s="18" t="s">
        <v>16</v>
      </c>
      <c r="C331" s="9" t="s">
        <v>454</v>
      </c>
      <c r="D331" s="9" t="s">
        <v>574</v>
      </c>
      <c r="E331" s="18" t="s">
        <v>1377</v>
      </c>
      <c r="F331" s="19">
        <v>10000000</v>
      </c>
      <c r="G331" s="20">
        <v>800000</v>
      </c>
      <c r="H331" s="21">
        <v>46147</v>
      </c>
      <c r="I331" s="22">
        <f>IF(H331&gt;0,EDATE(H331,-2),"")</f>
        <v>25569.375</v>
      </c>
      <c r="J331" s="18" t="s">
        <v>212</v>
      </c>
      <c r="K331" s="18" t="s">
        <v>1378</v>
      </c>
      <c r="L331" s="23">
        <f>IF(E331&gt;0,E331,"")</f>
      </c>
      <c r="M331" s="19" t="s">
        <v>1379</v>
      </c>
      <c r="N331" s="19">
        <v>56569321</v>
      </c>
      <c r="O331" s="22">
        <f>IF(ISNUMBER(I331), EDATE(I331,36)-1, "")</f>
        <v>25569.375</v>
      </c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x14ac:dyDescent="0.25" r="332" customHeight="1" ht="18.75">
      <c r="A332" s="9"/>
      <c r="B332" s="18" t="s">
        <v>16</v>
      </c>
      <c r="C332" s="9"/>
      <c r="D332" s="9" t="s">
        <v>22</v>
      </c>
      <c r="E332" s="18" t="s">
        <v>1380</v>
      </c>
      <c r="F332" s="19">
        <v>10000000</v>
      </c>
      <c r="G332" s="20">
        <v>800000</v>
      </c>
      <c r="H332" s="21">
        <v>46154</v>
      </c>
      <c r="I332" s="22">
        <f>IF(H332&gt;0,EDATE(H332,-2),"")</f>
        <v>25569.375</v>
      </c>
      <c r="J332" s="18" t="s">
        <v>168</v>
      </c>
      <c r="K332" s="18" t="s">
        <v>1381</v>
      </c>
      <c r="L332" s="23">
        <f>IF(E332&gt;0,E332,"")</f>
      </c>
      <c r="M332" s="19" t="s">
        <v>1382</v>
      </c>
      <c r="N332" s="19" t="s">
        <v>1383</v>
      </c>
      <c r="O332" s="22">
        <f>IF(ISNUMBER(I332), EDATE(I332,36)-1, "")</f>
        <v>25569.375</v>
      </c>
      <c r="P332" s="9" t="s">
        <v>1384</v>
      </c>
      <c r="Q332" s="9" t="s">
        <v>166</v>
      </c>
      <c r="R332" s="9"/>
      <c r="S332" s="9"/>
      <c r="T332" s="9"/>
      <c r="U332" s="9"/>
      <c r="V332" s="9"/>
      <c r="W332" s="9"/>
      <c r="X332" s="9"/>
      <c r="Y332" s="9"/>
      <c r="Z332" s="9"/>
    </row>
    <row x14ac:dyDescent="0.25" r="333" customHeight="1" ht="18.75">
      <c r="A333" s="9"/>
      <c r="B333" s="18" t="s">
        <v>16</v>
      </c>
      <c r="C333" s="9"/>
      <c r="D333" s="9"/>
      <c r="E333" s="18" t="s">
        <v>1385</v>
      </c>
      <c r="F333" s="19">
        <v>10000000</v>
      </c>
      <c r="G333" s="20">
        <v>800000</v>
      </c>
      <c r="H333" s="21">
        <v>45930</v>
      </c>
      <c r="I333" s="22">
        <f>IF(H333&gt;0,EDATE(H333,-2),"")</f>
        <v>25569.375</v>
      </c>
      <c r="J333" s="18" t="s">
        <v>306</v>
      </c>
      <c r="K333" s="18" t="s">
        <v>1386</v>
      </c>
      <c r="L333" s="23">
        <f>IF(E333&gt;0,E333,"")</f>
      </c>
      <c r="M333" s="19" t="s">
        <v>1387</v>
      </c>
      <c r="N333" s="19" t="s">
        <v>1388</v>
      </c>
      <c r="O333" s="22">
        <f>IF(ISNUMBER(I333), EDATE(I333,36)-1, "")</f>
        <v>25569.375</v>
      </c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x14ac:dyDescent="0.25" r="334" customHeight="1" ht="18.75">
      <c r="A334" s="9"/>
      <c r="B334" s="18" t="s">
        <v>16</v>
      </c>
      <c r="C334" s="9"/>
      <c r="D334" s="9"/>
      <c r="E334" s="18" t="s">
        <v>1389</v>
      </c>
      <c r="F334" s="19">
        <v>30000000</v>
      </c>
      <c r="G334" s="20">
        <v>2400000</v>
      </c>
      <c r="H334" s="21">
        <v>46090</v>
      </c>
      <c r="I334" s="22">
        <f>IF(H334&gt;0,EDATE(H334,-2),"")</f>
        <v>25569.375</v>
      </c>
      <c r="J334" s="18" t="s">
        <v>302</v>
      </c>
      <c r="K334" s="18" t="s">
        <v>1390</v>
      </c>
      <c r="L334" s="23">
        <f>IF(E334&gt;0,E334,"")</f>
      </c>
      <c r="M334" s="19" t="s">
        <v>1391</v>
      </c>
      <c r="N334" s="19" t="s">
        <v>1392</v>
      </c>
      <c r="O334" s="22">
        <f>IF(ISNUMBER(I334), EDATE(I334,36)-1, "")</f>
        <v>25569.375</v>
      </c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x14ac:dyDescent="0.25" r="335" customHeight="1" ht="18.75">
      <c r="A335" s="9" t="s">
        <v>1133</v>
      </c>
      <c r="B335" s="18" t="s">
        <v>16</v>
      </c>
      <c r="C335" s="9"/>
      <c r="D335" s="9"/>
      <c r="E335" s="18" t="s">
        <v>1393</v>
      </c>
      <c r="F335" s="19">
        <v>30000000</v>
      </c>
      <c r="G335" s="20">
        <v>2028000</v>
      </c>
      <c r="H335" s="21">
        <v>46043</v>
      </c>
      <c r="I335" s="22">
        <f>IF(H335&gt;0,EDATE(H335,-2),"")</f>
        <v>25569.375</v>
      </c>
      <c r="J335" s="18" t="s">
        <v>217</v>
      </c>
      <c r="K335" s="18" t="s">
        <v>1394</v>
      </c>
      <c r="L335" s="23">
        <f>IF(E335&gt;0,E335,"")</f>
      </c>
      <c r="M335" s="19" t="s">
        <v>1395</v>
      </c>
      <c r="N335" s="19" t="s">
        <v>1396</v>
      </c>
      <c r="O335" s="22">
        <f>IF(ISNUMBER(I335), EDATE(I335,36)-1, "")</f>
        <v>25569.375</v>
      </c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x14ac:dyDescent="0.25" r="336" customHeight="1" ht="18.75">
      <c r="A336" s="9"/>
      <c r="B336" s="18" t="s">
        <v>16</v>
      </c>
      <c r="C336" s="18" t="s">
        <v>454</v>
      </c>
      <c r="D336" s="18" t="s">
        <v>1397</v>
      </c>
      <c r="E336" s="18" t="s">
        <v>1398</v>
      </c>
      <c r="F336" s="20">
        <v>10000000</v>
      </c>
      <c r="G336" s="8">
        <f>IF(F336&gt;0,_xludf.IFS(F336=10000000,1200000,F336=20000000,1800000,F336=30000000,2400000,F336=60000000,4000000),"")</f>
      </c>
      <c r="H336" s="21">
        <v>46245</v>
      </c>
      <c r="I336" s="22">
        <f>IF(H336&gt;0,EDATE(H336,-2),"")</f>
        <v>25569.375</v>
      </c>
      <c r="J336" s="18" t="s">
        <v>155</v>
      </c>
      <c r="K336" s="18" t="s">
        <v>1399</v>
      </c>
      <c r="L336" s="23">
        <f>IF(E336&gt;0,E336,"")</f>
      </c>
      <c r="M336" s="19">
        <v>7906222683828</v>
      </c>
      <c r="N336" s="19">
        <v>87849810</v>
      </c>
      <c r="O336" s="22">
        <f>IF(ISNUMBER(I336), EDATE(I336,36)-1, "")</f>
        <v>25569.375</v>
      </c>
      <c r="P336" s="18"/>
      <c r="Q336" s="18"/>
      <c r="R336" s="9"/>
      <c r="S336" s="9"/>
      <c r="T336" s="9"/>
      <c r="U336" s="9"/>
      <c r="V336" s="9"/>
      <c r="W336" s="9"/>
      <c r="X336" s="9"/>
      <c r="Y336" s="9"/>
      <c r="Z336" s="9"/>
    </row>
    <row x14ac:dyDescent="0.25" r="337" customHeight="1" ht="18.75">
      <c r="A337" s="9"/>
      <c r="B337" s="18" t="s">
        <v>16</v>
      </c>
      <c r="C337" s="9" t="s">
        <v>454</v>
      </c>
      <c r="D337" s="9" t="s">
        <v>455</v>
      </c>
      <c r="E337" s="18" t="s">
        <v>1400</v>
      </c>
      <c r="F337" s="19">
        <v>10000000</v>
      </c>
      <c r="G337" s="20">
        <v>1200000</v>
      </c>
      <c r="H337" s="21">
        <v>46209</v>
      </c>
      <c r="I337" s="22">
        <f>IF(H337&gt;0,EDATE(H337,-2),"")</f>
        <v>25569.375</v>
      </c>
      <c r="J337" s="18" t="s">
        <v>155</v>
      </c>
      <c r="K337" s="18" t="s">
        <v>1401</v>
      </c>
      <c r="L337" s="23">
        <f>IF(E337&gt;0,E337,"")</f>
      </c>
      <c r="M337" s="19" t="s">
        <v>1402</v>
      </c>
      <c r="N337" s="19">
        <v>27775293</v>
      </c>
      <c r="O337" s="22">
        <f>IF(ISNUMBER(I337), EDATE(I337,36)-1, "")</f>
        <v>25569.375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x14ac:dyDescent="0.25" r="338" customHeight="1" ht="18.75">
      <c r="A338" s="9"/>
      <c r="B338" s="18" t="s">
        <v>16</v>
      </c>
      <c r="C338" s="9"/>
      <c r="D338" s="9" t="s">
        <v>45</v>
      </c>
      <c r="E338" s="18" t="s">
        <v>1403</v>
      </c>
      <c r="F338" s="19">
        <v>60000000</v>
      </c>
      <c r="G338" s="20">
        <v>4800000</v>
      </c>
      <c r="H338" s="21">
        <v>45988</v>
      </c>
      <c r="I338" s="22">
        <f>IF(H338&gt;0,EDATE(H338,-2),"")</f>
        <v>25569.375</v>
      </c>
      <c r="J338" s="18" t="s">
        <v>217</v>
      </c>
      <c r="K338" s="18" t="s">
        <v>1404</v>
      </c>
      <c r="L338" s="23">
        <f>IF(E338&gt;0,E338,"")</f>
      </c>
      <c r="M338" s="19" t="s">
        <v>1405</v>
      </c>
      <c r="N338" s="19" t="s">
        <v>1406</v>
      </c>
      <c r="O338" s="22">
        <f>IF(ISNUMBER(I338), EDATE(I338,36)-1, "")</f>
        <v>25569.375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x14ac:dyDescent="0.25" r="339" customHeight="1" ht="18.75">
      <c r="A339" s="9"/>
      <c r="B339" s="18" t="s">
        <v>16</v>
      </c>
      <c r="C339" s="9" t="s">
        <v>627</v>
      </c>
      <c r="D339" s="9" t="s">
        <v>373</v>
      </c>
      <c r="E339" s="18" t="s">
        <v>1403</v>
      </c>
      <c r="F339" s="19">
        <v>10000000</v>
      </c>
      <c r="G339" s="20">
        <v>800000</v>
      </c>
      <c r="H339" s="21">
        <v>46190</v>
      </c>
      <c r="I339" s="22">
        <f>IF(H339&gt;0,EDATE(H339,-2),"")</f>
        <v>25569.375</v>
      </c>
      <c r="J339" s="18" t="s">
        <v>205</v>
      </c>
      <c r="K339" s="18" t="s">
        <v>1407</v>
      </c>
      <c r="L339" s="23">
        <f>IF(E339&gt;0,E339,"")</f>
      </c>
      <c r="M339" s="19" t="s">
        <v>1408</v>
      </c>
      <c r="N339" s="19" t="s">
        <v>1407</v>
      </c>
      <c r="O339" s="22">
        <f>IF(ISNUMBER(I339), EDATE(I339,36)-1, "")</f>
        <v>25569.375</v>
      </c>
      <c r="P339" s="9" t="s">
        <v>1409</v>
      </c>
      <c r="Q339" s="9" t="s">
        <v>166</v>
      </c>
      <c r="R339" s="9"/>
      <c r="S339" s="9"/>
      <c r="T339" s="9"/>
      <c r="U339" s="9"/>
      <c r="V339" s="9"/>
      <c r="W339" s="9"/>
      <c r="X339" s="9"/>
      <c r="Y339" s="9"/>
      <c r="Z339" s="9"/>
    </row>
    <row x14ac:dyDescent="0.25" r="340" customHeight="1" ht="18.75">
      <c r="A340" s="34"/>
      <c r="B340" s="18" t="s">
        <v>16</v>
      </c>
      <c r="C340" s="9" t="s">
        <v>627</v>
      </c>
      <c r="D340" s="9" t="s">
        <v>373</v>
      </c>
      <c r="E340" s="18" t="s">
        <v>1403</v>
      </c>
      <c r="F340" s="19">
        <v>10000000</v>
      </c>
      <c r="G340" s="20"/>
      <c r="H340" s="21">
        <v>46190</v>
      </c>
      <c r="I340" s="22">
        <f>IF(H340&gt;0,EDATE(H340,-2),"")</f>
        <v>25569.375</v>
      </c>
      <c r="J340" s="18" t="s">
        <v>205</v>
      </c>
      <c r="K340" s="18" t="s">
        <v>1407</v>
      </c>
      <c r="L340" s="23">
        <f>IF(E340&gt;0,E340,"")</f>
      </c>
      <c r="M340" s="19" t="s">
        <v>1408</v>
      </c>
      <c r="N340" s="19">
        <v>77492484</v>
      </c>
      <c r="O340" s="22">
        <f>IF(ISNUMBER(I340), EDATE(I340,36)-1, "")</f>
        <v>25569.375</v>
      </c>
      <c r="P340" s="9"/>
      <c r="Q340" s="9"/>
      <c r="R340" s="9" t="s">
        <v>1410</v>
      </c>
      <c r="S340" s="9"/>
      <c r="T340" s="9"/>
      <c r="U340" s="9"/>
      <c r="V340" s="9"/>
      <c r="W340" s="9"/>
      <c r="X340" s="9"/>
      <c r="Y340" s="9"/>
      <c r="Z340" s="9"/>
    </row>
    <row x14ac:dyDescent="0.25" r="341" customHeight="1" ht="18.75">
      <c r="A341" s="34"/>
      <c r="B341" s="18" t="s">
        <v>16</v>
      </c>
      <c r="C341" s="9" t="s">
        <v>627</v>
      </c>
      <c r="D341" s="9" t="s">
        <v>373</v>
      </c>
      <c r="E341" s="18" t="s">
        <v>1403</v>
      </c>
      <c r="F341" s="19">
        <v>20000000</v>
      </c>
      <c r="G341" s="20">
        <v>1800000</v>
      </c>
      <c r="H341" s="21">
        <v>46216</v>
      </c>
      <c r="I341" s="22">
        <f>IF(H341&gt;0,EDATE(H341,-2),"")</f>
        <v>25569.375</v>
      </c>
      <c r="J341" s="18" t="s">
        <v>205</v>
      </c>
      <c r="K341" s="18" t="s">
        <v>1411</v>
      </c>
      <c r="L341" s="23">
        <f>IF(E341&gt;0,E341,"")</f>
      </c>
      <c r="M341" s="19" t="s">
        <v>1408</v>
      </c>
      <c r="N341" s="19">
        <v>77492434</v>
      </c>
      <c r="O341" s="22">
        <f>IF(ISNUMBER(I341), EDATE(I341,36)-1, "")</f>
        <v>25569.375</v>
      </c>
      <c r="P341" s="9"/>
      <c r="Q341" s="9"/>
      <c r="R341" s="9" t="s">
        <v>1412</v>
      </c>
      <c r="S341" s="9"/>
      <c r="T341" s="9"/>
      <c r="U341" s="9"/>
      <c r="V341" s="9"/>
      <c r="W341" s="9"/>
      <c r="X341" s="9"/>
      <c r="Y341" s="9"/>
      <c r="Z341" s="9"/>
    </row>
    <row x14ac:dyDescent="0.25" r="342" customHeight="1" ht="18.75">
      <c r="A342" s="9"/>
      <c r="B342" s="18" t="s">
        <v>16</v>
      </c>
      <c r="C342" s="9"/>
      <c r="D342" s="9"/>
      <c r="E342" s="18" t="s">
        <v>1413</v>
      </c>
      <c r="F342" s="19">
        <v>20000000</v>
      </c>
      <c r="G342" s="20">
        <v>1528000</v>
      </c>
      <c r="H342" s="21">
        <v>46090</v>
      </c>
      <c r="I342" s="22">
        <f>IF(H342&gt;0,EDATE(H342,-2),"")</f>
        <v>25569.375</v>
      </c>
      <c r="J342" s="18" t="s">
        <v>217</v>
      </c>
      <c r="K342" s="18" t="s">
        <v>1414</v>
      </c>
      <c r="L342" s="23">
        <f>IF(E342&gt;0,E342,"")</f>
      </c>
      <c r="M342" s="19" t="s">
        <v>1415</v>
      </c>
      <c r="N342" s="19" t="s">
        <v>1416</v>
      </c>
      <c r="O342" s="22">
        <f>IF(ISNUMBER(I342), EDATE(I342,36)-1, "")</f>
        <v>25569.375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x14ac:dyDescent="0.25" r="343" customHeight="1" ht="18.75">
      <c r="A343" s="9"/>
      <c r="B343" s="18" t="s">
        <v>16</v>
      </c>
      <c r="C343" s="9"/>
      <c r="D343" s="9"/>
      <c r="E343" s="18" t="s">
        <v>1417</v>
      </c>
      <c r="F343" s="19">
        <v>10000000</v>
      </c>
      <c r="G343" s="20">
        <v>800000</v>
      </c>
      <c r="H343" s="21">
        <v>46071</v>
      </c>
      <c r="I343" s="22">
        <f>IF(H343&gt;0,EDATE(H343,-2),"")</f>
        <v>25569.375</v>
      </c>
      <c r="J343" s="18" t="s">
        <v>168</v>
      </c>
      <c r="K343" s="18" t="s">
        <v>1418</v>
      </c>
      <c r="L343" s="23">
        <f>IF(E343&gt;0,E343,"")</f>
      </c>
      <c r="M343" s="19" t="s">
        <v>1419</v>
      </c>
      <c r="N343" s="19" t="s">
        <v>1420</v>
      </c>
      <c r="O343" s="22">
        <f>IF(ISNUMBER(I343), EDATE(I343,36)-1, "")</f>
        <v>25569.375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x14ac:dyDescent="0.25" r="344" customHeight="1" ht="18.75">
      <c r="A344" s="9"/>
      <c r="B344" s="18" t="s">
        <v>16</v>
      </c>
      <c r="C344" s="9" t="s">
        <v>48</v>
      </c>
      <c r="D344" s="9"/>
      <c r="E344" s="18" t="s">
        <v>49</v>
      </c>
      <c r="F344" s="19">
        <v>10000000</v>
      </c>
      <c r="G344" s="20">
        <v>1200000</v>
      </c>
      <c r="H344" s="21">
        <v>46193</v>
      </c>
      <c r="I344" s="22">
        <f>IF(H344&gt;0,EDATE(H344,-2),"")</f>
        <v>25569.375</v>
      </c>
      <c r="J344" s="18" t="s">
        <v>1421</v>
      </c>
      <c r="K344" s="18" t="s">
        <v>1422</v>
      </c>
      <c r="L344" s="23">
        <f>IF(E344&gt;0,E344,"")</f>
      </c>
      <c r="M344" s="19" t="s">
        <v>1423</v>
      </c>
      <c r="N344" s="19" t="s">
        <v>1424</v>
      </c>
      <c r="O344" s="22">
        <f>IF(ISNUMBER(I344), EDATE(I344,36)-1, "")</f>
        <v>25569.375</v>
      </c>
      <c r="P344" s="9" t="s">
        <v>50</v>
      </c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x14ac:dyDescent="0.25" r="345" customHeight="1" ht="18.75">
      <c r="A345" s="9"/>
      <c r="B345" s="18" t="s">
        <v>16</v>
      </c>
      <c r="C345" s="9"/>
      <c r="D345" s="9"/>
      <c r="E345" s="18" t="s">
        <v>1425</v>
      </c>
      <c r="F345" s="19">
        <v>10000000</v>
      </c>
      <c r="G345" s="20">
        <v>800000</v>
      </c>
      <c r="H345" s="21">
        <v>46061</v>
      </c>
      <c r="I345" s="22">
        <f>IF(H345&gt;0,EDATE(H345,-2),"")</f>
        <v>25569.375</v>
      </c>
      <c r="J345" s="18" t="s">
        <v>239</v>
      </c>
      <c r="K345" s="18" t="s">
        <v>1426</v>
      </c>
      <c r="L345" s="23">
        <f>IF(E345&gt;0,E345,"")</f>
      </c>
      <c r="M345" s="19" t="s">
        <v>1427</v>
      </c>
      <c r="N345" s="19" t="s">
        <v>1428</v>
      </c>
      <c r="O345" s="22">
        <f>IF(ISNUMBER(I345), EDATE(I345,36)-1, "")</f>
        <v>25569.375</v>
      </c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x14ac:dyDescent="0.25" r="346" customHeight="1" ht="18.75">
      <c r="A346" s="34"/>
      <c r="B346" s="18" t="s">
        <v>13</v>
      </c>
      <c r="C346" s="9"/>
      <c r="D346" s="9"/>
      <c r="E346" s="18" t="s">
        <v>1429</v>
      </c>
      <c r="F346" s="19">
        <v>20000000</v>
      </c>
      <c r="G346" s="20">
        <v>1650000</v>
      </c>
      <c r="H346" s="21">
        <v>45778</v>
      </c>
      <c r="I346" s="22">
        <f>IF(H346&gt;0,EDATE(H346,-2),"")</f>
        <v>25569.375</v>
      </c>
      <c r="J346" s="18" t="s">
        <v>239</v>
      </c>
      <c r="K346" s="18" t="s">
        <v>1430</v>
      </c>
      <c r="L346" s="23">
        <f>IF(E346&gt;0,E346,"")</f>
      </c>
      <c r="M346" s="19" t="s">
        <v>1431</v>
      </c>
      <c r="N346" s="19" t="s">
        <v>1432</v>
      </c>
      <c r="O346" s="22">
        <f>IF(ISNUMBER(I346), EDATE(I346,36)-1, "")</f>
        <v>25569.375</v>
      </c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x14ac:dyDescent="0.25" r="347" customHeight="1" ht="18.75">
      <c r="A347" s="34" t="s">
        <v>1433</v>
      </c>
      <c r="B347" s="18" t="s">
        <v>1434</v>
      </c>
      <c r="C347" s="9" t="s">
        <v>1435</v>
      </c>
      <c r="D347" s="9" t="s">
        <v>1436</v>
      </c>
      <c r="E347" s="18" t="s">
        <v>1429</v>
      </c>
      <c r="F347" s="19">
        <v>10000000</v>
      </c>
      <c r="G347" s="20">
        <v>900000</v>
      </c>
      <c r="H347" s="21">
        <v>45838</v>
      </c>
      <c r="I347" s="22">
        <f>IF(H347&gt;0,EDATE(H347,-2),"")</f>
        <v>25569.375</v>
      </c>
      <c r="J347" s="18" t="s">
        <v>239</v>
      </c>
      <c r="K347" s="18" t="s">
        <v>1430</v>
      </c>
      <c r="L347" s="23">
        <f>IF(E347&gt;0,E347,"")</f>
      </c>
      <c r="M347" s="19" t="s">
        <v>1431</v>
      </c>
      <c r="N347" s="19" t="s">
        <v>1432</v>
      </c>
      <c r="O347" s="22">
        <f>IF(ISNUMBER(I347), EDATE(I347,36)-1, "")</f>
        <v>25569.375</v>
      </c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x14ac:dyDescent="0.25" r="348" customHeight="1" ht="18.75">
      <c r="A348" s="34"/>
      <c r="B348" s="18" t="s">
        <v>16</v>
      </c>
      <c r="C348" s="9" t="s">
        <v>1435</v>
      </c>
      <c r="D348" s="9" t="s">
        <v>1436</v>
      </c>
      <c r="E348" s="18" t="s">
        <v>1429</v>
      </c>
      <c r="F348" s="19">
        <v>30000000</v>
      </c>
      <c r="G348" s="20">
        <v>2400000</v>
      </c>
      <c r="H348" s="21">
        <v>45871</v>
      </c>
      <c r="I348" s="22">
        <f>IF(H348&gt;0,EDATE(H348,-2),"")</f>
        <v>25569.375</v>
      </c>
      <c r="J348" s="18" t="s">
        <v>239</v>
      </c>
      <c r="K348" s="18" t="s">
        <v>1430</v>
      </c>
      <c r="L348" s="23">
        <f>IF(E348&gt;0,E348,"")</f>
      </c>
      <c r="M348" s="19" t="s">
        <v>1431</v>
      </c>
      <c r="N348" s="19" t="s">
        <v>1432</v>
      </c>
      <c r="O348" s="22">
        <f>IF(ISNUMBER(I348), EDATE(I348,36)-1, "")</f>
        <v>25569.375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x14ac:dyDescent="0.25" r="349" customHeight="1" ht="18.75">
      <c r="A349" s="34" t="s">
        <v>1133</v>
      </c>
      <c r="B349" s="18" t="s">
        <v>16</v>
      </c>
      <c r="C349" s="9" t="s">
        <v>1435</v>
      </c>
      <c r="D349" s="9" t="s">
        <v>1436</v>
      </c>
      <c r="E349" s="18" t="s">
        <v>1429</v>
      </c>
      <c r="F349" s="19">
        <v>60000000</v>
      </c>
      <c r="G349" s="20">
        <v>4800000</v>
      </c>
      <c r="H349" s="21">
        <v>46031</v>
      </c>
      <c r="I349" s="22">
        <f>IF(H349&gt;0,EDATE(H349,-2),"")</f>
        <v>25569.375</v>
      </c>
      <c r="J349" s="18" t="s">
        <v>217</v>
      </c>
      <c r="K349" s="18" t="s">
        <v>1437</v>
      </c>
      <c r="L349" s="23">
        <f>IF(E349&gt;0,E349,"")</f>
      </c>
      <c r="M349" s="19" t="s">
        <v>1431</v>
      </c>
      <c r="N349" s="19" t="s">
        <v>1432</v>
      </c>
      <c r="O349" s="22">
        <f>IF(ISNUMBER(I349), EDATE(I349,36)-1, "")</f>
        <v>25569.375</v>
      </c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x14ac:dyDescent="0.25" r="350" customHeight="1" ht="18.75">
      <c r="A350" s="34"/>
      <c r="B350" s="18" t="s">
        <v>13</v>
      </c>
      <c r="C350" s="9"/>
      <c r="D350" s="9"/>
      <c r="E350" s="18" t="s">
        <v>1436</v>
      </c>
      <c r="F350" s="19">
        <v>60000000</v>
      </c>
      <c r="G350" s="20">
        <v>2400000</v>
      </c>
      <c r="H350" s="21">
        <v>45778</v>
      </c>
      <c r="I350" s="22">
        <f>IF(H350&gt;0,EDATE(H350,-2),"")</f>
        <v>25569.375</v>
      </c>
      <c r="J350" s="18" t="s">
        <v>217</v>
      </c>
      <c r="K350" s="18" t="s">
        <v>1438</v>
      </c>
      <c r="L350" s="23">
        <f>IF(E350&gt;0,E350,"")</f>
      </c>
      <c r="M350" s="19" t="s">
        <v>1439</v>
      </c>
      <c r="N350" s="19" t="s">
        <v>1440</v>
      </c>
      <c r="O350" s="22">
        <f>IF(ISNUMBER(I350), EDATE(I350,36)-1, "")</f>
        <v>25569.375</v>
      </c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x14ac:dyDescent="0.25" r="351" customHeight="1" ht="18.75">
      <c r="A351" s="34"/>
      <c r="B351" s="18" t="s">
        <v>16</v>
      </c>
      <c r="C351" s="9"/>
      <c r="D351" s="9"/>
      <c r="E351" s="18" t="s">
        <v>1436</v>
      </c>
      <c r="F351" s="19">
        <v>30000000</v>
      </c>
      <c r="G351" s="20">
        <v>2400000</v>
      </c>
      <c r="H351" s="21">
        <v>45892</v>
      </c>
      <c r="I351" s="22">
        <v>45835</v>
      </c>
      <c r="J351" s="18" t="s">
        <v>217</v>
      </c>
      <c r="K351" s="18" t="s">
        <v>1438</v>
      </c>
      <c r="L351" s="23">
        <f>IF(E351&gt;0,E351,"")</f>
      </c>
      <c r="M351" s="19" t="s">
        <v>1439</v>
      </c>
      <c r="N351" s="19" t="s">
        <v>1440</v>
      </c>
      <c r="O351" s="22">
        <v>46926</v>
      </c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x14ac:dyDescent="0.25" r="352" customHeight="1" ht="18.75">
      <c r="A352" s="34"/>
      <c r="B352" s="18" t="s">
        <v>16</v>
      </c>
      <c r="C352" s="9"/>
      <c r="D352" s="9"/>
      <c r="E352" s="18" t="s">
        <v>1436</v>
      </c>
      <c r="F352" s="19">
        <v>60000000</v>
      </c>
      <c r="G352" s="20">
        <v>4800000</v>
      </c>
      <c r="H352" s="21">
        <v>45910</v>
      </c>
      <c r="I352" s="22">
        <f>IF(H352&gt;0,EDATE(H352,-2),"")</f>
        <v>25569.375</v>
      </c>
      <c r="J352" s="18" t="s">
        <v>217</v>
      </c>
      <c r="K352" s="18" t="s">
        <v>1438</v>
      </c>
      <c r="L352" s="23">
        <f>IF(E352&gt;0,E352,"")</f>
      </c>
      <c r="M352" s="19" t="s">
        <v>1439</v>
      </c>
      <c r="N352" s="19" t="s">
        <v>1440</v>
      </c>
      <c r="O352" s="22">
        <f>IF(ISNUMBER(I352), EDATE(I352,36)-1, "")</f>
        <v>25569.375</v>
      </c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x14ac:dyDescent="0.25" r="353" customHeight="1" ht="18.75">
      <c r="A353" s="34"/>
      <c r="B353" s="18" t="s">
        <v>16</v>
      </c>
      <c r="C353" s="9"/>
      <c r="D353" s="9"/>
      <c r="E353" s="18" t="s">
        <v>1441</v>
      </c>
      <c r="F353" s="19">
        <v>10000000</v>
      </c>
      <c r="G353" s="20">
        <v>800000</v>
      </c>
      <c r="H353" s="21">
        <v>46147</v>
      </c>
      <c r="I353" s="22">
        <f>IF(H353&gt;0,EDATE(H353,-2),"")</f>
        <v>25569.375</v>
      </c>
      <c r="J353" s="18" t="s">
        <v>161</v>
      </c>
      <c r="K353" s="18" t="s">
        <v>1442</v>
      </c>
      <c r="L353" s="23">
        <f>IF(E353&gt;0,E353,"")</f>
      </c>
      <c r="M353" s="19" t="s">
        <v>1443</v>
      </c>
      <c r="N353" s="19" t="s">
        <v>1444</v>
      </c>
      <c r="O353" s="22">
        <f>IF(ISNUMBER(I353), EDATE(I353,36)-1, "")</f>
        <v>25569.375</v>
      </c>
      <c r="P353" s="9" t="s">
        <v>1445</v>
      </c>
      <c r="Q353" s="9" t="s">
        <v>166</v>
      </c>
      <c r="R353" s="9"/>
      <c r="S353" s="9"/>
      <c r="T353" s="9"/>
      <c r="U353" s="9"/>
      <c r="V353" s="9"/>
      <c r="W353" s="9"/>
      <c r="X353" s="9"/>
      <c r="Y353" s="9"/>
      <c r="Z353" s="9"/>
    </row>
    <row x14ac:dyDescent="0.25" r="354" customHeight="1" ht="18.75">
      <c r="A354" s="34"/>
      <c r="B354" s="18" t="s">
        <v>16</v>
      </c>
      <c r="C354" s="9" t="s">
        <v>153</v>
      </c>
      <c r="D354" s="9" t="s">
        <v>1044</v>
      </c>
      <c r="E354" s="18" t="s">
        <v>1441</v>
      </c>
      <c r="F354" s="19">
        <v>10000000</v>
      </c>
      <c r="G354" s="20">
        <v>400000</v>
      </c>
      <c r="H354" s="21">
        <v>46232</v>
      </c>
      <c r="I354" s="22">
        <f>IF(H354&gt;0,EDATE(H354,-2),"")</f>
        <v>25569.375</v>
      </c>
      <c r="J354" s="18" t="s">
        <v>155</v>
      </c>
      <c r="K354" s="18" t="s">
        <v>1442</v>
      </c>
      <c r="L354" s="23">
        <f>IF(E354&gt;0,E354,"")</f>
      </c>
      <c r="M354" s="19">
        <v>5601152155131</v>
      </c>
      <c r="N354" s="19">
        <v>72163678</v>
      </c>
      <c r="O354" s="22">
        <f>IF(ISNUMBER(I354), EDATE(I354,36)-1, "")</f>
        <v>25569.375</v>
      </c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x14ac:dyDescent="0.25" r="355" customHeight="1" ht="18.75">
      <c r="A355" s="9" t="s">
        <v>152</v>
      </c>
      <c r="B355" s="18" t="s">
        <v>16</v>
      </c>
      <c r="C355" s="18" t="s">
        <v>627</v>
      </c>
      <c r="D355" s="18" t="s">
        <v>373</v>
      </c>
      <c r="E355" s="18" t="s">
        <v>1446</v>
      </c>
      <c r="F355" s="20">
        <v>20000000</v>
      </c>
      <c r="G355" s="20">
        <v>1528000</v>
      </c>
      <c r="H355" s="21">
        <v>46158</v>
      </c>
      <c r="I355" s="22">
        <f>IF(H355&gt;0,EDATE(H355,-2),"")</f>
        <v>25569.375</v>
      </c>
      <c r="J355" s="18" t="s">
        <v>239</v>
      </c>
      <c r="K355" s="18" t="s">
        <v>1447</v>
      </c>
      <c r="L355" s="23">
        <f>IF(E355&gt;0,E355,"")</f>
      </c>
      <c r="M355" s="19">
        <v>5503181042718</v>
      </c>
      <c r="N355" s="19"/>
      <c r="O355" s="22">
        <f>IF(ISNUMBER(I355), EDATE(I355,36)-1, "")</f>
        <v>25569.375</v>
      </c>
      <c r="P355" s="18"/>
      <c r="Q355" s="18"/>
      <c r="R355" s="9"/>
      <c r="S355" s="9"/>
      <c r="T355" s="9"/>
      <c r="U355" s="9"/>
      <c r="V355" s="9"/>
      <c r="W355" s="9"/>
      <c r="X355" s="9"/>
      <c r="Y355" s="9"/>
      <c r="Z355" s="9"/>
    </row>
    <row x14ac:dyDescent="0.25" r="356" customHeight="1" ht="18.75">
      <c r="A356" s="9"/>
      <c r="B356" s="18" t="s">
        <v>16</v>
      </c>
      <c r="C356" s="9"/>
      <c r="D356" s="9" t="s">
        <v>1305</v>
      </c>
      <c r="E356" s="18" t="s">
        <v>1448</v>
      </c>
      <c r="F356" s="19">
        <v>10000000</v>
      </c>
      <c r="G356" s="20">
        <v>1200000</v>
      </c>
      <c r="H356" s="21">
        <v>46203</v>
      </c>
      <c r="I356" s="22">
        <f>IF(H356&gt;0,EDATE(H356,-2),"")</f>
        <v>25569.375</v>
      </c>
      <c r="J356" s="18" t="s">
        <v>168</v>
      </c>
      <c r="K356" s="18" t="s">
        <v>1449</v>
      </c>
      <c r="L356" s="23">
        <f>IF(E356&gt;0,E356,"")</f>
      </c>
      <c r="M356" s="19" t="s">
        <v>1450</v>
      </c>
      <c r="N356" s="19" t="s">
        <v>1451</v>
      </c>
      <c r="O356" s="22">
        <f>IF(ISNUMBER(I356), EDATE(I356,36)-1, "")</f>
        <v>25569.375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x14ac:dyDescent="0.25" r="357" customHeight="1" ht="18.75">
      <c r="A357" s="9" t="s">
        <v>275</v>
      </c>
      <c r="B357" s="18" t="s">
        <v>16</v>
      </c>
      <c r="C357" s="9"/>
      <c r="D357" s="9" t="s">
        <v>22</v>
      </c>
      <c r="E357" s="18" t="s">
        <v>1452</v>
      </c>
      <c r="F357" s="19">
        <v>10000000</v>
      </c>
      <c r="G357" s="20"/>
      <c r="H357" s="21">
        <v>46165</v>
      </c>
      <c r="I357" s="22">
        <f>IF(H357&gt;0,EDATE(H357,-2),"")</f>
        <v>25569.375</v>
      </c>
      <c r="J357" s="18" t="s">
        <v>217</v>
      </c>
      <c r="K357" s="18" t="s">
        <v>1194</v>
      </c>
      <c r="L357" s="23">
        <f>IF(E357&gt;0,E357,"")</f>
      </c>
      <c r="M357" s="19" t="s">
        <v>1453</v>
      </c>
      <c r="N357" s="19" t="s">
        <v>1454</v>
      </c>
      <c r="O357" s="22">
        <f>IF(ISNUMBER(I357), EDATE(I357,36)-1, "")</f>
        <v>25569.375</v>
      </c>
      <c r="P357" s="9" t="s">
        <v>1455</v>
      </c>
      <c r="Q357" s="9" t="s">
        <v>166</v>
      </c>
      <c r="R357" s="9" t="s">
        <v>448</v>
      </c>
      <c r="S357" s="9"/>
      <c r="T357" s="9"/>
      <c r="U357" s="9"/>
      <c r="V357" s="9"/>
      <c r="W357" s="9"/>
      <c r="X357" s="9"/>
      <c r="Y357" s="9"/>
      <c r="Z357" s="9"/>
    </row>
    <row x14ac:dyDescent="0.25" r="358" customHeight="1" ht="18.75">
      <c r="A358" s="9" t="s">
        <v>252</v>
      </c>
      <c r="B358" s="18" t="s">
        <v>16</v>
      </c>
      <c r="C358" s="9"/>
      <c r="D358" s="9"/>
      <c r="E358" s="18" t="s">
        <v>1452</v>
      </c>
      <c r="F358" s="19">
        <v>10000000</v>
      </c>
      <c r="G358" s="20"/>
      <c r="H358" s="21" t="s">
        <v>449</v>
      </c>
      <c r="I358" s="22"/>
      <c r="J358" s="18" t="s">
        <v>217</v>
      </c>
      <c r="K358" s="18" t="s">
        <v>1194</v>
      </c>
      <c r="L358" s="23">
        <f>IF(E358&gt;0,E358,"")</f>
      </c>
      <c r="M358" s="19" t="s">
        <v>1453</v>
      </c>
      <c r="N358" s="19" t="s">
        <v>1454</v>
      </c>
      <c r="O358" s="22">
        <f>IF(ISNUMBER(I358), EDATE(I358,36)-1, "")</f>
        <v>25569.375</v>
      </c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x14ac:dyDescent="0.25" r="359" customHeight="1" ht="18.75">
      <c r="A359" s="9"/>
      <c r="B359" s="18" t="s">
        <v>16</v>
      </c>
      <c r="C359" s="9"/>
      <c r="D359" s="9"/>
      <c r="E359" s="18" t="s">
        <v>1456</v>
      </c>
      <c r="F359" s="19">
        <v>10000000</v>
      </c>
      <c r="G359" s="20">
        <v>800000</v>
      </c>
      <c r="H359" s="21">
        <v>45997</v>
      </c>
      <c r="I359" s="22">
        <f>IF(H359&gt;0,EDATE(H359,-2),"")</f>
        <v>25569.375</v>
      </c>
      <c r="J359" s="18" t="s">
        <v>155</v>
      </c>
      <c r="K359" s="18" t="s">
        <v>1457</v>
      </c>
      <c r="L359" s="23">
        <f>IF(E359&gt;0,E359,"")</f>
      </c>
      <c r="M359" s="19" t="s">
        <v>1458</v>
      </c>
      <c r="N359" s="19" t="s">
        <v>1459</v>
      </c>
      <c r="O359" s="22">
        <f>IF(ISNUMBER(I359), EDATE(I359,36)-1, "")</f>
        <v>25569.375</v>
      </c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x14ac:dyDescent="0.25" r="360" customHeight="1" ht="18.75">
      <c r="A360" s="9" t="s">
        <v>152</v>
      </c>
      <c r="B360" s="18" t="s">
        <v>16</v>
      </c>
      <c r="C360" s="9" t="s">
        <v>202</v>
      </c>
      <c r="D360" s="9" t="s">
        <v>203</v>
      </c>
      <c r="E360" s="18" t="s">
        <v>1460</v>
      </c>
      <c r="F360" s="19">
        <v>10000000</v>
      </c>
      <c r="G360" s="20">
        <v>500000</v>
      </c>
      <c r="H360" s="21">
        <v>46065</v>
      </c>
      <c r="I360" s="22">
        <f>IF(H360&gt;0,EDATE(H360,-2),"")</f>
        <v>25569.375</v>
      </c>
      <c r="J360" s="18" t="s">
        <v>205</v>
      </c>
      <c r="K360" s="18" t="s">
        <v>1461</v>
      </c>
      <c r="L360" s="23">
        <f>IF(E360&gt;0,E360,"")</f>
      </c>
      <c r="M360" s="19">
        <v>9223236716</v>
      </c>
      <c r="N360" s="19">
        <v>40286463</v>
      </c>
      <c r="O360" s="22">
        <f>IF(ISNUMBER(I360), EDATE(I360,36)-1, "")</f>
        <v>25569.375</v>
      </c>
      <c r="P360" s="9"/>
      <c r="Q360" s="9"/>
      <c r="R360" s="9" t="s">
        <v>1462</v>
      </c>
      <c r="S360" s="9"/>
      <c r="T360" s="9"/>
      <c r="U360" s="9"/>
      <c r="V360" s="9"/>
      <c r="W360" s="9"/>
      <c r="X360" s="9"/>
      <c r="Y360" s="9"/>
      <c r="Z360" s="9"/>
    </row>
    <row x14ac:dyDescent="0.25" r="361" customHeight="1" ht="18.75">
      <c r="A361" s="9"/>
      <c r="B361" s="18" t="s">
        <v>16</v>
      </c>
      <c r="C361" s="9"/>
      <c r="D361" s="9"/>
      <c r="E361" s="18" t="s">
        <v>51</v>
      </c>
      <c r="F361" s="19">
        <v>10000000</v>
      </c>
      <c r="G361" s="20">
        <v>400000</v>
      </c>
      <c r="H361" s="21">
        <v>45470</v>
      </c>
      <c r="I361" s="22">
        <f>IF(H361&gt;0,EDATE(H361,-2),"")</f>
        <v>25569.375</v>
      </c>
      <c r="J361" s="18" t="s">
        <v>239</v>
      </c>
      <c r="K361" s="18" t="s">
        <v>1463</v>
      </c>
      <c r="L361" s="23">
        <f>IF(E361&gt;0,E361,"")</f>
      </c>
      <c r="M361" s="19" t="s">
        <v>1464</v>
      </c>
      <c r="N361" s="19" t="s">
        <v>1465</v>
      </c>
      <c r="O361" s="22">
        <f>IF(ISNUMBER(I361), EDATE(I361,36)-1, "")</f>
        <v>25569.375</v>
      </c>
      <c r="P361" s="9" t="s">
        <v>52</v>
      </c>
      <c r="Q361" s="9" t="s">
        <v>166</v>
      </c>
      <c r="R361" s="9"/>
      <c r="S361" s="9"/>
      <c r="T361" s="9"/>
      <c r="U361" s="9"/>
      <c r="V361" s="9"/>
      <c r="W361" s="9"/>
      <c r="X361" s="9"/>
      <c r="Y361" s="9"/>
      <c r="Z361" s="9"/>
    </row>
    <row x14ac:dyDescent="0.25" r="362" customHeight="1" ht="18.75">
      <c r="A362" s="9"/>
      <c r="B362" s="18" t="s">
        <v>16</v>
      </c>
      <c r="C362" s="9"/>
      <c r="D362" s="9"/>
      <c r="E362" s="18" t="s">
        <v>51</v>
      </c>
      <c r="F362" s="19">
        <v>10000000</v>
      </c>
      <c r="G362" s="20">
        <v>800000</v>
      </c>
      <c r="H362" s="21">
        <v>46176</v>
      </c>
      <c r="I362" s="22">
        <f>IF(H362&gt;0,EDATE(H362,-2),"")</f>
        <v>25569.375</v>
      </c>
      <c r="J362" s="18" t="s">
        <v>239</v>
      </c>
      <c r="K362" s="18" t="s">
        <v>1463</v>
      </c>
      <c r="L362" s="23">
        <f>IF(E362&gt;0,E362,"")</f>
      </c>
      <c r="M362" s="19" t="s">
        <v>1464</v>
      </c>
      <c r="N362" s="19" t="s">
        <v>1465</v>
      </c>
      <c r="O362" s="22">
        <f>IF(ISNUMBER(I362), EDATE(I362,36)-1, "")</f>
        <v>25569.375</v>
      </c>
      <c r="P362" s="9" t="s">
        <v>1466</v>
      </c>
      <c r="Q362" s="9" t="s">
        <v>166</v>
      </c>
      <c r="R362" s="9"/>
      <c r="S362" s="9"/>
      <c r="T362" s="9"/>
      <c r="U362" s="9"/>
      <c r="V362" s="9"/>
      <c r="W362" s="9"/>
      <c r="X362" s="9"/>
      <c r="Y362" s="9"/>
      <c r="Z362" s="9"/>
    </row>
    <row x14ac:dyDescent="0.25" r="363" customHeight="1" ht="18.75">
      <c r="A363" s="9"/>
      <c r="B363" s="18" t="s">
        <v>16</v>
      </c>
      <c r="C363" s="9" t="s">
        <v>410</v>
      </c>
      <c r="D363" s="9" t="s">
        <v>1294</v>
      </c>
      <c r="E363" s="18" t="s">
        <v>1467</v>
      </c>
      <c r="F363" s="19">
        <v>30000000</v>
      </c>
      <c r="G363" s="20">
        <v>2028000</v>
      </c>
      <c r="H363" s="21">
        <v>46165</v>
      </c>
      <c r="I363" s="22">
        <f>IF(H363&gt;0,EDATE(H363,-2),"")</f>
        <v>25569.375</v>
      </c>
      <c r="J363" s="18" t="s">
        <v>168</v>
      </c>
      <c r="K363" s="18" t="s">
        <v>1468</v>
      </c>
      <c r="L363" s="23">
        <f>IF(E363&gt;0,E363,"")</f>
      </c>
      <c r="M363" s="19" t="s">
        <v>1469</v>
      </c>
      <c r="N363" s="19" t="s">
        <v>1470</v>
      </c>
      <c r="O363" s="22">
        <f>IF(ISNUMBER(I363), EDATE(I363,36)-1, "")</f>
        <v>25569.375</v>
      </c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x14ac:dyDescent="0.25" r="364" customHeight="1" ht="18.75">
      <c r="A364" s="9" t="s">
        <v>152</v>
      </c>
      <c r="B364" s="18" t="s">
        <v>16</v>
      </c>
      <c r="C364" s="9"/>
      <c r="D364" s="9"/>
      <c r="E364" s="18" t="s">
        <v>1471</v>
      </c>
      <c r="F364" s="19">
        <v>20000000</v>
      </c>
      <c r="G364" s="20"/>
      <c r="H364" s="21">
        <v>46131</v>
      </c>
      <c r="I364" s="22">
        <f>IF(H364&gt;0,EDATE(H364,-2),"")</f>
        <v>25569.375</v>
      </c>
      <c r="J364" s="18" t="s">
        <v>239</v>
      </c>
      <c r="K364" s="18" t="s">
        <v>1472</v>
      </c>
      <c r="L364" s="23">
        <f>IF(E364&gt;0,E364,"")</f>
      </c>
      <c r="M364" s="19" t="s">
        <v>1473</v>
      </c>
      <c r="N364" s="19" t="s">
        <v>1474</v>
      </c>
      <c r="O364" s="22">
        <f>IF(ISNUMBER(I364), EDATE(I364,36)-1, "")</f>
        <v>25569.375</v>
      </c>
      <c r="P364" s="9" t="s">
        <v>1475</v>
      </c>
      <c r="Q364" s="9" t="s">
        <v>166</v>
      </c>
      <c r="R364" s="9" t="s">
        <v>1476</v>
      </c>
      <c r="S364" s="9"/>
      <c r="T364" s="9"/>
      <c r="U364" s="9"/>
      <c r="V364" s="9"/>
      <c r="W364" s="9"/>
      <c r="X364" s="9"/>
      <c r="Y364" s="9"/>
      <c r="Z364" s="9"/>
    </row>
    <row x14ac:dyDescent="0.25" r="365" customHeight="1" ht="18.75">
      <c r="A365" s="9"/>
      <c r="B365" s="18" t="s">
        <v>16</v>
      </c>
      <c r="C365" s="9"/>
      <c r="D365" s="9"/>
      <c r="E365" s="18" t="s">
        <v>1471</v>
      </c>
      <c r="F365" s="19">
        <v>60000000</v>
      </c>
      <c r="G365" s="20">
        <v>3000000</v>
      </c>
      <c r="H365" s="21">
        <v>46152</v>
      </c>
      <c r="I365" s="22">
        <f>IF(H365&gt;0,EDATE(H365,-2),"")</f>
        <v>25569.375</v>
      </c>
      <c r="J365" s="18" t="s">
        <v>239</v>
      </c>
      <c r="K365" s="18" t="s">
        <v>1472</v>
      </c>
      <c r="L365" s="23">
        <f>IF(E365&gt;0,E365,"")</f>
      </c>
      <c r="M365" s="19" t="s">
        <v>1473</v>
      </c>
      <c r="N365" s="19" t="s">
        <v>1474</v>
      </c>
      <c r="O365" s="22">
        <f>IF(ISNUMBER(I365), EDATE(I365,36)-1, "")</f>
        <v>25569.375</v>
      </c>
      <c r="P365" s="9"/>
      <c r="Q365" s="9" t="s">
        <v>166</v>
      </c>
      <c r="R365" s="9" t="s">
        <v>1477</v>
      </c>
      <c r="S365" s="9"/>
      <c r="T365" s="9"/>
      <c r="U365" s="9"/>
      <c r="V365" s="9"/>
      <c r="W365" s="9"/>
      <c r="X365" s="9"/>
      <c r="Y365" s="9"/>
      <c r="Z365" s="9"/>
    </row>
    <row x14ac:dyDescent="0.25" r="366" customHeight="1" ht="18.75">
      <c r="A366" s="9"/>
      <c r="B366" s="18" t="s">
        <v>16</v>
      </c>
      <c r="C366" s="9"/>
      <c r="D366" s="9"/>
      <c r="E366" s="18" t="s">
        <v>1478</v>
      </c>
      <c r="F366" s="19">
        <v>20000000</v>
      </c>
      <c r="G366" s="20">
        <v>1528000</v>
      </c>
      <c r="H366" s="21">
        <v>46032</v>
      </c>
      <c r="I366" s="22">
        <f>IF(H366&gt;0,EDATE(H366,-2),"")</f>
        <v>25569.375</v>
      </c>
      <c r="J366" s="18" t="s">
        <v>155</v>
      </c>
      <c r="K366" s="18" t="s">
        <v>1479</v>
      </c>
      <c r="L366" s="23">
        <f>IF(E366&gt;0,E366,"")</f>
      </c>
      <c r="M366" s="19" t="s">
        <v>1480</v>
      </c>
      <c r="N366" s="19" t="s">
        <v>1481</v>
      </c>
      <c r="O366" s="22">
        <f>IF(ISNUMBER(I366), EDATE(I366,36)-1, "")</f>
        <v>25569.375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x14ac:dyDescent="0.25" r="367" customHeight="1" ht="18.75">
      <c r="A367" s="9"/>
      <c r="B367" s="18" t="s">
        <v>16</v>
      </c>
      <c r="C367" s="9"/>
      <c r="D367" s="9"/>
      <c r="E367" s="18" t="s">
        <v>53</v>
      </c>
      <c r="F367" s="19">
        <v>10000000</v>
      </c>
      <c r="G367" s="20">
        <v>800000</v>
      </c>
      <c r="H367" s="21">
        <v>45997</v>
      </c>
      <c r="I367" s="22">
        <f>IF(H367&gt;0,EDATE(H367,-2),"")</f>
        <v>25569.375</v>
      </c>
      <c r="J367" s="18" t="s">
        <v>379</v>
      </c>
      <c r="K367" s="18" t="s">
        <v>1482</v>
      </c>
      <c r="L367" s="23">
        <f>IF(E367&gt;0,E367,"")</f>
      </c>
      <c r="M367" s="19" t="s">
        <v>1483</v>
      </c>
      <c r="N367" s="19" t="s">
        <v>1484</v>
      </c>
      <c r="O367" s="22">
        <f>IF(ISNUMBER(I367), EDATE(I367,36)-1, "")</f>
        <v>25569.375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x14ac:dyDescent="0.25" r="368" customHeight="1" ht="18.75">
      <c r="A368" s="9"/>
      <c r="B368" s="18" t="s">
        <v>16</v>
      </c>
      <c r="C368" s="9"/>
      <c r="D368" s="9"/>
      <c r="E368" s="18" t="s">
        <v>53</v>
      </c>
      <c r="F368" s="19">
        <v>10000000</v>
      </c>
      <c r="G368" s="20">
        <v>800000</v>
      </c>
      <c r="H368" s="21">
        <v>46020</v>
      </c>
      <c r="I368" s="22">
        <f>IF(H368&gt;0,EDATE(H368,-2),"")</f>
        <v>25569.375</v>
      </c>
      <c r="J368" s="18" t="s">
        <v>379</v>
      </c>
      <c r="K368" s="18" t="s">
        <v>1482</v>
      </c>
      <c r="L368" s="23">
        <f>IF(E368&gt;0,E368,"")</f>
      </c>
      <c r="M368" s="19" t="s">
        <v>1485</v>
      </c>
      <c r="N368" s="19" t="s">
        <v>1484</v>
      </c>
      <c r="O368" s="22">
        <f>IF(ISNUMBER(I368), EDATE(I368,36)-1, "")</f>
        <v>25569.375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x14ac:dyDescent="0.25" r="369" customHeight="1" ht="18.75">
      <c r="A369" s="9"/>
      <c r="B369" s="18" t="s">
        <v>16</v>
      </c>
      <c r="C369" s="9"/>
      <c r="D369" s="9" t="s">
        <v>862</v>
      </c>
      <c r="E369" s="18" t="s">
        <v>1486</v>
      </c>
      <c r="F369" s="19">
        <v>10000000</v>
      </c>
      <c r="G369" s="20">
        <v>500000</v>
      </c>
      <c r="H369" s="21">
        <v>46151</v>
      </c>
      <c r="I369" s="22">
        <f>IF(H369&gt;0,EDATE(H369,-2),"")</f>
        <v>25569.375</v>
      </c>
      <c r="J369" s="18" t="s">
        <v>1487</v>
      </c>
      <c r="K369" s="18" t="s">
        <v>1488</v>
      </c>
      <c r="L369" s="23">
        <f>IF(E369&gt;0,E369,"")</f>
      </c>
      <c r="M369" s="19" t="s">
        <v>1489</v>
      </c>
      <c r="N369" s="19" t="s">
        <v>1490</v>
      </c>
      <c r="O369" s="22">
        <f>IF(ISNUMBER(I369), EDATE(I369,36)-1, "")</f>
        <v>25569.375</v>
      </c>
      <c r="P369" s="9" t="s">
        <v>1491</v>
      </c>
      <c r="Q369" s="9" t="s">
        <v>166</v>
      </c>
      <c r="R369" s="9"/>
      <c r="S369" s="9"/>
      <c r="T369" s="9"/>
      <c r="U369" s="9"/>
      <c r="V369" s="9"/>
      <c r="W369" s="9"/>
      <c r="X369" s="9"/>
      <c r="Y369" s="9"/>
      <c r="Z369" s="9"/>
    </row>
    <row x14ac:dyDescent="0.25" r="370" customHeight="1" ht="18.75">
      <c r="A370" s="9"/>
      <c r="B370" s="18" t="s">
        <v>16</v>
      </c>
      <c r="C370" s="9" t="s">
        <v>143</v>
      </c>
      <c r="D370" s="9" t="s">
        <v>22</v>
      </c>
      <c r="E370" s="18" t="s">
        <v>1492</v>
      </c>
      <c r="F370" s="19">
        <v>10000000</v>
      </c>
      <c r="G370" s="20">
        <v>800000</v>
      </c>
      <c r="H370" s="21">
        <v>46166</v>
      </c>
      <c r="I370" s="22">
        <f>IF(H370&gt;0,EDATE(H370,-2),"")</f>
        <v>25569.375</v>
      </c>
      <c r="J370" s="18" t="s">
        <v>1493</v>
      </c>
      <c r="K370" s="18" t="s">
        <v>1494</v>
      </c>
      <c r="L370" s="23">
        <f>IF(E370&gt;0,E370,"")</f>
      </c>
      <c r="M370" s="19" t="s">
        <v>1495</v>
      </c>
      <c r="N370" s="19" t="s">
        <v>1496</v>
      </c>
      <c r="O370" s="22">
        <f>IF(ISNUMBER(I370), EDATE(I370,36)-1, "")</f>
        <v>25569.375</v>
      </c>
      <c r="P370" s="9" t="s">
        <v>1497</v>
      </c>
      <c r="Q370" s="9" t="s">
        <v>166</v>
      </c>
      <c r="R370" s="9"/>
      <c r="S370" s="9"/>
      <c r="T370" s="9"/>
      <c r="U370" s="9"/>
      <c r="V370" s="9"/>
      <c r="W370" s="9"/>
      <c r="X370" s="9"/>
      <c r="Y370" s="9"/>
      <c r="Z370" s="9"/>
    </row>
    <row x14ac:dyDescent="0.25" r="371" customHeight="1" ht="18.75">
      <c r="A371" s="9"/>
      <c r="B371" s="18" t="s">
        <v>16</v>
      </c>
      <c r="C371" s="9"/>
      <c r="D371" s="9" t="s">
        <v>22</v>
      </c>
      <c r="E371" s="18" t="s">
        <v>1498</v>
      </c>
      <c r="F371" s="19">
        <v>10000000</v>
      </c>
      <c r="G371" s="20">
        <v>800000</v>
      </c>
      <c r="H371" s="21">
        <v>46165</v>
      </c>
      <c r="I371" s="22">
        <f>IF(H371&gt;0,EDATE(H371,-2),"")</f>
        <v>25569.375</v>
      </c>
      <c r="J371" s="18" t="s">
        <v>161</v>
      </c>
      <c r="K371" s="18" t="s">
        <v>1499</v>
      </c>
      <c r="L371" s="23">
        <f>IF(E371&gt;0,E371,"")</f>
      </c>
      <c r="M371" s="19" t="s">
        <v>1500</v>
      </c>
      <c r="N371" s="19" t="s">
        <v>1501</v>
      </c>
      <c r="O371" s="22">
        <f>IF(ISNUMBER(I371), EDATE(I371,36)-1, "")</f>
        <v>25569.375</v>
      </c>
      <c r="P371" s="9" t="s">
        <v>1502</v>
      </c>
      <c r="Q371" s="9" t="s">
        <v>166</v>
      </c>
      <c r="R371" s="9"/>
      <c r="S371" s="9"/>
      <c r="T371" s="9"/>
      <c r="U371" s="9"/>
      <c r="V371" s="9"/>
      <c r="W371" s="9"/>
      <c r="X371" s="9"/>
      <c r="Y371" s="9"/>
      <c r="Z371" s="9"/>
    </row>
    <row x14ac:dyDescent="0.25" r="372" customHeight="1" ht="18.75">
      <c r="A372" s="9"/>
      <c r="B372" s="18" t="s">
        <v>16</v>
      </c>
      <c r="C372" s="9" t="s">
        <v>427</v>
      </c>
      <c r="D372" s="9" t="s">
        <v>1134</v>
      </c>
      <c r="E372" s="18" t="s">
        <v>1503</v>
      </c>
      <c r="F372" s="19">
        <v>30000000</v>
      </c>
      <c r="G372" s="20">
        <v>2400000</v>
      </c>
      <c r="H372" s="21">
        <v>46232</v>
      </c>
      <c r="I372" s="22">
        <f>IF(H372&gt;0,EDATE(H372,-2),"")</f>
        <v>25569.375</v>
      </c>
      <c r="J372" s="18" t="s">
        <v>699</v>
      </c>
      <c r="K372" s="18" t="s">
        <v>1504</v>
      </c>
      <c r="L372" s="23">
        <f>IF(E372&gt;0,E372,"")</f>
      </c>
      <c r="M372" s="19">
        <v>6404152247812</v>
      </c>
      <c r="N372" s="19">
        <v>92146585</v>
      </c>
      <c r="O372" s="22">
        <f>IF(ISNUMBER(I372), EDATE(I372,36)-1, "")</f>
        <v>25569.375</v>
      </c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x14ac:dyDescent="0.25" r="373" customHeight="1" ht="18.75">
      <c r="A373" s="9"/>
      <c r="B373" s="18" t="s">
        <v>16</v>
      </c>
      <c r="C373" s="9" t="s">
        <v>143</v>
      </c>
      <c r="D373" s="9" t="s">
        <v>14</v>
      </c>
      <c r="E373" s="18" t="s">
        <v>1505</v>
      </c>
      <c r="F373" s="19">
        <v>10000000</v>
      </c>
      <c r="G373" s="20">
        <v>1200000</v>
      </c>
      <c r="H373" s="21">
        <v>46203</v>
      </c>
      <c r="I373" s="22">
        <f>IF(H373&gt;0,EDATE(H373,-2),"")</f>
        <v>25569.375</v>
      </c>
      <c r="J373" s="18" t="s">
        <v>217</v>
      </c>
      <c r="K373" s="18" t="s">
        <v>1506</v>
      </c>
      <c r="L373" s="23">
        <f>IF(E373&gt;0,E373,"")</f>
      </c>
      <c r="M373" s="19" t="s">
        <v>1507</v>
      </c>
      <c r="N373" s="19" t="s">
        <v>1508</v>
      </c>
      <c r="O373" s="22">
        <f>IF(ISNUMBER(I373), EDATE(I373,36)-1, "")</f>
        <v>25569.375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x14ac:dyDescent="0.25" r="374" customHeight="1" ht="18.75">
      <c r="A374" s="9"/>
      <c r="B374" s="18" t="s">
        <v>16</v>
      </c>
      <c r="C374" s="9"/>
      <c r="D374" s="9"/>
      <c r="E374" s="18" t="s">
        <v>1509</v>
      </c>
      <c r="F374" s="19">
        <v>30000000</v>
      </c>
      <c r="G374" s="20">
        <v>2400000</v>
      </c>
      <c r="H374" s="21">
        <v>45915</v>
      </c>
      <c r="I374" s="22">
        <f>IF(H374&gt;0,EDATE(H374,-2),"")</f>
        <v>25569.375</v>
      </c>
      <c r="J374" s="18" t="s">
        <v>155</v>
      </c>
      <c r="K374" s="18" t="s">
        <v>1510</v>
      </c>
      <c r="L374" s="23">
        <f>IF(E374&gt;0,E374,"")</f>
      </c>
      <c r="M374" s="19" t="s">
        <v>1511</v>
      </c>
      <c r="N374" s="19" t="s">
        <v>1512</v>
      </c>
      <c r="O374" s="22">
        <f>IF(ISNUMBER(I374), EDATE(I374,36)-1, "")</f>
        <v>25569.375</v>
      </c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x14ac:dyDescent="0.25" r="375" customHeight="1" ht="18.75">
      <c r="A375" s="9"/>
      <c r="B375" s="18" t="s">
        <v>16</v>
      </c>
      <c r="C375" s="9"/>
      <c r="D375" s="9"/>
      <c r="E375" s="18" t="s">
        <v>1513</v>
      </c>
      <c r="F375" s="19">
        <v>10000000</v>
      </c>
      <c r="G375" s="20"/>
      <c r="H375" s="21">
        <v>46159</v>
      </c>
      <c r="I375" s="22">
        <f>IF(H375&gt;0,EDATE(H375,-2),"")</f>
        <v>25569.375</v>
      </c>
      <c r="J375" s="18" t="s">
        <v>302</v>
      </c>
      <c r="K375" s="18" t="s">
        <v>1514</v>
      </c>
      <c r="L375" s="23">
        <f>IF(E375&gt;0,E375,"")</f>
      </c>
      <c r="M375" s="19" t="s">
        <v>1515</v>
      </c>
      <c r="N375" s="19" t="s">
        <v>1516</v>
      </c>
      <c r="O375" s="22">
        <f>IF(ISNUMBER(I375), EDATE(I375,36)-1, "")</f>
        <v>25569.375</v>
      </c>
      <c r="P375" s="9"/>
      <c r="Q375" s="9" t="s">
        <v>166</v>
      </c>
      <c r="R375" s="9"/>
      <c r="S375" s="9"/>
      <c r="T375" s="9"/>
      <c r="U375" s="9"/>
      <c r="V375" s="9"/>
      <c r="W375" s="9"/>
      <c r="X375" s="9"/>
      <c r="Y375" s="9"/>
      <c r="Z375" s="9"/>
    </row>
    <row x14ac:dyDescent="0.25" r="376" customHeight="1" ht="18.75">
      <c r="A376" s="9" t="s">
        <v>63</v>
      </c>
      <c r="B376" s="18" t="s">
        <v>16</v>
      </c>
      <c r="C376" s="9"/>
      <c r="D376" s="9" t="s">
        <v>203</v>
      </c>
      <c r="E376" s="18" t="s">
        <v>1513</v>
      </c>
      <c r="F376" s="19">
        <v>20000000</v>
      </c>
      <c r="G376" s="20">
        <v>1528000</v>
      </c>
      <c r="H376" s="21">
        <v>46213</v>
      </c>
      <c r="I376" s="22">
        <f>IF(H376&gt;0,EDATE(H376,-2),"")</f>
        <v>25569.375</v>
      </c>
      <c r="J376" s="18" t="s">
        <v>302</v>
      </c>
      <c r="K376" s="18" t="s">
        <v>1514</v>
      </c>
      <c r="L376" s="23">
        <f>IF(E376&gt;0,E376,"")</f>
      </c>
      <c r="M376" s="19" t="s">
        <v>1515</v>
      </c>
      <c r="N376" s="19">
        <v>86992689</v>
      </c>
      <c r="O376" s="22">
        <f>IF(ISNUMBER(I376), EDATE(I376,36)-1, "")</f>
        <v>25569.375</v>
      </c>
      <c r="P376" s="9"/>
      <c r="Q376" s="9"/>
      <c r="R376" s="9" t="s">
        <v>63</v>
      </c>
      <c r="S376" s="9"/>
      <c r="T376" s="9"/>
      <c r="U376" s="9"/>
      <c r="V376" s="9"/>
      <c r="W376" s="9"/>
      <c r="X376" s="9"/>
      <c r="Y376" s="9"/>
      <c r="Z376" s="9"/>
    </row>
    <row x14ac:dyDescent="0.25" r="377" customHeight="1" ht="18.75">
      <c r="A377" s="9"/>
      <c r="B377" s="18" t="s">
        <v>16</v>
      </c>
      <c r="C377" s="9"/>
      <c r="D377" s="9"/>
      <c r="E377" s="18" t="s">
        <v>54</v>
      </c>
      <c r="F377" s="19">
        <v>30000000</v>
      </c>
      <c r="G377" s="20">
        <v>1528000</v>
      </c>
      <c r="H377" s="21">
        <v>46027</v>
      </c>
      <c r="I377" s="22">
        <f>IF(H377&gt;0,EDATE(H377,-2),"")</f>
        <v>25569.375</v>
      </c>
      <c r="J377" s="18" t="s">
        <v>282</v>
      </c>
      <c r="K377" s="18" t="s">
        <v>1517</v>
      </c>
      <c r="L377" s="23">
        <f>IF(E377&gt;0,E377,"")</f>
      </c>
      <c r="M377" s="19" t="s">
        <v>1518</v>
      </c>
      <c r="N377" s="19" t="s">
        <v>1519</v>
      </c>
      <c r="O377" s="22">
        <f>IF(ISNUMBER(I377), EDATE(I377,36)-1, "")</f>
        <v>25569.375</v>
      </c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x14ac:dyDescent="0.25" r="378" customHeight="1" ht="18.75">
      <c r="A378" s="9"/>
      <c r="B378" s="18" t="s">
        <v>16</v>
      </c>
      <c r="C378" s="9"/>
      <c r="D378" s="9"/>
      <c r="E378" s="18" t="s">
        <v>318</v>
      </c>
      <c r="F378" s="19">
        <v>10000000</v>
      </c>
      <c r="G378" s="20">
        <v>800000</v>
      </c>
      <c r="H378" s="21">
        <v>46091</v>
      </c>
      <c r="I378" s="22">
        <f>IF(H378&gt;0,EDATE(H378,-2),"")</f>
        <v>25569.375</v>
      </c>
      <c r="J378" s="18" t="s">
        <v>155</v>
      </c>
      <c r="K378" s="18" t="s">
        <v>1520</v>
      </c>
      <c r="L378" s="23">
        <f>IF(E378&gt;0,E378,"")</f>
      </c>
      <c r="M378" s="19" t="s">
        <v>1521</v>
      </c>
      <c r="N378" s="19" t="s">
        <v>1522</v>
      </c>
      <c r="O378" s="22">
        <f>IF(ISNUMBER(I378), EDATE(I378,36)-1, "")</f>
        <v>25569.375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x14ac:dyDescent="0.25" r="379" customHeight="1" ht="18.75">
      <c r="A379" s="9"/>
      <c r="B379" s="18" t="s">
        <v>16</v>
      </c>
      <c r="C379" s="9"/>
      <c r="D379" s="9"/>
      <c r="E379" s="18" t="s">
        <v>1523</v>
      </c>
      <c r="F379" s="19">
        <v>10000000</v>
      </c>
      <c r="G379" s="20">
        <v>800000</v>
      </c>
      <c r="H379" s="21">
        <v>46021</v>
      </c>
      <c r="I379" s="22">
        <f>IF(H379&gt;0,EDATE(H379,-2),"")</f>
        <v>25569.375</v>
      </c>
      <c r="J379" s="18" t="s">
        <v>306</v>
      </c>
      <c r="K379" s="18" t="s">
        <v>1524</v>
      </c>
      <c r="L379" s="23">
        <f>IF(E379&gt;0,E379,"")</f>
      </c>
      <c r="M379" s="19" t="s">
        <v>1525</v>
      </c>
      <c r="N379" s="19" t="s">
        <v>1526</v>
      </c>
      <c r="O379" s="22">
        <f>IF(ISNUMBER(I379), EDATE(I379,36)-1, "")</f>
        <v>25569.375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x14ac:dyDescent="0.25" r="380" customHeight="1" ht="18.75">
      <c r="A380" s="9" t="s">
        <v>152</v>
      </c>
      <c r="B380" s="18" t="s">
        <v>16</v>
      </c>
      <c r="C380" s="9" t="s">
        <v>55</v>
      </c>
      <c r="D380" s="9" t="s">
        <v>56</v>
      </c>
      <c r="E380" s="18" t="s">
        <v>57</v>
      </c>
      <c r="F380" s="19">
        <v>20000000</v>
      </c>
      <c r="G380" s="20">
        <v>1000000</v>
      </c>
      <c r="H380" s="21">
        <v>46061</v>
      </c>
      <c r="I380" s="22">
        <f>IF(H380&gt;0,EDATE(H380,-2),"")</f>
        <v>25569.375</v>
      </c>
      <c r="J380" s="18" t="s">
        <v>234</v>
      </c>
      <c r="K380" s="18" t="s">
        <v>235</v>
      </c>
      <c r="L380" s="23">
        <f>IF(E380&gt;0,E380,"")</f>
      </c>
      <c r="M380" s="19">
        <v>6904082396527</v>
      </c>
      <c r="N380" s="19">
        <v>86270733</v>
      </c>
      <c r="O380" s="22">
        <f>IF(ISNUMBER(I380), EDATE(I380,36)-1, "")</f>
        <v>25569.375</v>
      </c>
      <c r="P380" s="9"/>
      <c r="Q380" s="9"/>
      <c r="R380" s="9" t="s">
        <v>58</v>
      </c>
      <c r="S380" s="9"/>
      <c r="T380" s="9"/>
      <c r="U380" s="9"/>
      <c r="V380" s="9"/>
      <c r="W380" s="9"/>
      <c r="X380" s="9"/>
      <c r="Y380" s="9"/>
      <c r="Z380" s="9"/>
    </row>
    <row x14ac:dyDescent="0.25" r="381" customHeight="1" ht="18.75">
      <c r="A381" s="9"/>
      <c r="B381" s="18" t="s">
        <v>1527</v>
      </c>
      <c r="C381" s="9"/>
      <c r="D381" s="9"/>
      <c r="E381" s="18" t="s">
        <v>1528</v>
      </c>
      <c r="F381" s="19">
        <v>30000000</v>
      </c>
      <c r="G381" s="20">
        <v>1500000</v>
      </c>
      <c r="H381" s="21">
        <v>45725</v>
      </c>
      <c r="I381" s="22">
        <f>IF(H381&gt;0,EDATE(H381,-2),"")</f>
        <v>25569.375</v>
      </c>
      <c r="J381" s="18" t="s">
        <v>217</v>
      </c>
      <c r="K381" s="18" t="s">
        <v>1529</v>
      </c>
      <c r="L381" s="23">
        <f>IF(E381&gt;0,E381,"")</f>
      </c>
      <c r="M381" s="19" t="s">
        <v>1530</v>
      </c>
      <c r="N381" s="19" t="s">
        <v>1440</v>
      </c>
      <c r="O381" s="22">
        <f>IF(ISNUMBER(I381), EDATE(I381,36)-1, "")</f>
        <v>25569.375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x14ac:dyDescent="0.25" r="382" customHeight="1" ht="18.75">
      <c r="A382" s="9"/>
      <c r="B382" s="18" t="s">
        <v>16</v>
      </c>
      <c r="C382" s="9" t="s">
        <v>816</v>
      </c>
      <c r="D382" s="9" t="s">
        <v>114</v>
      </c>
      <c r="E382" s="18" t="s">
        <v>1531</v>
      </c>
      <c r="F382" s="19">
        <v>20000000</v>
      </c>
      <c r="G382" s="20">
        <v>1528000</v>
      </c>
      <c r="H382" s="21">
        <v>46208</v>
      </c>
      <c r="I382" s="22">
        <f>IF(H382&gt;0,EDATE(H382,-2),"")</f>
        <v>25569.375</v>
      </c>
      <c r="J382" s="18" t="s">
        <v>168</v>
      </c>
      <c r="K382" s="18" t="s">
        <v>1532</v>
      </c>
      <c r="L382" s="23">
        <f>IF(E382&gt;0,E382,"")</f>
      </c>
      <c r="M382" s="19" t="s">
        <v>1533</v>
      </c>
      <c r="N382" s="19">
        <v>75885488</v>
      </c>
      <c r="O382" s="22">
        <f>IF(ISNUMBER(I382), EDATE(I382,36)-1, "")</f>
        <v>25569.375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x14ac:dyDescent="0.25" r="383" customHeight="1" ht="18.75">
      <c r="A383" s="9"/>
      <c r="B383" s="18" t="s">
        <v>16</v>
      </c>
      <c r="C383" s="9"/>
      <c r="D383" s="9" t="s">
        <v>22</v>
      </c>
      <c r="E383" s="18" t="s">
        <v>1534</v>
      </c>
      <c r="F383" s="19">
        <v>10000000</v>
      </c>
      <c r="G383" s="20">
        <v>800000</v>
      </c>
      <c r="H383" s="21">
        <v>46177</v>
      </c>
      <c r="I383" s="22">
        <f>IF(H383&gt;0,EDATE(H383,-2),"")</f>
        <v>25569.375</v>
      </c>
      <c r="J383" s="18" t="s">
        <v>161</v>
      </c>
      <c r="K383" s="18" t="s">
        <v>1535</v>
      </c>
      <c r="L383" s="23">
        <f>IF(E383&gt;0,E383,"")</f>
      </c>
      <c r="M383" s="19" t="s">
        <v>1536</v>
      </c>
      <c r="N383" s="19" t="s">
        <v>1537</v>
      </c>
      <c r="O383" s="22">
        <f>IF(ISNUMBER(I383), EDATE(I383,36)-1, "")</f>
        <v>25569.375</v>
      </c>
      <c r="P383" s="9" t="s">
        <v>1538</v>
      </c>
      <c r="Q383" s="9" t="s">
        <v>166</v>
      </c>
      <c r="R383" s="9"/>
      <c r="S383" s="9"/>
      <c r="T383" s="9"/>
      <c r="U383" s="9"/>
      <c r="V383" s="9"/>
      <c r="W383" s="9"/>
      <c r="X383" s="9"/>
      <c r="Y383" s="9"/>
      <c r="Z383" s="9"/>
    </row>
    <row x14ac:dyDescent="0.25" r="384" customHeight="1" ht="18.75">
      <c r="A384" s="9"/>
      <c r="B384" s="18" t="s">
        <v>16</v>
      </c>
      <c r="C384" s="9"/>
      <c r="D384" s="9"/>
      <c r="E384" s="18" t="s">
        <v>1539</v>
      </c>
      <c r="F384" s="19">
        <v>10000000</v>
      </c>
      <c r="G384" s="20">
        <v>800000</v>
      </c>
      <c r="H384" s="21">
        <v>46055</v>
      </c>
      <c r="I384" s="22">
        <f>IF(H384&gt;0,EDATE(H384,-2),"")</f>
        <v>25569.375</v>
      </c>
      <c r="J384" s="18" t="s">
        <v>217</v>
      </c>
      <c r="K384" s="18" t="s">
        <v>1540</v>
      </c>
      <c r="L384" s="23">
        <f>IF(E384&gt;0,E384,"")</f>
      </c>
      <c r="M384" s="19" t="s">
        <v>1541</v>
      </c>
      <c r="N384" s="19" t="s">
        <v>1542</v>
      </c>
      <c r="O384" s="22">
        <f>IF(ISNUMBER(I384), EDATE(I384,36)-1, "")</f>
        <v>25569.375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x14ac:dyDescent="0.25" r="385" customHeight="1" ht="18.75">
      <c r="A385" s="9" t="s">
        <v>63</v>
      </c>
      <c r="B385" s="18" t="s">
        <v>16</v>
      </c>
      <c r="C385" s="9" t="s">
        <v>202</v>
      </c>
      <c r="D385" s="9" t="s">
        <v>203</v>
      </c>
      <c r="E385" s="18" t="s">
        <v>1543</v>
      </c>
      <c r="F385" s="19">
        <v>20000000</v>
      </c>
      <c r="G385" s="20">
        <v>1528000</v>
      </c>
      <c r="H385" s="21">
        <v>46213</v>
      </c>
      <c r="I385" s="22">
        <f>IF(H385&gt;0,EDATE(H385,-2),"")</f>
        <v>25569.375</v>
      </c>
      <c r="J385" s="18" t="s">
        <v>239</v>
      </c>
      <c r="K385" s="18" t="s">
        <v>1544</v>
      </c>
      <c r="L385" s="23">
        <f>IF(E385&gt;0,E385,"")</f>
      </c>
      <c r="M385" s="19" t="s">
        <v>1545</v>
      </c>
      <c r="N385" s="19">
        <v>27162186</v>
      </c>
      <c r="O385" s="22">
        <f>IF(ISNUMBER(I385), EDATE(I385,36)-1, "")</f>
        <v>25569.375</v>
      </c>
      <c r="P385" s="9"/>
      <c r="Q385" s="9"/>
      <c r="R385" s="9" t="s">
        <v>1546</v>
      </c>
      <c r="S385" s="9"/>
      <c r="T385" s="9"/>
      <c r="U385" s="9"/>
      <c r="V385" s="9"/>
      <c r="W385" s="9"/>
      <c r="X385" s="9"/>
      <c r="Y385" s="9"/>
      <c r="Z385" s="9"/>
    </row>
    <row x14ac:dyDescent="0.25" r="386" customHeight="1" ht="18.75">
      <c r="A386" s="24"/>
      <c r="B386" s="25" t="s">
        <v>16</v>
      </c>
      <c r="C386" s="24" t="s">
        <v>454</v>
      </c>
      <c r="D386" s="24" t="s">
        <v>318</v>
      </c>
      <c r="E386" s="25" t="s">
        <v>1547</v>
      </c>
      <c r="F386" s="26">
        <v>10000000</v>
      </c>
      <c r="G386" s="27">
        <v>800000</v>
      </c>
      <c r="H386" s="28">
        <v>46126</v>
      </c>
      <c r="I386" s="29">
        <f>IF(H386&gt;0,EDATE(H386,-2),"")</f>
        <v>25569.375</v>
      </c>
      <c r="J386" s="25" t="s">
        <v>988</v>
      </c>
      <c r="K386" s="25" t="s">
        <v>1548</v>
      </c>
      <c r="L386" s="25" t="s">
        <v>1549</v>
      </c>
      <c r="M386" s="26" t="s">
        <v>1550</v>
      </c>
      <c r="N386" s="26" t="s">
        <v>1551</v>
      </c>
      <c r="O386" s="29">
        <f>IF(ISNUMBER(I386), EDATE(I386,36)-1, "")</f>
        <v>25569.375</v>
      </c>
      <c r="P386" s="24" t="s">
        <v>1552</v>
      </c>
      <c r="Q386" s="24" t="s">
        <v>166</v>
      </c>
      <c r="R386" s="24" t="s">
        <v>1553</v>
      </c>
      <c r="S386" s="9"/>
      <c r="T386" s="9"/>
      <c r="U386" s="9"/>
      <c r="V386" s="9"/>
      <c r="W386" s="9"/>
      <c r="X386" s="9"/>
      <c r="Y386" s="9"/>
      <c r="Z386" s="9"/>
    </row>
    <row x14ac:dyDescent="0.25" r="387" customHeight="1" ht="18.75">
      <c r="A387" s="24" t="s">
        <v>152</v>
      </c>
      <c r="B387" s="25" t="s">
        <v>16</v>
      </c>
      <c r="C387" s="24" t="s">
        <v>454</v>
      </c>
      <c r="D387" s="24" t="s">
        <v>1547</v>
      </c>
      <c r="E387" s="25" t="s">
        <v>1547</v>
      </c>
      <c r="F387" s="26">
        <v>10000000</v>
      </c>
      <c r="G387" s="27">
        <v>800000</v>
      </c>
      <c r="H387" s="28">
        <v>46167</v>
      </c>
      <c r="I387" s="29">
        <f>IF(H387&gt;0,EDATE(H387,-2),"")</f>
        <v>25569.375</v>
      </c>
      <c r="J387" s="25" t="s">
        <v>302</v>
      </c>
      <c r="K387" s="25" t="s">
        <v>1554</v>
      </c>
      <c r="L387" s="25" t="s">
        <v>1555</v>
      </c>
      <c r="M387" s="26" t="s">
        <v>1550</v>
      </c>
      <c r="N387" s="26" t="s">
        <v>1551</v>
      </c>
      <c r="O387" s="29">
        <f>IF(ISNUMBER(I387), EDATE(I387,36)-1, "")</f>
        <v>25569.375</v>
      </c>
      <c r="P387" s="24" t="s">
        <v>1556</v>
      </c>
      <c r="Q387" s="24" t="s">
        <v>166</v>
      </c>
      <c r="R387" s="24" t="s">
        <v>1557</v>
      </c>
      <c r="S387" s="9"/>
      <c r="T387" s="9"/>
      <c r="U387" s="9"/>
      <c r="V387" s="9"/>
      <c r="W387" s="9"/>
      <c r="X387" s="9"/>
      <c r="Y387" s="9"/>
      <c r="Z387" s="9"/>
    </row>
    <row x14ac:dyDescent="0.25" r="388" customHeight="1" ht="18.75">
      <c r="A388" s="24" t="s">
        <v>1558</v>
      </c>
      <c r="B388" s="25" t="s">
        <v>16</v>
      </c>
      <c r="C388" s="24" t="s">
        <v>454</v>
      </c>
      <c r="D388" s="24" t="s">
        <v>318</v>
      </c>
      <c r="E388" s="25" t="s">
        <v>1547</v>
      </c>
      <c r="F388" s="26">
        <v>20000000</v>
      </c>
      <c r="G388" s="27">
        <v>1528000</v>
      </c>
      <c r="H388" s="28">
        <v>46162</v>
      </c>
      <c r="I388" s="29">
        <f>IF(H388&gt;0,EDATE(H388,-2),"")</f>
        <v>25569.375</v>
      </c>
      <c r="J388" s="25" t="s">
        <v>555</v>
      </c>
      <c r="K388" s="25" t="s">
        <v>1559</v>
      </c>
      <c r="L388" s="30">
        <f>IF(E388&gt;0,E388,"")</f>
      </c>
      <c r="M388" s="26" t="s">
        <v>1560</v>
      </c>
      <c r="N388" s="26">
        <v>33646259</v>
      </c>
      <c r="O388" s="29">
        <f>IF(ISNUMBER(I388), EDATE(I388,36)-1, "")</f>
        <v>25569.375</v>
      </c>
      <c r="P388" s="24"/>
      <c r="Q388" s="24"/>
      <c r="R388" s="24" t="s">
        <v>1561</v>
      </c>
      <c r="S388" s="9"/>
      <c r="T388" s="9"/>
      <c r="U388" s="9"/>
      <c r="V388" s="9"/>
      <c r="W388" s="9"/>
      <c r="X388" s="9"/>
      <c r="Y388" s="9"/>
      <c r="Z388" s="9"/>
    </row>
    <row x14ac:dyDescent="0.25" r="389" customHeight="1" ht="18.75">
      <c r="A389" s="9"/>
      <c r="B389" s="18" t="s">
        <v>16</v>
      </c>
      <c r="C389" s="9"/>
      <c r="D389" s="9"/>
      <c r="E389" s="18" t="s">
        <v>1562</v>
      </c>
      <c r="F389" s="19">
        <v>20000000</v>
      </c>
      <c r="G389" s="20">
        <v>1528000</v>
      </c>
      <c r="H389" s="21">
        <v>46158</v>
      </c>
      <c r="I389" s="22">
        <f>IF(H389&gt;0,EDATE(H389,-2),"")</f>
        <v>25569.375</v>
      </c>
      <c r="J389" s="18" t="s">
        <v>217</v>
      </c>
      <c r="K389" s="18" t="s">
        <v>1563</v>
      </c>
      <c r="L389" s="23">
        <f>IF(E389&gt;0,E389,"")</f>
      </c>
      <c r="M389" s="19" t="s">
        <v>1564</v>
      </c>
      <c r="N389" s="19" t="s">
        <v>1565</v>
      </c>
      <c r="O389" s="22">
        <f>IF(ISNUMBER(I389), EDATE(I389,36)-1, "")</f>
        <v>25569.375</v>
      </c>
      <c r="P389" s="9" t="s">
        <v>1566</v>
      </c>
      <c r="Q389" s="9" t="s">
        <v>166</v>
      </c>
      <c r="R389" s="9"/>
      <c r="S389" s="9"/>
      <c r="T389" s="9"/>
      <c r="U389" s="9"/>
      <c r="V389" s="9"/>
      <c r="W389" s="9"/>
      <c r="X389" s="9"/>
      <c r="Y389" s="9"/>
      <c r="Z389" s="9"/>
    </row>
    <row x14ac:dyDescent="0.25" r="390" customHeight="1" ht="18.75">
      <c r="A390" s="9"/>
      <c r="B390" s="18" t="s">
        <v>16</v>
      </c>
      <c r="C390" s="9"/>
      <c r="D390" s="9"/>
      <c r="E390" s="18" t="s">
        <v>1567</v>
      </c>
      <c r="F390" s="19">
        <v>60000000</v>
      </c>
      <c r="G390" s="20">
        <v>4056000</v>
      </c>
      <c r="H390" s="21">
        <v>46004</v>
      </c>
      <c r="I390" s="22">
        <f>IF(H390&gt;0,EDATE(H390,-2),"")</f>
        <v>25569.375</v>
      </c>
      <c r="J390" s="18" t="s">
        <v>306</v>
      </c>
      <c r="K390" s="18" t="s">
        <v>1568</v>
      </c>
      <c r="L390" s="23">
        <f>IF(E390&gt;0,E390,"")</f>
      </c>
      <c r="M390" s="19" t="s">
        <v>1569</v>
      </c>
      <c r="N390" s="19" t="s">
        <v>1570</v>
      </c>
      <c r="O390" s="22">
        <f>IF(ISNUMBER(I390), EDATE(I390,36)-1, "")</f>
        <v>25569.375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x14ac:dyDescent="0.25" r="391" customHeight="1" ht="18.75">
      <c r="A391" s="9"/>
      <c r="B391" s="18" t="s">
        <v>16</v>
      </c>
      <c r="C391" s="9"/>
      <c r="D391" s="9"/>
      <c r="E391" s="18" t="s">
        <v>1571</v>
      </c>
      <c r="F391" s="19">
        <v>10000000</v>
      </c>
      <c r="G391" s="20">
        <v>800000</v>
      </c>
      <c r="H391" s="21">
        <v>46197</v>
      </c>
      <c r="I391" s="22">
        <f>IF(H391&gt;0,EDATE(H391,-2),"")</f>
        <v>25569.375</v>
      </c>
      <c r="J391" s="18" t="s">
        <v>161</v>
      </c>
      <c r="K391" s="18" t="s">
        <v>1572</v>
      </c>
      <c r="L391" s="23">
        <f>IF(E391&gt;0,E391,"")</f>
      </c>
      <c r="M391" s="19" t="s">
        <v>1573</v>
      </c>
      <c r="N391" s="19" t="s">
        <v>1574</v>
      </c>
      <c r="O391" s="22">
        <f>IF(ISNUMBER(I391), EDATE(I391,36)-1, "")</f>
        <v>25569.375</v>
      </c>
      <c r="P391" s="9"/>
      <c r="Q391" s="9" t="s">
        <v>166</v>
      </c>
      <c r="R391" s="9"/>
      <c r="S391" s="9"/>
      <c r="T391" s="9"/>
      <c r="U391" s="9"/>
      <c r="V391" s="9"/>
      <c r="W391" s="9"/>
      <c r="X391" s="9"/>
      <c r="Y391" s="9"/>
      <c r="Z391" s="9"/>
    </row>
    <row x14ac:dyDescent="0.25" r="392" customHeight="1" ht="18.75">
      <c r="A392" s="9"/>
      <c r="B392" s="18" t="s">
        <v>16</v>
      </c>
      <c r="C392" s="9"/>
      <c r="D392" s="9"/>
      <c r="E392" s="18" t="s">
        <v>1575</v>
      </c>
      <c r="F392" s="19">
        <v>30000000</v>
      </c>
      <c r="G392" s="20">
        <v>2400000</v>
      </c>
      <c r="H392" s="21">
        <v>45986</v>
      </c>
      <c r="I392" s="22">
        <f>IF(H392&gt;0,EDATE(H392,-2),"")</f>
        <v>25569.375</v>
      </c>
      <c r="J392" s="18" t="s">
        <v>302</v>
      </c>
      <c r="K392" s="18" t="s">
        <v>1576</v>
      </c>
      <c r="L392" s="23">
        <f>IF(E392&gt;0,E392,"")</f>
      </c>
      <c r="M392" s="19" t="s">
        <v>1577</v>
      </c>
      <c r="N392" s="19" t="s">
        <v>1578</v>
      </c>
      <c r="O392" s="22">
        <f>IF(ISNUMBER(I392), EDATE(I392,36)-1, "")</f>
        <v>25569.375</v>
      </c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x14ac:dyDescent="0.25" r="393" customHeight="1" ht="18.75">
      <c r="A393" s="9"/>
      <c r="B393" s="18" t="s">
        <v>16</v>
      </c>
      <c r="C393" s="9"/>
      <c r="D393" s="9"/>
      <c r="E393" s="18" t="s">
        <v>1579</v>
      </c>
      <c r="F393" s="19">
        <v>10000000</v>
      </c>
      <c r="G393" s="20">
        <v>500000</v>
      </c>
      <c r="H393" s="21">
        <v>46186</v>
      </c>
      <c r="I393" s="22">
        <f>IF(H393&gt;0,EDATE(H393,-2),"")</f>
        <v>25569.375</v>
      </c>
      <c r="J393" s="18" t="s">
        <v>1580</v>
      </c>
      <c r="K393" s="18" t="s">
        <v>1581</v>
      </c>
      <c r="L393" s="23">
        <f>IF(E393&gt;0,E393,"")</f>
      </c>
      <c r="M393" s="19" t="s">
        <v>1582</v>
      </c>
      <c r="N393" s="19" t="s">
        <v>1583</v>
      </c>
      <c r="O393" s="22">
        <f>IF(ISNUMBER(I393), EDATE(I393,36)-1, "")</f>
        <v>25569.375</v>
      </c>
      <c r="P393" s="9" t="s">
        <v>1584</v>
      </c>
      <c r="Q393" s="9" t="s">
        <v>166</v>
      </c>
      <c r="R393" s="9"/>
      <c r="S393" s="9"/>
      <c r="T393" s="9"/>
      <c r="U393" s="9"/>
      <c r="V393" s="9"/>
      <c r="W393" s="9"/>
      <c r="X393" s="9"/>
      <c r="Y393" s="9"/>
      <c r="Z393" s="9"/>
    </row>
    <row x14ac:dyDescent="0.25" r="394" customHeight="1" ht="18.75">
      <c r="A394" s="9"/>
      <c r="B394" s="18" t="s">
        <v>16</v>
      </c>
      <c r="C394" s="9" t="s">
        <v>143</v>
      </c>
      <c r="D394" s="9" t="s">
        <v>1498</v>
      </c>
      <c r="E394" s="18" t="s">
        <v>1585</v>
      </c>
      <c r="F394" s="19">
        <v>60000000</v>
      </c>
      <c r="G394" s="20">
        <v>4000000</v>
      </c>
      <c r="H394" s="21">
        <v>46211</v>
      </c>
      <c r="I394" s="22">
        <f>IF(H394&gt;0,EDATE(H394,-2),"")</f>
        <v>25569.375</v>
      </c>
      <c r="J394" s="18" t="s">
        <v>155</v>
      </c>
      <c r="K394" s="18" t="s">
        <v>1586</v>
      </c>
      <c r="L394" s="23">
        <f>IF(E394&gt;0,E394,"")</f>
      </c>
      <c r="M394" s="19" t="s">
        <v>1587</v>
      </c>
      <c r="N394" s="19" t="s">
        <v>1588</v>
      </c>
      <c r="O394" s="22">
        <f>IF(ISNUMBER(I394), EDATE(I394,36)-1, "")</f>
        <v>25569.375</v>
      </c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x14ac:dyDescent="0.25" r="395" customHeight="1" ht="18.75">
      <c r="A395" s="9"/>
      <c r="B395" s="18" t="s">
        <v>16</v>
      </c>
      <c r="C395" s="9" t="s">
        <v>143</v>
      </c>
      <c r="D395" s="9" t="s">
        <v>22</v>
      </c>
      <c r="E395" s="18" t="s">
        <v>1589</v>
      </c>
      <c r="F395" s="19">
        <v>10000000</v>
      </c>
      <c r="G395" s="20">
        <v>800000</v>
      </c>
      <c r="H395" s="21">
        <v>46172</v>
      </c>
      <c r="I395" s="22">
        <f>IF(H395&gt;0,EDATE(H395,-2),"")</f>
        <v>25569.375</v>
      </c>
      <c r="J395" s="18" t="s">
        <v>217</v>
      </c>
      <c r="K395" s="18" t="s">
        <v>1590</v>
      </c>
      <c r="L395" s="23">
        <f>IF(E395&gt;0,E395,"")</f>
      </c>
      <c r="M395" s="19" t="s">
        <v>1591</v>
      </c>
      <c r="N395" s="19" t="s">
        <v>1592</v>
      </c>
      <c r="O395" s="22">
        <f>IF(ISNUMBER(I395), EDATE(I395,36)-1, "")</f>
        <v>25569.375</v>
      </c>
      <c r="P395" s="9" t="s">
        <v>1593</v>
      </c>
      <c r="Q395" s="9" t="s">
        <v>166</v>
      </c>
      <c r="R395" s="9"/>
      <c r="S395" s="9"/>
      <c r="T395" s="9"/>
      <c r="U395" s="9"/>
      <c r="V395" s="9"/>
      <c r="W395" s="9"/>
      <c r="X395" s="9"/>
      <c r="Y395" s="9"/>
      <c r="Z395" s="9"/>
    </row>
    <row x14ac:dyDescent="0.25" r="396" customHeight="1" ht="18.75">
      <c r="A396" s="9"/>
      <c r="B396" s="18" t="s">
        <v>16</v>
      </c>
      <c r="C396" s="9"/>
      <c r="D396" s="9"/>
      <c r="E396" s="18" t="s">
        <v>59</v>
      </c>
      <c r="F396" s="19">
        <v>10000000</v>
      </c>
      <c r="G396" s="20"/>
      <c r="H396" s="21">
        <v>45819</v>
      </c>
      <c r="I396" s="22">
        <f>IF(H396&gt;0,EDATE(H396,-2),"")</f>
        <v>25569.375</v>
      </c>
      <c r="J396" s="18" t="s">
        <v>168</v>
      </c>
      <c r="K396" s="18" t="s">
        <v>471</v>
      </c>
      <c r="L396" s="23">
        <f>IF(E396&gt;0,E396,"")</f>
      </c>
      <c r="M396" s="19" t="s">
        <v>1594</v>
      </c>
      <c r="N396" s="19" t="s">
        <v>1595</v>
      </c>
      <c r="O396" s="22">
        <f>IF(ISNUMBER(I396), EDATE(I396,36)-1, "")</f>
        <v>25569.375</v>
      </c>
      <c r="P396" s="9" t="s">
        <v>60</v>
      </c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x14ac:dyDescent="0.25" r="397" customHeight="1" ht="18.75">
      <c r="A397" s="9" t="s">
        <v>275</v>
      </c>
      <c r="B397" s="18" t="s">
        <v>16</v>
      </c>
      <c r="C397" s="9"/>
      <c r="D397" s="9"/>
      <c r="E397" s="18" t="s">
        <v>59</v>
      </c>
      <c r="F397" s="19">
        <v>10000000</v>
      </c>
      <c r="G397" s="20"/>
      <c r="H397" s="21">
        <v>46184</v>
      </c>
      <c r="I397" s="22">
        <f>IF(H397&gt;0,EDATE(H397,-2),"")</f>
        <v>25569.375</v>
      </c>
      <c r="J397" s="18" t="s">
        <v>168</v>
      </c>
      <c r="K397" s="18" t="s">
        <v>471</v>
      </c>
      <c r="L397" s="23">
        <f>IF(E397&gt;0,E397,"")</f>
      </c>
      <c r="M397" s="19" t="s">
        <v>1594</v>
      </c>
      <c r="N397" s="19">
        <v>84335153</v>
      </c>
      <c r="O397" s="22">
        <f>IF(ISNUMBER(I397), EDATE(I397,36)-1, "")</f>
        <v>25569.375</v>
      </c>
      <c r="P397" s="9"/>
      <c r="Q397" s="9"/>
      <c r="R397" s="9" t="s">
        <v>61</v>
      </c>
      <c r="S397" s="9"/>
      <c r="T397" s="9"/>
      <c r="U397" s="9"/>
      <c r="V397" s="9"/>
      <c r="W397" s="9"/>
      <c r="X397" s="9"/>
      <c r="Y397" s="9"/>
      <c r="Z397" s="9"/>
    </row>
    <row x14ac:dyDescent="0.25" r="398" customHeight="1" ht="18.75">
      <c r="A398" s="9"/>
      <c r="B398" s="18" t="s">
        <v>16</v>
      </c>
      <c r="C398" s="9" t="s">
        <v>48</v>
      </c>
      <c r="D398" s="9" t="s">
        <v>117</v>
      </c>
      <c r="E398" s="18" t="s">
        <v>1596</v>
      </c>
      <c r="F398" s="19">
        <v>10000000</v>
      </c>
      <c r="G398" s="20"/>
      <c r="H398" s="21">
        <v>46177</v>
      </c>
      <c r="I398" s="22">
        <f>IF(H398&gt;0,EDATE(H398,-2),"")</f>
        <v>25569.375</v>
      </c>
      <c r="J398" s="18" t="s">
        <v>239</v>
      </c>
      <c r="K398" s="18" t="s">
        <v>1597</v>
      </c>
      <c r="L398" s="23">
        <f>IF(E398&gt;0,E398,"")</f>
      </c>
      <c r="M398" s="19" t="s">
        <v>1598</v>
      </c>
      <c r="N398" s="19">
        <v>55834758</v>
      </c>
      <c r="O398" s="22">
        <f>IF(ISNUMBER(I398), EDATE(I398,36)-1, "")</f>
        <v>25569.375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x14ac:dyDescent="0.25" r="399" customHeight="1" ht="18.75">
      <c r="A399" s="9"/>
      <c r="B399" s="18" t="s">
        <v>16</v>
      </c>
      <c r="C399" s="9" t="s">
        <v>410</v>
      </c>
      <c r="D399" s="9" t="s">
        <v>411</v>
      </c>
      <c r="E399" s="18" t="s">
        <v>1599</v>
      </c>
      <c r="F399" s="19">
        <v>10000000</v>
      </c>
      <c r="G399" s="20"/>
      <c r="H399" s="21">
        <v>46190</v>
      </c>
      <c r="I399" s="22">
        <f>IF(H399&gt;0,EDATE(H399,-2),"")</f>
        <v>25569.375</v>
      </c>
      <c r="J399" s="18" t="s">
        <v>217</v>
      </c>
      <c r="K399" s="18" t="s">
        <v>1600</v>
      </c>
      <c r="L399" s="23">
        <f>IF(E399&gt;0,E399,"")</f>
      </c>
      <c r="M399" s="19">
        <v>303224041529</v>
      </c>
      <c r="N399" s="19">
        <v>83003530</v>
      </c>
      <c r="O399" s="22">
        <f>IF(ISNUMBER(I399), EDATE(I399,36)-1, "")</f>
        <v>25569.375</v>
      </c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x14ac:dyDescent="0.25" r="400" customHeight="1" ht="18.75">
      <c r="A400" s="9"/>
      <c r="B400" s="18" t="s">
        <v>16</v>
      </c>
      <c r="C400" s="9"/>
      <c r="D400" s="9"/>
      <c r="E400" s="18" t="s">
        <v>62</v>
      </c>
      <c r="F400" s="19">
        <v>10000000</v>
      </c>
      <c r="G400" s="20"/>
      <c r="H400" s="21">
        <v>45983</v>
      </c>
      <c r="I400" s="22">
        <f>IF(H400&gt;0,EDATE(H400,-2),"")</f>
        <v>25569.375</v>
      </c>
      <c r="J400" s="18" t="s">
        <v>168</v>
      </c>
      <c r="K400" s="18" t="s">
        <v>1601</v>
      </c>
      <c r="L400" s="23">
        <f>IF(E400&gt;0,E400,"")</f>
      </c>
      <c r="M400" s="19" t="s">
        <v>1602</v>
      </c>
      <c r="N400" s="19" t="s">
        <v>1603</v>
      </c>
      <c r="O400" s="22">
        <f>IF(ISNUMBER(I400), EDATE(I400,36)-1, "")</f>
        <v>25569.375</v>
      </c>
      <c r="P400" s="9"/>
      <c r="Q400" s="9"/>
      <c r="R400" s="9" t="s">
        <v>1604</v>
      </c>
      <c r="S400" s="9"/>
      <c r="T400" s="9"/>
      <c r="U400" s="9"/>
      <c r="V400" s="9"/>
      <c r="W400" s="9"/>
      <c r="X400" s="9"/>
      <c r="Y400" s="9"/>
      <c r="Z400" s="9"/>
    </row>
    <row x14ac:dyDescent="0.25" r="401" customHeight="1" ht="18.75">
      <c r="A401" s="9"/>
      <c r="B401" s="18" t="s">
        <v>16</v>
      </c>
      <c r="C401" s="9"/>
      <c r="D401" s="9"/>
      <c r="E401" s="18" t="s">
        <v>62</v>
      </c>
      <c r="F401" s="19">
        <v>20000000</v>
      </c>
      <c r="G401" s="20">
        <v>1528000</v>
      </c>
      <c r="H401" s="21">
        <v>46056</v>
      </c>
      <c r="I401" s="22">
        <f>IF(H401&gt;0,EDATE(H401,-2),"")</f>
        <v>25569.375</v>
      </c>
      <c r="J401" s="18" t="s">
        <v>168</v>
      </c>
      <c r="K401" s="18" t="s">
        <v>1605</v>
      </c>
      <c r="L401" s="23">
        <f>IF(E401&gt;0,E401,"")</f>
      </c>
      <c r="M401" s="19" t="s">
        <v>1602</v>
      </c>
      <c r="N401" s="19" t="s">
        <v>1603</v>
      </c>
      <c r="O401" s="22">
        <f>IF(ISNUMBER(I401), EDATE(I401,36)-1, "")</f>
        <v>25569.375</v>
      </c>
      <c r="P401" s="9"/>
      <c r="Q401" s="9"/>
      <c r="R401" s="9" t="s">
        <v>63</v>
      </c>
      <c r="S401" s="9"/>
      <c r="T401" s="9"/>
      <c r="U401" s="9"/>
      <c r="V401" s="9"/>
      <c r="W401" s="9"/>
      <c r="X401" s="9"/>
      <c r="Y401" s="9"/>
      <c r="Z401" s="9"/>
    </row>
    <row x14ac:dyDescent="0.25" r="402" customHeight="1" ht="18.75">
      <c r="A402" s="9"/>
      <c r="B402" s="18" t="s">
        <v>16</v>
      </c>
      <c r="C402" s="9"/>
      <c r="D402" s="9" t="s">
        <v>613</v>
      </c>
      <c r="E402" s="18" t="s">
        <v>1606</v>
      </c>
      <c r="F402" s="19">
        <v>10000000</v>
      </c>
      <c r="G402" s="20">
        <v>500000</v>
      </c>
      <c r="H402" s="21">
        <v>46188</v>
      </c>
      <c r="I402" s="22">
        <f>IF(H402&gt;0,EDATE(H402,-2),"")</f>
        <v>25569.375</v>
      </c>
      <c r="J402" s="18" t="s">
        <v>1139</v>
      </c>
      <c r="K402" s="18" t="s">
        <v>1607</v>
      </c>
      <c r="L402" s="23">
        <f>IF(E402&gt;0,E402,"")</f>
      </c>
      <c r="M402" s="19" t="s">
        <v>1608</v>
      </c>
      <c r="N402" s="19" t="s">
        <v>1609</v>
      </c>
      <c r="O402" s="22">
        <f>IF(ISNUMBER(I402), EDATE(I402,36)-1, "")</f>
        <v>25569.375</v>
      </c>
      <c r="P402" s="9" t="s">
        <v>1610</v>
      </c>
      <c r="Q402" s="9" t="s">
        <v>166</v>
      </c>
      <c r="R402" s="9"/>
      <c r="S402" s="9"/>
      <c r="T402" s="9"/>
      <c r="U402" s="9"/>
      <c r="V402" s="9"/>
      <c r="W402" s="9"/>
      <c r="X402" s="9"/>
      <c r="Y402" s="9"/>
      <c r="Z402" s="9"/>
    </row>
    <row x14ac:dyDescent="0.25" r="403" customHeight="1" ht="18.75">
      <c r="A403" s="9"/>
      <c r="B403" s="18" t="s">
        <v>16</v>
      </c>
      <c r="C403" s="9"/>
      <c r="D403" s="9"/>
      <c r="E403" s="18" t="s">
        <v>1611</v>
      </c>
      <c r="F403" s="19">
        <v>10000000</v>
      </c>
      <c r="G403" s="20"/>
      <c r="H403" s="21">
        <v>46184</v>
      </c>
      <c r="I403" s="22">
        <f>IF(H403&gt;0,EDATE(H403,-2),"")</f>
        <v>25569.375</v>
      </c>
      <c r="J403" s="18" t="s">
        <v>168</v>
      </c>
      <c r="K403" s="18" t="s">
        <v>471</v>
      </c>
      <c r="L403" s="23">
        <f>IF(E403&gt;0,E403,"")</f>
      </c>
      <c r="M403" s="19" t="s">
        <v>1612</v>
      </c>
      <c r="N403" s="19" t="s">
        <v>1613</v>
      </c>
      <c r="O403" s="22">
        <f>IF(ISNUMBER(I403), EDATE(I403,36)-1, "")</f>
        <v>25569.375</v>
      </c>
      <c r="P403" s="9" t="s">
        <v>1066</v>
      </c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x14ac:dyDescent="0.25" r="404" customHeight="1" ht="18.75">
      <c r="A404" s="9" t="s">
        <v>275</v>
      </c>
      <c r="B404" s="18" t="s">
        <v>16</v>
      </c>
      <c r="C404" s="9"/>
      <c r="D404" s="9"/>
      <c r="E404" s="18" t="s">
        <v>1611</v>
      </c>
      <c r="F404" s="19">
        <v>10000000</v>
      </c>
      <c r="G404" s="20"/>
      <c r="H404" s="21">
        <v>46184</v>
      </c>
      <c r="I404" s="22">
        <f>IF(H404&gt;0,EDATE(H404,-2),"")</f>
        <v>25569.375</v>
      </c>
      <c r="J404" s="18" t="s">
        <v>168</v>
      </c>
      <c r="K404" s="18" t="s">
        <v>471</v>
      </c>
      <c r="L404" s="23">
        <f>IF(E404&gt;0,E404,"")</f>
      </c>
      <c r="M404" s="19" t="s">
        <v>1612</v>
      </c>
      <c r="N404" s="19">
        <v>80655448</v>
      </c>
      <c r="O404" s="22">
        <f>IF(ISNUMBER(I404), EDATE(I404,36)-1, "")</f>
        <v>25569.375</v>
      </c>
      <c r="P404" s="9"/>
      <c r="Q404" s="9"/>
      <c r="R404" s="9" t="s">
        <v>894</v>
      </c>
      <c r="S404" s="9"/>
      <c r="T404" s="9"/>
      <c r="U404" s="9"/>
      <c r="V404" s="9"/>
      <c r="W404" s="9"/>
      <c r="X404" s="9"/>
      <c r="Y404" s="9"/>
      <c r="Z404" s="9"/>
    </row>
    <row x14ac:dyDescent="0.25" r="405" customHeight="1" ht="18.75">
      <c r="A405" s="9"/>
      <c r="B405" s="18" t="s">
        <v>16</v>
      </c>
      <c r="C405" s="9"/>
      <c r="D405" s="9"/>
      <c r="E405" s="18" t="s">
        <v>1614</v>
      </c>
      <c r="F405" s="19">
        <v>10000000</v>
      </c>
      <c r="G405" s="20">
        <v>800000</v>
      </c>
      <c r="H405" s="21">
        <v>46183</v>
      </c>
      <c r="I405" s="22">
        <f>IF(H405&gt;0,EDATE(H405,-2),"")</f>
        <v>25569.375</v>
      </c>
      <c r="J405" s="18" t="s">
        <v>168</v>
      </c>
      <c r="K405" s="18" t="s">
        <v>1615</v>
      </c>
      <c r="L405" s="23">
        <f>IF(E405&gt;0,E405,"")</f>
      </c>
      <c r="M405" s="19" t="s">
        <v>1616</v>
      </c>
      <c r="N405" s="19" t="s">
        <v>1617</v>
      </c>
      <c r="O405" s="22">
        <f>IF(ISNUMBER(I405), EDATE(I405,36)-1, "")</f>
        <v>25569.375</v>
      </c>
      <c r="P405" s="9" t="s">
        <v>1618</v>
      </c>
      <c r="Q405" s="9" t="s">
        <v>166</v>
      </c>
      <c r="R405" s="9"/>
      <c r="S405" s="9"/>
      <c r="T405" s="9"/>
      <c r="U405" s="9"/>
      <c r="V405" s="9"/>
      <c r="W405" s="9"/>
      <c r="X405" s="9"/>
      <c r="Y405" s="9"/>
      <c r="Z405" s="9"/>
    </row>
    <row x14ac:dyDescent="0.25" r="406" customHeight="1" ht="18.75">
      <c r="A406" s="9"/>
      <c r="B406" s="18" t="s">
        <v>16</v>
      </c>
      <c r="C406" s="9" t="s">
        <v>410</v>
      </c>
      <c r="D406" s="9" t="s">
        <v>411</v>
      </c>
      <c r="E406" s="18" t="s">
        <v>1619</v>
      </c>
      <c r="F406" s="19">
        <v>20000000</v>
      </c>
      <c r="G406" s="20">
        <v>1528000</v>
      </c>
      <c r="H406" s="21">
        <v>46170</v>
      </c>
      <c r="I406" s="22">
        <f>IF(H406&gt;0,EDATE(H406,-2),"")</f>
        <v>25569.375</v>
      </c>
      <c r="J406" s="18" t="s">
        <v>302</v>
      </c>
      <c r="K406" s="18" t="s">
        <v>1620</v>
      </c>
      <c r="L406" s="23">
        <f>IF(E406&gt;0,E406,"")</f>
      </c>
      <c r="M406" s="19">
        <v>8206252471216</v>
      </c>
      <c r="N406" s="19">
        <v>21722632</v>
      </c>
      <c r="O406" s="22">
        <f>IF(ISNUMBER(I406), EDATE(I406,36)-1, "")</f>
        <v>25569.375</v>
      </c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x14ac:dyDescent="0.25" r="407" customHeight="1" ht="18.75">
      <c r="A407" s="9"/>
      <c r="B407" s="18" t="s">
        <v>16</v>
      </c>
      <c r="C407" s="9" t="s">
        <v>454</v>
      </c>
      <c r="D407" s="9" t="s">
        <v>574</v>
      </c>
      <c r="E407" s="18" t="s">
        <v>1621</v>
      </c>
      <c r="F407" s="19">
        <v>10000000</v>
      </c>
      <c r="G407" s="20">
        <v>500000</v>
      </c>
      <c r="H407" s="21">
        <v>46183</v>
      </c>
      <c r="I407" s="22">
        <f>IF(H407&gt;0,EDATE(H407,-2),"")</f>
        <v>25569.375</v>
      </c>
      <c r="J407" s="18" t="s">
        <v>1202</v>
      </c>
      <c r="K407" s="18" t="s">
        <v>1622</v>
      </c>
      <c r="L407" s="23">
        <f>IF(E407&gt;0,E407,"")</f>
      </c>
      <c r="M407" s="19" t="s">
        <v>1623</v>
      </c>
      <c r="N407" s="19">
        <v>63015432</v>
      </c>
      <c r="O407" s="22">
        <f>IF(ISNUMBER(I407), EDATE(I407,36)-1, "")</f>
        <v>25569.375</v>
      </c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x14ac:dyDescent="0.25" r="408" customHeight="1" ht="18.75">
      <c r="A408" s="9"/>
      <c r="B408" s="18" t="s">
        <v>16</v>
      </c>
      <c r="C408" s="9" t="s">
        <v>454</v>
      </c>
      <c r="D408" s="9" t="s">
        <v>455</v>
      </c>
      <c r="E408" s="18" t="s">
        <v>1624</v>
      </c>
      <c r="F408" s="19">
        <v>10000000</v>
      </c>
      <c r="G408" s="20">
        <v>800000</v>
      </c>
      <c r="H408" s="21">
        <v>46154</v>
      </c>
      <c r="I408" s="22">
        <f>IF(H408&gt;0,EDATE(H408,-2),"")</f>
        <v>25569.375</v>
      </c>
      <c r="J408" s="18" t="s">
        <v>988</v>
      </c>
      <c r="K408" s="18" t="s">
        <v>1625</v>
      </c>
      <c r="L408" s="23">
        <f>IF(E408&gt;0,E408,"")</f>
      </c>
      <c r="M408" s="19" t="s">
        <v>1626</v>
      </c>
      <c r="N408" s="19">
        <v>22108996</v>
      </c>
      <c r="O408" s="22">
        <f>IF(ISNUMBER(I408), EDATE(I408,36)-1, "")</f>
        <v>25569.375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x14ac:dyDescent="0.25" r="409" customHeight="1" ht="18.75">
      <c r="A409" s="9" t="s">
        <v>152</v>
      </c>
      <c r="B409" s="18" t="s">
        <v>16</v>
      </c>
      <c r="C409" s="9" t="s">
        <v>1627</v>
      </c>
      <c r="D409" s="9"/>
      <c r="E409" s="18" t="s">
        <v>1628</v>
      </c>
      <c r="F409" s="19">
        <v>10000000</v>
      </c>
      <c r="G409" s="20">
        <v>500000</v>
      </c>
      <c r="H409" s="21">
        <v>46196</v>
      </c>
      <c r="I409" s="22">
        <f>IF(H409&gt;0,EDATE(H409,-2),"")</f>
        <v>25569.375</v>
      </c>
      <c r="J409" s="18" t="s">
        <v>161</v>
      </c>
      <c r="K409" s="18" t="s">
        <v>1629</v>
      </c>
      <c r="L409" s="23">
        <f>IF(E409&gt;0,E409,"")</f>
      </c>
      <c r="M409" s="19" t="s">
        <v>1630</v>
      </c>
      <c r="N409" s="19" t="s">
        <v>1631</v>
      </c>
      <c r="O409" s="22">
        <f>IF(ISNUMBER(I409), EDATE(I409,36)-1, "")</f>
        <v>25569.375</v>
      </c>
      <c r="P409" s="9" t="s">
        <v>1632</v>
      </c>
      <c r="Q409" s="9" t="s">
        <v>293</v>
      </c>
      <c r="R409" s="9" t="s">
        <v>1633</v>
      </c>
      <c r="S409" s="9"/>
      <c r="T409" s="9"/>
      <c r="U409" s="9"/>
      <c r="V409" s="9"/>
      <c r="W409" s="9"/>
      <c r="X409" s="9"/>
      <c r="Y409" s="9"/>
      <c r="Z409" s="9"/>
    </row>
    <row x14ac:dyDescent="0.25" r="410" customHeight="1" ht="18.75">
      <c r="A410" s="9"/>
      <c r="B410" s="18" t="s">
        <v>16</v>
      </c>
      <c r="C410" s="9"/>
      <c r="D410" s="9" t="s">
        <v>596</v>
      </c>
      <c r="E410" s="18" t="s">
        <v>1634</v>
      </c>
      <c r="F410" s="19">
        <v>10000000</v>
      </c>
      <c r="G410" s="20">
        <v>800000</v>
      </c>
      <c r="H410" s="21">
        <v>46127</v>
      </c>
      <c r="I410" s="22">
        <f>IF(H410&gt;0,EDATE(H410,-2),"")</f>
        <v>25569.375</v>
      </c>
      <c r="J410" s="18" t="s">
        <v>306</v>
      </c>
      <c r="K410" s="18" t="s">
        <v>1635</v>
      </c>
      <c r="L410" s="23">
        <f>IF(E410&gt;0,E410,"")</f>
      </c>
      <c r="M410" s="19" t="s">
        <v>1636</v>
      </c>
      <c r="N410" s="19" t="s">
        <v>1637</v>
      </c>
      <c r="O410" s="22">
        <f>IF(ISNUMBER(I410), EDATE(I410,36)-1, "")</f>
        <v>25569.375</v>
      </c>
      <c r="P410" s="9" t="s">
        <v>1638</v>
      </c>
      <c r="Q410" s="9" t="s">
        <v>166</v>
      </c>
      <c r="R410" s="9"/>
      <c r="S410" s="9"/>
      <c r="T410" s="9"/>
      <c r="U410" s="9"/>
      <c r="V410" s="9"/>
      <c r="W410" s="9"/>
      <c r="X410" s="9"/>
      <c r="Y410" s="9"/>
      <c r="Z410" s="9"/>
    </row>
    <row x14ac:dyDescent="0.25" r="411" customHeight="1" ht="18.75">
      <c r="A411" s="9"/>
      <c r="B411" s="18" t="s">
        <v>16</v>
      </c>
      <c r="C411" s="9" t="s">
        <v>80</v>
      </c>
      <c r="D411" s="9" t="s">
        <v>596</v>
      </c>
      <c r="E411" s="18" t="s">
        <v>1639</v>
      </c>
      <c r="F411" s="19">
        <v>10000000</v>
      </c>
      <c r="G411" s="20">
        <v>500000</v>
      </c>
      <c r="H411" s="21">
        <v>46173</v>
      </c>
      <c r="I411" s="22">
        <f>IF(H411&gt;0,EDATE(H411,-2),"")</f>
        <v>25569.375</v>
      </c>
      <c r="J411" s="18" t="s">
        <v>302</v>
      </c>
      <c r="K411" s="18" t="s">
        <v>1640</v>
      </c>
      <c r="L411" s="23">
        <f>IF(E411&gt;0,E411,"")</f>
      </c>
      <c r="M411" s="19" t="s">
        <v>1641</v>
      </c>
      <c r="N411" s="19">
        <v>88324391</v>
      </c>
      <c r="O411" s="22">
        <f>IF(ISNUMBER(I411), EDATE(I411,36)-1, "")</f>
        <v>25569.375</v>
      </c>
      <c r="P411" s="9" t="s">
        <v>1642</v>
      </c>
      <c r="Q411" s="9" t="s">
        <v>166</v>
      </c>
      <c r="R411" s="9"/>
      <c r="S411" s="9"/>
      <c r="T411" s="9"/>
      <c r="U411" s="9"/>
      <c r="V411" s="9"/>
      <c r="W411" s="9"/>
      <c r="X411" s="9"/>
      <c r="Y411" s="9"/>
      <c r="Z411" s="9"/>
    </row>
    <row x14ac:dyDescent="0.25" r="412" customHeight="1" ht="18.75">
      <c r="A412" s="9"/>
      <c r="B412" s="18" t="s">
        <v>16</v>
      </c>
      <c r="C412" s="9" t="s">
        <v>48</v>
      </c>
      <c r="D412" s="9" t="s">
        <v>117</v>
      </c>
      <c r="E412" s="18" t="s">
        <v>64</v>
      </c>
      <c r="F412" s="19">
        <v>10000000</v>
      </c>
      <c r="G412" s="20">
        <v>800000</v>
      </c>
      <c r="H412" s="21">
        <v>46090</v>
      </c>
      <c r="I412" s="22">
        <f>IF(H412&gt;0,EDATE(H412,-2),"")</f>
        <v>25569.375</v>
      </c>
      <c r="J412" s="18" t="s">
        <v>155</v>
      </c>
      <c r="K412" s="18" t="s">
        <v>1643</v>
      </c>
      <c r="L412" s="23">
        <f>IF(E412&gt;0,E412,"")</f>
      </c>
      <c r="M412" s="19" t="s">
        <v>1644</v>
      </c>
      <c r="N412" s="19" t="s">
        <v>1645</v>
      </c>
      <c r="O412" s="22">
        <f>IF(ISNUMBER(I412), EDATE(I412,36)-1, "")</f>
        <v>25569.375</v>
      </c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x14ac:dyDescent="0.25" r="413" customHeight="1" ht="18.75">
      <c r="A413" s="9"/>
      <c r="B413" s="18" t="s">
        <v>16</v>
      </c>
      <c r="C413" s="9" t="s">
        <v>143</v>
      </c>
      <c r="D413" s="9" t="s">
        <v>14</v>
      </c>
      <c r="E413" s="18" t="s">
        <v>1646</v>
      </c>
      <c r="F413" s="19">
        <v>10000000</v>
      </c>
      <c r="G413" s="20">
        <v>1200000</v>
      </c>
      <c r="H413" s="21">
        <v>46202</v>
      </c>
      <c r="I413" s="22">
        <f>IF(H413&gt;0,EDATE(H413,-2),"")</f>
        <v>25569.375</v>
      </c>
      <c r="J413" s="18" t="s">
        <v>155</v>
      </c>
      <c r="K413" s="18" t="s">
        <v>1647</v>
      </c>
      <c r="L413" s="23">
        <f>IF(E413&gt;0,E413,"")</f>
      </c>
      <c r="M413" s="19">
        <v>6803201812664</v>
      </c>
      <c r="N413" s="19">
        <v>36058685</v>
      </c>
      <c r="O413" s="22">
        <f>IF(ISNUMBER(I413), EDATE(I413,36)-1, "")</f>
        <v>25569.375</v>
      </c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x14ac:dyDescent="0.25" r="414" customHeight="1" ht="18.75">
      <c r="A414" s="9"/>
      <c r="B414" s="18" t="s">
        <v>16</v>
      </c>
      <c r="C414" s="9" t="s">
        <v>1648</v>
      </c>
      <c r="D414" s="9" t="s">
        <v>1649</v>
      </c>
      <c r="E414" s="18" t="s">
        <v>1650</v>
      </c>
      <c r="F414" s="19">
        <v>10000000</v>
      </c>
      <c r="G414" s="20">
        <v>1200000</v>
      </c>
      <c r="H414" s="21">
        <v>46212</v>
      </c>
      <c r="I414" s="22">
        <f>IF(H414&gt;0,EDATE(H414,-2),"")</f>
        <v>25569.375</v>
      </c>
      <c r="J414" s="18" t="s">
        <v>302</v>
      </c>
      <c r="K414" s="18" t="s">
        <v>1651</v>
      </c>
      <c r="L414" s="23">
        <f>IF(E414&gt;0,E414,"")</f>
      </c>
      <c r="M414" s="19" t="s">
        <v>1652</v>
      </c>
      <c r="N414" s="19" t="s">
        <v>1653</v>
      </c>
      <c r="O414" s="22">
        <f>IF(ISNUMBER(I414), EDATE(I414,36)-1, "")</f>
        <v>25569.375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x14ac:dyDescent="0.25" r="415" customHeight="1" ht="18.75">
      <c r="A415" s="9"/>
      <c r="B415" s="18" t="s">
        <v>16</v>
      </c>
      <c r="C415" s="9" t="s">
        <v>153</v>
      </c>
      <c r="D415" s="9" t="s">
        <v>30</v>
      </c>
      <c r="E415" s="18" t="s">
        <v>1654</v>
      </c>
      <c r="F415" s="19">
        <v>10000000</v>
      </c>
      <c r="G415" s="20">
        <v>400000</v>
      </c>
      <c r="H415" s="21">
        <v>46236</v>
      </c>
      <c r="I415" s="22">
        <f>IF(H415&gt;0,EDATE(H415,-2),"")</f>
        <v>25569.375</v>
      </c>
      <c r="J415" s="18" t="s">
        <v>155</v>
      </c>
      <c r="K415" s="18" t="s">
        <v>1655</v>
      </c>
      <c r="L415" s="23">
        <f>IF(E415&gt;0,E415,"")</f>
      </c>
      <c r="M415" s="19">
        <v>6806212408511</v>
      </c>
      <c r="N415" s="19">
        <v>25913302</v>
      </c>
      <c r="O415" s="22">
        <f>IF(ISNUMBER(I415), EDATE(I415,36)-1, "")</f>
        <v>25569.375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x14ac:dyDescent="0.25" r="416" customHeight="1" ht="18.75">
      <c r="A416" s="24"/>
      <c r="B416" s="25" t="s">
        <v>16</v>
      </c>
      <c r="C416" s="24"/>
      <c r="D416" s="24"/>
      <c r="E416" s="25" t="s">
        <v>1656</v>
      </c>
      <c r="F416" s="26">
        <v>10000000</v>
      </c>
      <c r="G416" s="27">
        <v>800000</v>
      </c>
      <c r="H416" s="28">
        <v>45984</v>
      </c>
      <c r="I416" s="29">
        <f>IF(H416&gt;0,EDATE(H416,-2),"")</f>
        <v>25569.375</v>
      </c>
      <c r="J416" s="25" t="s">
        <v>155</v>
      </c>
      <c r="K416" s="25" t="s">
        <v>1657</v>
      </c>
      <c r="L416" s="30">
        <f>IF(E416&gt;0,E416,"")</f>
      </c>
      <c r="M416" s="26" t="s">
        <v>1658</v>
      </c>
      <c r="N416" s="26" t="s">
        <v>1659</v>
      </c>
      <c r="O416" s="29">
        <f>IF(ISNUMBER(I416), EDATE(I416,36)-1, "")</f>
        <v>25569.375</v>
      </c>
      <c r="P416" s="24"/>
      <c r="Q416" s="24"/>
      <c r="R416" s="24"/>
      <c r="S416" s="9"/>
      <c r="T416" s="9"/>
      <c r="U416" s="9"/>
      <c r="V416" s="9"/>
      <c r="W416" s="9"/>
      <c r="X416" s="9"/>
      <c r="Y416" s="9"/>
      <c r="Z416" s="9"/>
    </row>
    <row x14ac:dyDescent="0.25" r="417" customHeight="1" ht="18.75">
      <c r="A417" s="24"/>
      <c r="B417" s="25" t="s">
        <v>16</v>
      </c>
      <c r="C417" s="24"/>
      <c r="D417" s="24"/>
      <c r="E417" s="25" t="s">
        <v>1656</v>
      </c>
      <c r="F417" s="26">
        <v>60000000</v>
      </c>
      <c r="G417" s="27">
        <v>4056000</v>
      </c>
      <c r="H417" s="28">
        <v>46087</v>
      </c>
      <c r="I417" s="29">
        <f>IF(H417&gt;0,EDATE(H417,-2),"")</f>
        <v>25569.375</v>
      </c>
      <c r="J417" s="25" t="s">
        <v>155</v>
      </c>
      <c r="K417" s="25" t="s">
        <v>1657</v>
      </c>
      <c r="L417" s="30">
        <f>IF(E417&gt;0,E417,"")</f>
      </c>
      <c r="M417" s="26" t="s">
        <v>1658</v>
      </c>
      <c r="N417" s="26" t="s">
        <v>1659</v>
      </c>
      <c r="O417" s="29">
        <f>IF(ISNUMBER(I417), EDATE(I417,36)-1, "")</f>
        <v>25569.375</v>
      </c>
      <c r="P417" s="24"/>
      <c r="Q417" s="24"/>
      <c r="R417" s="24" t="s">
        <v>1660</v>
      </c>
      <c r="S417" s="9"/>
      <c r="T417" s="9"/>
      <c r="U417" s="9"/>
      <c r="V417" s="9"/>
      <c r="W417" s="9"/>
      <c r="X417" s="9"/>
      <c r="Y417" s="9"/>
      <c r="Z417" s="9"/>
    </row>
    <row x14ac:dyDescent="0.25" r="418" customHeight="1" ht="18.75">
      <c r="A418" s="9"/>
      <c r="B418" s="18" t="s">
        <v>16</v>
      </c>
      <c r="C418" s="9"/>
      <c r="D418" s="9"/>
      <c r="E418" s="18" t="s">
        <v>1661</v>
      </c>
      <c r="F418" s="19">
        <v>60000000</v>
      </c>
      <c r="G418" s="20">
        <v>4800000</v>
      </c>
      <c r="H418" s="21">
        <v>45951</v>
      </c>
      <c r="I418" s="22">
        <f>IF(H418&gt;0,EDATE(H418,-2),"")</f>
        <v>25569.375</v>
      </c>
      <c r="J418" s="18" t="s">
        <v>302</v>
      </c>
      <c r="K418" s="18" t="s">
        <v>1662</v>
      </c>
      <c r="L418" s="35">
        <f>IF(E418&gt;0,E418,"")</f>
      </c>
      <c r="M418" s="19" t="s">
        <v>1663</v>
      </c>
      <c r="N418" s="19">
        <v>92778452</v>
      </c>
      <c r="O418" s="22">
        <f>IF(ISNUMBER(I418), EDATE(I418,36)-1, "")</f>
        <v>25569.375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x14ac:dyDescent="0.25" r="419" customHeight="1" ht="18.75">
      <c r="A419" s="9"/>
      <c r="B419" s="18" t="s">
        <v>16</v>
      </c>
      <c r="C419" s="9"/>
      <c r="D419" s="9"/>
      <c r="E419" s="18" t="s">
        <v>1664</v>
      </c>
      <c r="F419" s="19">
        <v>10000000</v>
      </c>
      <c r="G419" s="20">
        <v>800000</v>
      </c>
      <c r="H419" s="21">
        <v>46180</v>
      </c>
      <c r="I419" s="22">
        <f>IF(H419&gt;0,EDATE(H419,-2),"")</f>
        <v>25569.375</v>
      </c>
      <c r="J419" s="18" t="s">
        <v>239</v>
      </c>
      <c r="K419" s="18" t="s">
        <v>1665</v>
      </c>
      <c r="L419" s="35">
        <f>IF(E419&gt;0,E419,"")</f>
      </c>
      <c r="M419" s="19" t="s">
        <v>1666</v>
      </c>
      <c r="N419" s="19" t="s">
        <v>1667</v>
      </c>
      <c r="O419" s="22">
        <f>IF(ISNUMBER(I419), EDATE(I419,36)-1, "")</f>
        <v>25569.375</v>
      </c>
      <c r="P419" s="9" t="s">
        <v>1668</v>
      </c>
      <c r="Q419" s="9" t="s">
        <v>166</v>
      </c>
      <c r="R419" s="9"/>
      <c r="S419" s="9"/>
      <c r="T419" s="9"/>
      <c r="U419" s="9"/>
      <c r="V419" s="9"/>
      <c r="W419" s="9"/>
      <c r="X419" s="9"/>
      <c r="Y419" s="9"/>
      <c r="Z419" s="9"/>
    </row>
    <row x14ac:dyDescent="0.25" r="420" customHeight="1" ht="18.75">
      <c r="A420" s="9"/>
      <c r="B420" s="18" t="s">
        <v>16</v>
      </c>
      <c r="C420" s="9"/>
      <c r="D420" s="9" t="s">
        <v>22</v>
      </c>
      <c r="E420" s="18" t="s">
        <v>1669</v>
      </c>
      <c r="F420" s="19">
        <v>10000000</v>
      </c>
      <c r="G420" s="20">
        <v>800000</v>
      </c>
      <c r="H420" s="21">
        <v>46182</v>
      </c>
      <c r="I420" s="22">
        <f>IF(H420&gt;0,EDATE(H420,-2),"")</f>
        <v>25569.375</v>
      </c>
      <c r="J420" s="18" t="s">
        <v>217</v>
      </c>
      <c r="K420" s="18" t="s">
        <v>1670</v>
      </c>
      <c r="L420" s="35">
        <f>IF(E420&gt;0,E420,"")</f>
      </c>
      <c r="M420" s="19" t="s">
        <v>1671</v>
      </c>
      <c r="N420" s="19" t="s">
        <v>1672</v>
      </c>
      <c r="O420" s="22">
        <f>IF(ISNUMBER(I420), EDATE(I420,36)-1, "")</f>
        <v>25569.375</v>
      </c>
      <c r="P420" s="9" t="s">
        <v>1673</v>
      </c>
      <c r="Q420" s="9" t="s">
        <v>166</v>
      </c>
      <c r="R420" s="9"/>
      <c r="S420" s="9"/>
      <c r="T420" s="9"/>
      <c r="U420" s="9"/>
      <c r="V420" s="9"/>
      <c r="W420" s="9"/>
      <c r="X420" s="9"/>
      <c r="Y420" s="9"/>
      <c r="Z420" s="9"/>
    </row>
    <row x14ac:dyDescent="0.25" r="421" customHeight="1" ht="18.75">
      <c r="A421" s="24"/>
      <c r="B421" s="25" t="s">
        <v>16</v>
      </c>
      <c r="C421" s="24" t="s">
        <v>48</v>
      </c>
      <c r="D421" s="24" t="s">
        <v>117</v>
      </c>
      <c r="E421" s="25" t="s">
        <v>636</v>
      </c>
      <c r="F421" s="26">
        <v>10000000</v>
      </c>
      <c r="G421" s="27">
        <v>1200000</v>
      </c>
      <c r="H421" s="28">
        <v>46207</v>
      </c>
      <c r="I421" s="29">
        <f>IF(H421&gt;0,EDATE(H421,-2),"")</f>
        <v>25569.375</v>
      </c>
      <c r="J421" s="25" t="s">
        <v>168</v>
      </c>
      <c r="K421" s="25" t="s">
        <v>1674</v>
      </c>
      <c r="L421" s="30">
        <f>IF(E421&gt;0,E421,"")</f>
      </c>
      <c r="M421" s="26">
        <v>7304202267710</v>
      </c>
      <c r="N421" s="26">
        <v>56595871</v>
      </c>
      <c r="O421" s="29">
        <f>IF(ISNUMBER(I421), EDATE(I421,36)-1, "")</f>
        <v>25569.375</v>
      </c>
      <c r="P421" s="24"/>
      <c r="Q421" s="24"/>
      <c r="R421" s="24" t="s">
        <v>1675</v>
      </c>
      <c r="S421" s="9"/>
      <c r="T421" s="9"/>
      <c r="U421" s="9"/>
      <c r="V421" s="9"/>
      <c r="W421" s="9"/>
      <c r="X421" s="9"/>
      <c r="Y421" s="9"/>
      <c r="Z421" s="9"/>
    </row>
    <row x14ac:dyDescent="0.25" r="422" customHeight="1" ht="18.75">
      <c r="A422" s="24"/>
      <c r="B422" s="25" t="s">
        <v>16</v>
      </c>
      <c r="C422" s="24" t="s">
        <v>48</v>
      </c>
      <c r="D422" s="24" t="s">
        <v>64</v>
      </c>
      <c r="E422" s="25" t="s">
        <v>65</v>
      </c>
      <c r="F422" s="26">
        <v>10000000</v>
      </c>
      <c r="G422" s="27">
        <v>1200000</v>
      </c>
      <c r="H422" s="28">
        <v>46116</v>
      </c>
      <c r="I422" s="29">
        <f>IF(H422&gt;0,EDATE(H422,-2),"")</f>
        <v>25569.375</v>
      </c>
      <c r="J422" s="25" t="s">
        <v>168</v>
      </c>
      <c r="K422" s="25" t="s">
        <v>1674</v>
      </c>
      <c r="L422" s="30">
        <f>IF(E422&gt;0,E422,"")</f>
      </c>
      <c r="M422" s="26" t="s">
        <v>1676</v>
      </c>
      <c r="N422" s="26">
        <v>56595831</v>
      </c>
      <c r="O422" s="29">
        <f>IF(ISNUMBER(I422), EDATE(I422,36)-1, "")</f>
        <v>25569.375</v>
      </c>
      <c r="P422" s="24"/>
      <c r="Q422" s="24"/>
      <c r="R422" s="24" t="s">
        <v>66</v>
      </c>
      <c r="S422" s="9"/>
      <c r="T422" s="9"/>
      <c r="U422" s="9"/>
      <c r="V422" s="9"/>
      <c r="W422" s="9"/>
      <c r="X422" s="9"/>
      <c r="Y422" s="9"/>
      <c r="Z422" s="9"/>
    </row>
    <row x14ac:dyDescent="0.25" r="423" customHeight="1" ht="18.75">
      <c r="A423" s="9"/>
      <c r="B423" s="18" t="s">
        <v>16</v>
      </c>
      <c r="C423" s="9" t="s">
        <v>410</v>
      </c>
      <c r="D423" s="9" t="s">
        <v>411</v>
      </c>
      <c r="E423" s="18" t="s">
        <v>1677</v>
      </c>
      <c r="F423" s="19">
        <v>10000000</v>
      </c>
      <c r="G423" s="20">
        <v>800000</v>
      </c>
      <c r="H423" s="21">
        <v>46170</v>
      </c>
      <c r="I423" s="22">
        <f>IF(H423&gt;0,EDATE(H423,-2),"")</f>
        <v>25569.375</v>
      </c>
      <c r="J423" s="18" t="s">
        <v>168</v>
      </c>
      <c r="K423" s="18" t="s">
        <v>1678</v>
      </c>
      <c r="L423" s="23">
        <f>IF(E423&gt;0,E423,"")</f>
      </c>
      <c r="M423" s="19">
        <v>6106102749218</v>
      </c>
      <c r="N423" s="19">
        <v>62372353</v>
      </c>
      <c r="O423" s="22">
        <f>IF(ISNUMBER(I423), EDATE(I423,36)-1, "")</f>
        <v>25569.375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x14ac:dyDescent="0.25" r="424" customHeight="1" ht="18.75">
      <c r="A424" s="9"/>
      <c r="B424" s="18" t="s">
        <v>16</v>
      </c>
      <c r="C424" s="9"/>
      <c r="D424" s="9"/>
      <c r="E424" s="18" t="s">
        <v>1679</v>
      </c>
      <c r="F424" s="19">
        <v>10000000</v>
      </c>
      <c r="G424" s="20">
        <v>800000</v>
      </c>
      <c r="H424" s="21">
        <v>46159</v>
      </c>
      <c r="I424" s="22">
        <f>IF(H424&gt;0,EDATE(H424,-2),"")</f>
        <v>25569.375</v>
      </c>
      <c r="J424" s="18" t="s">
        <v>212</v>
      </c>
      <c r="K424" s="18" t="s">
        <v>1084</v>
      </c>
      <c r="L424" s="23">
        <f>IF(E424&gt;0,E424,"")</f>
      </c>
      <c r="M424" s="19" t="s">
        <v>1680</v>
      </c>
      <c r="N424" s="19" t="s">
        <v>1681</v>
      </c>
      <c r="O424" s="22">
        <f>IF(ISNUMBER(I424), EDATE(I424,36)-1, "")</f>
        <v>25569.375</v>
      </c>
      <c r="P424" s="9" t="s">
        <v>1682</v>
      </c>
      <c r="Q424" s="9" t="s">
        <v>166</v>
      </c>
      <c r="R424" s="9"/>
      <c r="S424" s="9"/>
      <c r="T424" s="9"/>
      <c r="U424" s="9"/>
      <c r="V424" s="9"/>
      <c r="W424" s="9"/>
      <c r="X424" s="9"/>
      <c r="Y424" s="9"/>
      <c r="Z424" s="9"/>
    </row>
    <row x14ac:dyDescent="0.25" r="425" customHeight="1" ht="18.75">
      <c r="A425" s="24"/>
      <c r="B425" s="25" t="s">
        <v>16</v>
      </c>
      <c r="C425" s="24" t="s">
        <v>67</v>
      </c>
      <c r="D425" s="24" t="s">
        <v>68</v>
      </c>
      <c r="E425" s="25" t="s">
        <v>69</v>
      </c>
      <c r="F425" s="26">
        <v>60000000</v>
      </c>
      <c r="G425" s="27">
        <v>4800000</v>
      </c>
      <c r="H425" s="28">
        <v>45951</v>
      </c>
      <c r="I425" s="29">
        <f>IF(H425&gt;0,EDATE(H425,-2),"")</f>
        <v>25569.375</v>
      </c>
      <c r="J425" s="25" t="s">
        <v>302</v>
      </c>
      <c r="K425" s="25" t="s">
        <v>1683</v>
      </c>
      <c r="L425" s="30">
        <f>IF(E425&gt;0,E425,"")</f>
      </c>
      <c r="M425" s="26" t="s">
        <v>1663</v>
      </c>
      <c r="N425" s="26" t="s">
        <v>1684</v>
      </c>
      <c r="O425" s="29">
        <f>IF(ISNUMBER(I425), EDATE(I425,36)-1, "")</f>
        <v>25569.375</v>
      </c>
      <c r="P425" s="24"/>
      <c r="Q425" s="24"/>
      <c r="R425" s="24" t="s">
        <v>70</v>
      </c>
      <c r="S425" s="9"/>
      <c r="T425" s="9"/>
      <c r="U425" s="9"/>
      <c r="V425" s="9"/>
      <c r="W425" s="9"/>
      <c r="X425" s="9"/>
      <c r="Y425" s="9"/>
      <c r="Z425" s="9"/>
    </row>
    <row x14ac:dyDescent="0.25" r="426" customHeight="1" ht="18.75">
      <c r="A426" s="9" t="s">
        <v>152</v>
      </c>
      <c r="B426" s="18" t="s">
        <v>16</v>
      </c>
      <c r="C426" s="9" t="s">
        <v>67</v>
      </c>
      <c r="D426" s="9" t="s">
        <v>68</v>
      </c>
      <c r="E426" s="18" t="s">
        <v>69</v>
      </c>
      <c r="F426" s="19">
        <v>30000000</v>
      </c>
      <c r="G426" s="20">
        <v>2400000</v>
      </c>
      <c r="H426" s="21">
        <v>46068</v>
      </c>
      <c r="I426" s="22">
        <f>IF(H426&gt;0,EDATE(H426,-2),"")</f>
        <v>25569.375</v>
      </c>
      <c r="J426" s="18" t="s">
        <v>302</v>
      </c>
      <c r="K426" s="18" t="s">
        <v>1662</v>
      </c>
      <c r="L426" s="23">
        <f>IF(E426&gt;0,E426,"")</f>
      </c>
      <c r="M426" s="19" t="s">
        <v>1663</v>
      </c>
      <c r="N426" s="19" t="s">
        <v>1684</v>
      </c>
      <c r="O426" s="22">
        <f>IF(ISNUMBER(I426), EDATE(I426,36)-1, "")</f>
        <v>25569.375</v>
      </c>
      <c r="P426" s="9" t="s">
        <v>1685</v>
      </c>
      <c r="Q426" s="9"/>
      <c r="R426" s="9" t="s">
        <v>1686</v>
      </c>
      <c r="S426" s="9"/>
      <c r="T426" s="9"/>
      <c r="U426" s="9"/>
      <c r="V426" s="9"/>
      <c r="W426" s="9"/>
      <c r="X426" s="9"/>
      <c r="Y426" s="9"/>
      <c r="Z426" s="9"/>
    </row>
    <row x14ac:dyDescent="0.25" r="427" customHeight="1" ht="18.75">
      <c r="A427" s="9"/>
      <c r="B427" s="18" t="s">
        <v>16</v>
      </c>
      <c r="C427" s="9"/>
      <c r="D427" s="9"/>
      <c r="E427" s="18" t="s">
        <v>1687</v>
      </c>
      <c r="F427" s="19">
        <v>10000000</v>
      </c>
      <c r="G427" s="20">
        <v>1200000</v>
      </c>
      <c r="H427" s="21">
        <v>46196</v>
      </c>
      <c r="I427" s="22">
        <f>IF(H427&gt;0,EDATE(H427,-2),"")</f>
        <v>25569.375</v>
      </c>
      <c r="J427" s="18" t="s">
        <v>1688</v>
      </c>
      <c r="K427" s="18" t="s">
        <v>1689</v>
      </c>
      <c r="L427" s="23">
        <f>IF(E427&gt;0,E427,"")</f>
      </c>
      <c r="M427" s="19" t="s">
        <v>1690</v>
      </c>
      <c r="N427" s="19" t="s">
        <v>1691</v>
      </c>
      <c r="O427" s="22">
        <f>IF(ISNUMBER(I427), EDATE(I427,36)-1, "")</f>
        <v>25569.375</v>
      </c>
      <c r="P427" s="9" t="s">
        <v>1692</v>
      </c>
      <c r="Q427" s="9" t="s">
        <v>166</v>
      </c>
      <c r="R427" s="9"/>
      <c r="S427" s="9"/>
      <c r="T427" s="9"/>
      <c r="U427" s="9"/>
      <c r="V427" s="9"/>
      <c r="W427" s="9"/>
      <c r="X427" s="9"/>
      <c r="Y427" s="9"/>
      <c r="Z427" s="9"/>
    </row>
    <row x14ac:dyDescent="0.25" r="428" customHeight="1" ht="18.75">
      <c r="A428" s="9"/>
      <c r="B428" s="18" t="s">
        <v>16</v>
      </c>
      <c r="C428" s="9" t="s">
        <v>143</v>
      </c>
      <c r="D428" s="9" t="s">
        <v>14</v>
      </c>
      <c r="E428" s="18" t="s">
        <v>1693</v>
      </c>
      <c r="F428" s="19">
        <v>60000000</v>
      </c>
      <c r="G428" s="20">
        <v>4000000</v>
      </c>
      <c r="H428" s="21">
        <v>46200</v>
      </c>
      <c r="I428" s="22">
        <f>IF(H428&gt;0,EDATE(H428,-2),"")</f>
        <v>25569.375</v>
      </c>
      <c r="J428" s="18" t="s">
        <v>155</v>
      </c>
      <c r="K428" s="18" t="s">
        <v>1694</v>
      </c>
      <c r="L428" s="23">
        <f>IF(E428&gt;0,E428,"")</f>
      </c>
      <c r="M428" s="19" t="s">
        <v>1695</v>
      </c>
      <c r="N428" s="19" t="s">
        <v>1696</v>
      </c>
      <c r="O428" s="22">
        <f>IF(ISNUMBER(I428), EDATE(I428,36)-1, "")</f>
        <v>25569.375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x14ac:dyDescent="0.25" r="429" customHeight="1" ht="18.75">
      <c r="A429" s="9"/>
      <c r="B429" s="18" t="s">
        <v>16</v>
      </c>
      <c r="C429" s="9"/>
      <c r="D429" s="9"/>
      <c r="E429" s="18" t="s">
        <v>1697</v>
      </c>
      <c r="F429" s="19">
        <v>10000000</v>
      </c>
      <c r="G429" s="20">
        <v>800000</v>
      </c>
      <c r="H429" s="21">
        <v>46064</v>
      </c>
      <c r="I429" s="22">
        <f>IF(H429&gt;0,EDATE(H429,-2),"")</f>
        <v>25569.375</v>
      </c>
      <c r="J429" s="18" t="s">
        <v>155</v>
      </c>
      <c r="K429" s="18" t="s">
        <v>1698</v>
      </c>
      <c r="L429" s="23">
        <f>IF(E429&gt;0,E429,"")</f>
      </c>
      <c r="M429" s="36" t="s">
        <v>1699</v>
      </c>
      <c r="N429" s="19" t="s">
        <v>1700</v>
      </c>
      <c r="O429" s="22">
        <f>IF(ISNUMBER(I429), EDATE(I429,36)-1, "")</f>
        <v>25569.375</v>
      </c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x14ac:dyDescent="0.25" r="430" customHeight="1" ht="18.75">
      <c r="A430" s="9"/>
      <c r="B430" s="18" t="s">
        <v>16</v>
      </c>
      <c r="C430" s="9" t="s">
        <v>454</v>
      </c>
      <c r="D430" s="9" t="s">
        <v>574</v>
      </c>
      <c r="E430" s="18" t="s">
        <v>1701</v>
      </c>
      <c r="F430" s="19">
        <v>10000000</v>
      </c>
      <c r="G430" s="20">
        <v>1200000</v>
      </c>
      <c r="H430" s="21">
        <v>46192</v>
      </c>
      <c r="I430" s="22">
        <f>IF(H430&gt;0,EDATE(H430,-2),"")</f>
        <v>25569.375</v>
      </c>
      <c r="J430" s="18" t="s">
        <v>217</v>
      </c>
      <c r="K430" s="18" t="s">
        <v>1702</v>
      </c>
      <c r="L430" s="23">
        <f>IF(E430&gt;0,E430,"")</f>
      </c>
      <c r="M430" s="19" t="s">
        <v>1703</v>
      </c>
      <c r="N430" s="19">
        <v>64158162</v>
      </c>
      <c r="O430" s="22">
        <f>IF(ISNUMBER(I430), EDATE(I430,36)-1, "")</f>
        <v>25569.375</v>
      </c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x14ac:dyDescent="0.25" r="431" customHeight="1" ht="18.75">
      <c r="A431" s="9"/>
      <c r="B431" s="18" t="s">
        <v>16</v>
      </c>
      <c r="C431" s="9"/>
      <c r="D431" s="9"/>
      <c r="E431" s="18" t="s">
        <v>1704</v>
      </c>
      <c r="F431" s="19">
        <v>10000000</v>
      </c>
      <c r="G431" s="20">
        <v>800000</v>
      </c>
      <c r="H431" s="21">
        <v>46168</v>
      </c>
      <c r="I431" s="22">
        <f>IF(H431&gt;0,EDATE(H431,-2),"")</f>
        <v>25569.375</v>
      </c>
      <c r="J431" s="18" t="s">
        <v>217</v>
      </c>
      <c r="K431" s="18" t="s">
        <v>1705</v>
      </c>
      <c r="L431" s="23">
        <f>IF(E431&gt;0,E431,"")</f>
      </c>
      <c r="M431" s="19" t="s">
        <v>1706</v>
      </c>
      <c r="N431" s="19" t="s">
        <v>1707</v>
      </c>
      <c r="O431" s="22">
        <f>IF(ISNUMBER(I431), EDATE(I431,36)-1, "")</f>
        <v>25569.375</v>
      </c>
      <c r="P431" s="9" t="s">
        <v>1708</v>
      </c>
      <c r="Q431" s="9" t="s">
        <v>166</v>
      </c>
      <c r="R431" s="9"/>
      <c r="S431" s="9"/>
      <c r="T431" s="9"/>
      <c r="U431" s="9"/>
      <c r="V431" s="9"/>
      <c r="W431" s="9"/>
      <c r="X431" s="9"/>
      <c r="Y431" s="9"/>
      <c r="Z431" s="9"/>
    </row>
    <row x14ac:dyDescent="0.25" r="432" customHeight="1" ht="18.75">
      <c r="A432" s="9"/>
      <c r="B432" s="18" t="s">
        <v>16</v>
      </c>
      <c r="C432" s="9"/>
      <c r="D432" s="9"/>
      <c r="E432" s="18" t="s">
        <v>1709</v>
      </c>
      <c r="F432" s="19">
        <v>10000000</v>
      </c>
      <c r="G432" s="20">
        <v>800000</v>
      </c>
      <c r="H432" s="21">
        <v>46076</v>
      </c>
      <c r="I432" s="22">
        <f>IF(H432&gt;0,EDATE(H432,-2),"")</f>
        <v>25569.375</v>
      </c>
      <c r="J432" s="18" t="s">
        <v>239</v>
      </c>
      <c r="K432" s="18" t="s">
        <v>1710</v>
      </c>
      <c r="L432" s="23">
        <f>IF(E432&gt;0,E432,"")</f>
      </c>
      <c r="M432" s="19" t="s">
        <v>1711</v>
      </c>
      <c r="N432" s="19" t="s">
        <v>1712</v>
      </c>
      <c r="O432" s="22">
        <f>IF(ISNUMBER(I432), EDATE(I432,36)-1, "")</f>
        <v>25569.375</v>
      </c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x14ac:dyDescent="0.25" r="433" customHeight="1" ht="18.75">
      <c r="A433" s="9"/>
      <c r="B433" s="18" t="s">
        <v>16</v>
      </c>
      <c r="C433" s="9" t="s">
        <v>454</v>
      </c>
      <c r="D433" s="9" t="s">
        <v>574</v>
      </c>
      <c r="E433" s="18" t="s">
        <v>1713</v>
      </c>
      <c r="F433" s="19">
        <v>10000000</v>
      </c>
      <c r="G433" s="20">
        <v>1200000</v>
      </c>
      <c r="H433" s="21">
        <v>46192</v>
      </c>
      <c r="I433" s="22">
        <f>IF(H433&gt;0,EDATE(H433,-2),"")</f>
        <v>25569.375</v>
      </c>
      <c r="J433" s="18" t="s">
        <v>302</v>
      </c>
      <c r="K433" s="18" t="s">
        <v>1714</v>
      </c>
      <c r="L433" s="23">
        <f>IF(E433&gt;0,E433,"")</f>
      </c>
      <c r="M433" s="19" t="s">
        <v>1715</v>
      </c>
      <c r="N433" s="19">
        <v>90075073</v>
      </c>
      <c r="O433" s="22">
        <f>IF(ISNUMBER(I433), EDATE(I433,36)-1, "")</f>
        <v>25569.375</v>
      </c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x14ac:dyDescent="0.25" r="434" customHeight="1" ht="18.75">
      <c r="A434" s="9"/>
      <c r="B434" s="18" t="s">
        <v>16</v>
      </c>
      <c r="C434" s="9"/>
      <c r="D434" s="9"/>
      <c r="E434" s="18" t="s">
        <v>1716</v>
      </c>
      <c r="F434" s="19">
        <v>30000000</v>
      </c>
      <c r="G434" s="20">
        <v>2400000</v>
      </c>
      <c r="H434" s="21">
        <v>45888</v>
      </c>
      <c r="I434" s="22">
        <f>IF(H434&gt;0,EDATE(H434,-2),"")</f>
        <v>25569.375</v>
      </c>
      <c r="J434" s="18" t="s">
        <v>302</v>
      </c>
      <c r="K434" s="18" t="s">
        <v>1717</v>
      </c>
      <c r="L434" s="23">
        <f>IF(E434&gt;0,E434,"")</f>
      </c>
      <c r="M434" s="19" t="s">
        <v>1718</v>
      </c>
      <c r="N434" s="19" t="s">
        <v>1719</v>
      </c>
      <c r="O434" s="22">
        <f>IF(ISNUMBER(I434), EDATE(I434,36)-1, "")</f>
        <v>25569.375</v>
      </c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x14ac:dyDescent="0.25" r="435" customHeight="1" ht="18.75">
      <c r="A435" s="9"/>
      <c r="B435" s="18" t="s">
        <v>16</v>
      </c>
      <c r="C435" s="9" t="s">
        <v>153</v>
      </c>
      <c r="D435" s="9" t="s">
        <v>318</v>
      </c>
      <c r="E435" s="18" t="s">
        <v>1720</v>
      </c>
      <c r="F435" s="19">
        <v>10000000</v>
      </c>
      <c r="G435" s="20">
        <v>1200000</v>
      </c>
      <c r="H435" s="21">
        <v>46184</v>
      </c>
      <c r="I435" s="22">
        <f>IF(H435&gt;0,EDATE(H435,-2),"")</f>
        <v>25569.375</v>
      </c>
      <c r="J435" s="18" t="s">
        <v>161</v>
      </c>
      <c r="K435" s="18" t="s">
        <v>1721</v>
      </c>
      <c r="L435" s="23">
        <f>IF(E435&gt;0,E435,"")</f>
      </c>
      <c r="M435" s="19" t="s">
        <v>1722</v>
      </c>
      <c r="N435" s="19" t="s">
        <v>1723</v>
      </c>
      <c r="O435" s="22">
        <f>IF(ISNUMBER(I435), EDATE(I435,36)-1, "")</f>
        <v>25569.375</v>
      </c>
      <c r="P435" s="9" t="s">
        <v>1724</v>
      </c>
      <c r="Q435" s="9" t="s">
        <v>166</v>
      </c>
      <c r="R435" s="9"/>
      <c r="S435" s="9"/>
      <c r="T435" s="9"/>
      <c r="U435" s="9"/>
      <c r="V435" s="9"/>
      <c r="W435" s="9"/>
      <c r="X435" s="9"/>
      <c r="Y435" s="9"/>
      <c r="Z435" s="9"/>
    </row>
    <row x14ac:dyDescent="0.25" r="436" customHeight="1" ht="18.75">
      <c r="A436" s="9" t="s">
        <v>252</v>
      </c>
      <c r="B436" s="18" t="s">
        <v>16</v>
      </c>
      <c r="C436" s="9" t="s">
        <v>153</v>
      </c>
      <c r="D436" s="9" t="s">
        <v>318</v>
      </c>
      <c r="E436" s="18" t="s">
        <v>1720</v>
      </c>
      <c r="F436" s="19">
        <v>10000000</v>
      </c>
      <c r="G436" s="20"/>
      <c r="H436" s="21">
        <v>46184</v>
      </c>
      <c r="I436" s="22">
        <f>IF(H436&gt;0,EDATE(H436,-2),"")</f>
        <v>25569.375</v>
      </c>
      <c r="J436" s="18" t="s">
        <v>155</v>
      </c>
      <c r="K436" s="18" t="s">
        <v>1721</v>
      </c>
      <c r="L436" s="23">
        <f>IF(E436&gt;0,E436,"")</f>
      </c>
      <c r="M436" s="19" t="s">
        <v>1722</v>
      </c>
      <c r="N436" s="19">
        <v>66891123</v>
      </c>
      <c r="O436" s="22">
        <f>IF(ISNUMBER(I436), EDATE(I436,36)-1, "")</f>
        <v>25569.375</v>
      </c>
      <c r="P436" s="9"/>
      <c r="Q436" s="9"/>
      <c r="R436" s="9" t="s">
        <v>1725</v>
      </c>
      <c r="S436" s="9"/>
      <c r="T436" s="9"/>
      <c r="U436" s="9"/>
      <c r="V436" s="9"/>
      <c r="W436" s="9"/>
      <c r="X436" s="9"/>
      <c r="Y436" s="9"/>
      <c r="Z436" s="9"/>
    </row>
    <row x14ac:dyDescent="0.25" r="437" customHeight="1" ht="18.75">
      <c r="A437" s="9"/>
      <c r="B437" s="18" t="s">
        <v>16</v>
      </c>
      <c r="C437" s="9"/>
      <c r="D437" s="9"/>
      <c r="E437" s="18" t="s">
        <v>1726</v>
      </c>
      <c r="F437" s="19">
        <v>40000000</v>
      </c>
      <c r="G437" s="20">
        <v>3056000</v>
      </c>
      <c r="H437" s="21">
        <v>46162</v>
      </c>
      <c r="I437" s="22">
        <f>IF(H437&gt;0,EDATE(H437,-2),"")</f>
        <v>25569.375</v>
      </c>
      <c r="J437" s="18" t="s">
        <v>1688</v>
      </c>
      <c r="K437" s="18" t="s">
        <v>1727</v>
      </c>
      <c r="L437" s="23">
        <f>IF(E437&gt;0,E437,"")</f>
      </c>
      <c r="M437" s="19" t="s">
        <v>1728</v>
      </c>
      <c r="N437" s="19" t="s">
        <v>1729</v>
      </c>
      <c r="O437" s="22">
        <f>IF(ISNUMBER(I437), EDATE(I437,36)-1, "")</f>
        <v>25569.375</v>
      </c>
      <c r="P437" s="9"/>
      <c r="Q437" s="9" t="s">
        <v>166</v>
      </c>
      <c r="R437" s="9" t="s">
        <v>418</v>
      </c>
      <c r="S437" s="9"/>
      <c r="T437" s="9"/>
      <c r="U437" s="9"/>
      <c r="V437" s="9"/>
      <c r="W437" s="9"/>
      <c r="X437" s="9"/>
      <c r="Y437" s="9"/>
      <c r="Z437" s="9"/>
    </row>
    <row x14ac:dyDescent="0.25" r="438" customHeight="1" ht="18.75">
      <c r="A438" s="9"/>
      <c r="B438" s="18" t="s">
        <v>16</v>
      </c>
      <c r="C438" s="9"/>
      <c r="D438" s="9"/>
      <c r="E438" s="18" t="s">
        <v>71</v>
      </c>
      <c r="F438" s="19">
        <v>20000000</v>
      </c>
      <c r="G438" s="20">
        <v>1600000</v>
      </c>
      <c r="H438" s="21">
        <v>45904</v>
      </c>
      <c r="I438" s="22">
        <f>IF(H438&gt;0,EDATE(H438,-2),"")</f>
        <v>25569.375</v>
      </c>
      <c r="J438" s="18" t="s">
        <v>168</v>
      </c>
      <c r="K438" s="18" t="s">
        <v>1730</v>
      </c>
      <c r="L438" s="23">
        <f>IF(E438&gt;0,E438,"")</f>
      </c>
      <c r="M438" s="19" t="s">
        <v>1731</v>
      </c>
      <c r="N438" s="19" t="s">
        <v>1732</v>
      </c>
      <c r="O438" s="22">
        <f>IF(ISNUMBER(I438), EDATE(I438,36)-1, "")</f>
        <v>25569.375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x14ac:dyDescent="0.25" r="439" customHeight="1" ht="18.75">
      <c r="A439" s="9"/>
      <c r="B439" s="18" t="s">
        <v>16</v>
      </c>
      <c r="C439" s="9"/>
      <c r="D439" s="9"/>
      <c r="E439" s="18" t="s">
        <v>72</v>
      </c>
      <c r="F439" s="19">
        <v>10000000</v>
      </c>
      <c r="G439" s="20">
        <v>800000</v>
      </c>
      <c r="H439" s="21">
        <v>45907</v>
      </c>
      <c r="I439" s="22">
        <f>IF(H439&gt;0,EDATE(H439,-2),"")</f>
        <v>25569.375</v>
      </c>
      <c r="J439" s="18" t="s">
        <v>580</v>
      </c>
      <c r="K439" s="18" t="s">
        <v>1733</v>
      </c>
      <c r="L439" s="23">
        <f>IF(E439&gt;0,E439,"")</f>
      </c>
      <c r="M439" s="19" t="s">
        <v>1731</v>
      </c>
      <c r="N439" s="19" t="s">
        <v>1732</v>
      </c>
      <c r="O439" s="22">
        <f>IF(ISNUMBER(I439), EDATE(I439,36)-1, "")</f>
        <v>25569.375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x14ac:dyDescent="0.25" r="440" customHeight="1" ht="18.75">
      <c r="A440" s="9"/>
      <c r="B440" s="18" t="s">
        <v>16</v>
      </c>
      <c r="C440" s="9"/>
      <c r="D440" s="9"/>
      <c r="E440" s="18" t="s">
        <v>72</v>
      </c>
      <c r="F440" s="19">
        <v>10000000</v>
      </c>
      <c r="G440" s="20">
        <v>800000</v>
      </c>
      <c r="H440" s="21">
        <v>45997</v>
      </c>
      <c r="I440" s="22">
        <f>IF(H440&gt;0,EDATE(H440,-2),"")</f>
        <v>25569.375</v>
      </c>
      <c r="J440" s="18" t="s">
        <v>580</v>
      </c>
      <c r="K440" s="18" t="s">
        <v>1733</v>
      </c>
      <c r="L440" s="23">
        <f>IF(E440&gt;0,E440,"")</f>
      </c>
      <c r="M440" s="19" t="s">
        <v>1731</v>
      </c>
      <c r="N440" s="19" t="s">
        <v>1732</v>
      </c>
      <c r="O440" s="22">
        <f>IF(ISNUMBER(I440), EDATE(I440,36)-1, "")</f>
        <v>25569.375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x14ac:dyDescent="0.25" r="441" customHeight="1" ht="18.75">
      <c r="A441" s="9"/>
      <c r="B441" s="18" t="s">
        <v>16</v>
      </c>
      <c r="C441" s="9"/>
      <c r="D441" s="9"/>
      <c r="E441" s="18" t="s">
        <v>72</v>
      </c>
      <c r="F441" s="19">
        <v>10000000</v>
      </c>
      <c r="G441" s="20">
        <v>800000</v>
      </c>
      <c r="H441" s="21">
        <v>46020</v>
      </c>
      <c r="I441" s="22">
        <f>IF(H441&gt;0,EDATE(H441,-2),"")</f>
        <v>25569.375</v>
      </c>
      <c r="J441" s="18" t="s">
        <v>212</v>
      </c>
      <c r="K441" s="18" t="s">
        <v>1734</v>
      </c>
      <c r="L441" s="23">
        <f>IF(E441&gt;0,E441,"")</f>
      </c>
      <c r="M441" s="19" t="s">
        <v>1731</v>
      </c>
      <c r="N441" s="19" t="s">
        <v>1732</v>
      </c>
      <c r="O441" s="22">
        <f>IF(ISNUMBER(I441), EDATE(I441,36)-1, "")</f>
        <v>25569.375</v>
      </c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x14ac:dyDescent="0.25" r="442" customHeight="1" ht="18.75">
      <c r="A442" s="9"/>
      <c r="B442" s="18" t="s">
        <v>16</v>
      </c>
      <c r="C442" s="9"/>
      <c r="D442" s="9" t="s">
        <v>18</v>
      </c>
      <c r="E442" s="18" t="s">
        <v>73</v>
      </c>
      <c r="F442" s="19">
        <v>60000000</v>
      </c>
      <c r="G442" s="20">
        <v>4056000</v>
      </c>
      <c r="H442" s="21">
        <v>45408</v>
      </c>
      <c r="I442" s="22">
        <f>IF(H442&gt;0,EDATE(H442,-2),"")</f>
        <v>25569.375</v>
      </c>
      <c r="J442" s="18" t="s">
        <v>155</v>
      </c>
      <c r="K442" s="18" t="s">
        <v>433</v>
      </c>
      <c r="L442" s="23">
        <f>IF(E442&gt;0,E442,"")</f>
      </c>
      <c r="M442" s="19" t="s">
        <v>1735</v>
      </c>
      <c r="N442" s="19" t="s">
        <v>1736</v>
      </c>
      <c r="O442" s="22">
        <f>IF(ISNUMBER(I442), EDATE(I442,36)-1, "")</f>
        <v>25569.375</v>
      </c>
      <c r="P442" s="9" t="s">
        <v>74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x14ac:dyDescent="0.25" r="443" customHeight="1" ht="18.75">
      <c r="A443" s="9"/>
      <c r="B443" s="18" t="s">
        <v>16</v>
      </c>
      <c r="C443" s="9"/>
      <c r="D443" s="9" t="s">
        <v>1737</v>
      </c>
      <c r="E443" s="18" t="s">
        <v>1738</v>
      </c>
      <c r="F443" s="19">
        <v>30000000</v>
      </c>
      <c r="G443" s="20">
        <v>2400000</v>
      </c>
      <c r="H443" s="21">
        <v>46229</v>
      </c>
      <c r="I443" s="22">
        <f>IF(H443&gt;0,EDATE(H443,-2),"")</f>
        <v>25569.375</v>
      </c>
      <c r="J443" s="18" t="s">
        <v>234</v>
      </c>
      <c r="K443" s="18" t="s">
        <v>1739</v>
      </c>
      <c r="L443" s="23">
        <f>IF(E443&gt;0,E443,"")</f>
      </c>
      <c r="M443" s="19">
        <v>5906232351217</v>
      </c>
      <c r="N443" s="19">
        <v>33675782</v>
      </c>
      <c r="O443" s="22">
        <f>IF(ISNUMBER(I443), EDATE(I443,36)-1, "")</f>
        <v>25569.375</v>
      </c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x14ac:dyDescent="0.25" r="444" customHeight="1" ht="18.75">
      <c r="A444" s="24" t="s">
        <v>152</v>
      </c>
      <c r="B444" s="25" t="s">
        <v>16</v>
      </c>
      <c r="C444" s="24"/>
      <c r="D444" s="24" t="s">
        <v>75</v>
      </c>
      <c r="E444" s="25" t="s">
        <v>76</v>
      </c>
      <c r="F444" s="26">
        <v>30000000</v>
      </c>
      <c r="G444" s="27">
        <v>1500000</v>
      </c>
      <c r="H444" s="28">
        <v>46112</v>
      </c>
      <c r="I444" s="29">
        <f>IF(H444&gt;0,EDATE(H444,-2),"")</f>
        <v>25569.375</v>
      </c>
      <c r="J444" s="25" t="s">
        <v>306</v>
      </c>
      <c r="K444" s="25" t="s">
        <v>1740</v>
      </c>
      <c r="L444" s="30">
        <f>IF(E444&gt;0,E444,"")</f>
      </c>
      <c r="M444" s="37" t="s">
        <v>1741</v>
      </c>
      <c r="N444" s="26" t="s">
        <v>1742</v>
      </c>
      <c r="O444" s="29">
        <f>IF(ISNUMBER(I444), EDATE(I444,36)-1, "")</f>
        <v>25569.375</v>
      </c>
      <c r="P444" s="24"/>
      <c r="Q444" s="24" t="s">
        <v>166</v>
      </c>
      <c r="R444" s="24" t="s">
        <v>77</v>
      </c>
      <c r="S444" s="9"/>
      <c r="T444" s="9"/>
      <c r="U444" s="9"/>
      <c r="V444" s="9"/>
      <c r="W444" s="9"/>
      <c r="X444" s="9"/>
      <c r="Y444" s="9"/>
      <c r="Z444" s="9"/>
    </row>
    <row x14ac:dyDescent="0.25" r="445" customHeight="1" ht="18.75">
      <c r="A445" s="9"/>
      <c r="B445" s="18" t="s">
        <v>16</v>
      </c>
      <c r="C445" s="9"/>
      <c r="D445" s="9" t="s">
        <v>1743</v>
      </c>
      <c r="E445" s="18" t="s">
        <v>1744</v>
      </c>
      <c r="F445" s="19">
        <v>10000000</v>
      </c>
      <c r="G445" s="20">
        <v>500000</v>
      </c>
      <c r="H445" s="21">
        <v>46082</v>
      </c>
      <c r="I445" s="22">
        <f>IF(H445&gt;0,EDATE(H445,-2),"")</f>
        <v>25569.375</v>
      </c>
      <c r="J445" s="18" t="s">
        <v>161</v>
      </c>
      <c r="K445" s="18" t="s">
        <v>1745</v>
      </c>
      <c r="L445" s="23">
        <f>IF(E445&gt;0,E445,"")</f>
      </c>
      <c r="M445" s="19" t="s">
        <v>1746</v>
      </c>
      <c r="N445" s="19" t="s">
        <v>1747</v>
      </c>
      <c r="O445" s="22">
        <f>IF(ISNUMBER(I445), EDATE(I445,36)-1, "")</f>
        <v>25569.375</v>
      </c>
      <c r="P445" s="9" t="s">
        <v>1748</v>
      </c>
      <c r="Q445" s="9" t="s">
        <v>166</v>
      </c>
      <c r="R445" s="9"/>
      <c r="S445" s="9"/>
      <c r="T445" s="9"/>
      <c r="U445" s="9"/>
      <c r="V445" s="9"/>
      <c r="W445" s="9"/>
      <c r="X445" s="9"/>
      <c r="Y445" s="9"/>
      <c r="Z445" s="9"/>
    </row>
    <row x14ac:dyDescent="0.25" r="446" customHeight="1" ht="18.75">
      <c r="A446" s="9"/>
      <c r="B446" s="18" t="s">
        <v>16</v>
      </c>
      <c r="C446" s="18" t="s">
        <v>454</v>
      </c>
      <c r="D446" s="18" t="s">
        <v>585</v>
      </c>
      <c r="E446" s="18" t="s">
        <v>1744</v>
      </c>
      <c r="F446" s="20">
        <v>20000000</v>
      </c>
      <c r="G446" s="20">
        <v>1528000</v>
      </c>
      <c r="H446" s="21">
        <v>46198</v>
      </c>
      <c r="I446" s="22">
        <f>IF(H446&gt;0,EDATE(H446,-2),"")</f>
        <v>25569.375</v>
      </c>
      <c r="J446" s="18" t="s">
        <v>155</v>
      </c>
      <c r="K446" s="18" t="s">
        <v>1749</v>
      </c>
      <c r="L446" s="23">
        <f>IF(E446&gt;0,E446,"")</f>
      </c>
      <c r="M446" s="19">
        <v>7111232394811</v>
      </c>
      <c r="N446" s="19">
        <v>30369756</v>
      </c>
      <c r="O446" s="22">
        <f>IF(ISNUMBER(I446), EDATE(I446,36)-1, "")</f>
        <v>25569.375</v>
      </c>
      <c r="P446" s="18"/>
      <c r="Q446" s="18"/>
      <c r="R446" s="9"/>
      <c r="S446" s="9"/>
      <c r="T446" s="9"/>
      <c r="U446" s="9"/>
      <c r="V446" s="9"/>
      <c r="W446" s="9"/>
      <c r="X446" s="9"/>
      <c r="Y446" s="9"/>
      <c r="Z446" s="9"/>
    </row>
    <row x14ac:dyDescent="0.25" r="447" customHeight="1" ht="18.75">
      <c r="A447" s="9"/>
      <c r="B447" s="18" t="s">
        <v>16</v>
      </c>
      <c r="C447" s="9" t="s">
        <v>1750</v>
      </c>
      <c r="D447" s="9" t="s">
        <v>203</v>
      </c>
      <c r="E447" s="18" t="s">
        <v>1751</v>
      </c>
      <c r="F447" s="19">
        <v>20000000</v>
      </c>
      <c r="G447" s="20">
        <v>1528000</v>
      </c>
      <c r="H447" s="21">
        <v>46063</v>
      </c>
      <c r="I447" s="22">
        <f>IF(H447&gt;0,EDATE(H447,-2),"")</f>
        <v>25569.375</v>
      </c>
      <c r="J447" s="18" t="s">
        <v>555</v>
      </c>
      <c r="K447" s="18" t="s">
        <v>1752</v>
      </c>
      <c r="L447" s="23">
        <f>IF(E447&gt;0,E447,"")</f>
      </c>
      <c r="M447" s="19" t="s">
        <v>1753</v>
      </c>
      <c r="N447" s="19">
        <v>25377161</v>
      </c>
      <c r="O447" s="22">
        <f>IF(ISNUMBER(I447), EDATE(I447,36)-1, "")</f>
        <v>25569.375</v>
      </c>
      <c r="P447" s="9"/>
      <c r="Q447" s="9"/>
      <c r="R447" s="9" t="s">
        <v>1754</v>
      </c>
      <c r="S447" s="9"/>
      <c r="T447" s="9"/>
      <c r="U447" s="9"/>
      <c r="V447" s="9"/>
      <c r="W447" s="9"/>
      <c r="X447" s="9"/>
      <c r="Y447" s="9"/>
      <c r="Z447" s="9"/>
    </row>
    <row x14ac:dyDescent="0.25" r="448" customHeight="1" ht="18.75">
      <c r="A448" s="9" t="s">
        <v>152</v>
      </c>
      <c r="B448" s="18" t="s">
        <v>16</v>
      </c>
      <c r="C448" s="9" t="s">
        <v>202</v>
      </c>
      <c r="D448" s="9" t="s">
        <v>203</v>
      </c>
      <c r="E448" s="18" t="s">
        <v>1751</v>
      </c>
      <c r="F448" s="19">
        <v>10000000</v>
      </c>
      <c r="G448" s="20"/>
      <c r="H448" s="21">
        <v>46063</v>
      </c>
      <c r="I448" s="22">
        <f>IF(H448&gt;0,EDATE(H448,-2),"")</f>
        <v>25569.375</v>
      </c>
      <c r="J448" s="18" t="s">
        <v>555</v>
      </c>
      <c r="K448" s="18" t="s">
        <v>1752</v>
      </c>
      <c r="L448" s="23">
        <f>IF(E448&gt;0,E448,"")</f>
      </c>
      <c r="M448" s="19">
        <v>3901142063316</v>
      </c>
      <c r="N448" s="19">
        <v>72776699</v>
      </c>
      <c r="O448" s="22">
        <f>IF(ISNUMBER(I448), EDATE(I448,36)-1, "")</f>
        <v>25569.375</v>
      </c>
      <c r="P448" s="9"/>
      <c r="Q448" s="9"/>
      <c r="R448" s="9" t="s">
        <v>1755</v>
      </c>
      <c r="S448" s="9"/>
      <c r="T448" s="9"/>
      <c r="U448" s="9"/>
      <c r="V448" s="9"/>
      <c r="W448" s="9"/>
      <c r="X448" s="9"/>
      <c r="Y448" s="9"/>
      <c r="Z448" s="9"/>
    </row>
    <row x14ac:dyDescent="0.25" r="449" customHeight="1" ht="18.75">
      <c r="A449" s="9"/>
      <c r="B449" s="18" t="s">
        <v>16</v>
      </c>
      <c r="C449" s="9"/>
      <c r="D449" s="9"/>
      <c r="E449" s="18" t="s">
        <v>1756</v>
      </c>
      <c r="F449" s="19">
        <v>10000000</v>
      </c>
      <c r="G449" s="20">
        <v>500000</v>
      </c>
      <c r="H449" s="21">
        <v>46180</v>
      </c>
      <c r="I449" s="22">
        <f>IF(H449&gt;0,EDATE(H449,-2),"")</f>
        <v>25569.375</v>
      </c>
      <c r="J449" s="18" t="s">
        <v>168</v>
      </c>
      <c r="K449" s="18" t="s">
        <v>1757</v>
      </c>
      <c r="L449" s="23">
        <f>IF(E449&gt;0,E449,"")</f>
      </c>
      <c r="M449" s="19" t="s">
        <v>1758</v>
      </c>
      <c r="N449" s="19" t="s">
        <v>1759</v>
      </c>
      <c r="O449" s="22">
        <f>IF(ISNUMBER(I449), EDATE(I449,36)-1, "")</f>
        <v>25569.375</v>
      </c>
      <c r="P449" s="9" t="s">
        <v>1760</v>
      </c>
      <c r="Q449" s="9" t="s">
        <v>166</v>
      </c>
      <c r="R449" s="9" t="s">
        <v>1761</v>
      </c>
      <c r="S449" s="9"/>
      <c r="T449" s="9"/>
      <c r="U449" s="9"/>
      <c r="V449" s="9"/>
      <c r="W449" s="9"/>
      <c r="X449" s="9"/>
      <c r="Y449" s="9"/>
      <c r="Z449" s="9"/>
    </row>
    <row x14ac:dyDescent="0.25" r="450" customHeight="1" ht="18.75">
      <c r="A450" s="9"/>
      <c r="B450" s="18" t="s">
        <v>16</v>
      </c>
      <c r="C450" s="9"/>
      <c r="D450" s="9"/>
      <c r="E450" s="18" t="s">
        <v>75</v>
      </c>
      <c r="F450" s="19">
        <v>20000000</v>
      </c>
      <c r="G450" s="20">
        <v>1528000</v>
      </c>
      <c r="H450" s="21">
        <v>46016</v>
      </c>
      <c r="I450" s="22">
        <f>IF(H450&gt;0,EDATE(H450,-2),"")</f>
        <v>25569.375</v>
      </c>
      <c r="J450" s="18" t="s">
        <v>155</v>
      </c>
      <c r="K450" s="18" t="s">
        <v>1762</v>
      </c>
      <c r="L450" s="23">
        <f>IF(E450&gt;0,E450,"")</f>
      </c>
      <c r="M450" s="19" t="s">
        <v>1763</v>
      </c>
      <c r="N450" s="19" t="s">
        <v>1764</v>
      </c>
      <c r="O450" s="22">
        <f>IF(ISNUMBER(I450), EDATE(I450,36)-1, "")</f>
        <v>25569.375</v>
      </c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x14ac:dyDescent="0.25" r="451" customHeight="1" ht="18.75">
      <c r="A451" s="24"/>
      <c r="B451" s="25" t="s">
        <v>16</v>
      </c>
      <c r="C451" s="24"/>
      <c r="D451" s="24" t="s">
        <v>75</v>
      </c>
      <c r="E451" s="25" t="s">
        <v>75</v>
      </c>
      <c r="F451" s="26">
        <v>20000000</v>
      </c>
      <c r="G451" s="27">
        <v>1528000</v>
      </c>
      <c r="H451" s="28">
        <v>46137</v>
      </c>
      <c r="I451" s="29">
        <f>IF(H451&gt;0,EDATE(H451,-2),"")</f>
        <v>25569.375</v>
      </c>
      <c r="J451" s="25" t="s">
        <v>282</v>
      </c>
      <c r="K451" s="25" t="s">
        <v>1765</v>
      </c>
      <c r="L451" s="30">
        <f>IF(E451&gt;0,E451,"")</f>
      </c>
      <c r="M451" s="26" t="s">
        <v>1763</v>
      </c>
      <c r="N451" s="26" t="s">
        <v>1764</v>
      </c>
      <c r="O451" s="29">
        <f>IF(ISNUMBER(I451), EDATE(I451,36)-1, "")</f>
        <v>25569.375</v>
      </c>
      <c r="P451" s="24" t="s">
        <v>1766</v>
      </c>
      <c r="Q451" s="24" t="s">
        <v>293</v>
      </c>
      <c r="R451" s="24" t="s">
        <v>1767</v>
      </c>
      <c r="S451" s="9"/>
      <c r="T451" s="9"/>
      <c r="U451" s="9"/>
      <c r="V451" s="9"/>
      <c r="W451" s="9"/>
      <c r="X451" s="9"/>
      <c r="Y451" s="9"/>
      <c r="Z451" s="9"/>
    </row>
    <row x14ac:dyDescent="0.25" r="452" customHeight="1" ht="18.75">
      <c r="A452" s="9"/>
      <c r="B452" s="18" t="s">
        <v>16</v>
      </c>
      <c r="C452" s="9"/>
      <c r="D452" s="9" t="s">
        <v>97</v>
      </c>
      <c r="E452" s="18" t="s">
        <v>1768</v>
      </c>
      <c r="F452" s="19">
        <v>10000000</v>
      </c>
      <c r="G452" s="20">
        <v>800000</v>
      </c>
      <c r="H452" s="21">
        <v>46143</v>
      </c>
      <c r="I452" s="22">
        <f>IF(H452&gt;0,EDATE(H452,-2),"")</f>
        <v>25569.375</v>
      </c>
      <c r="J452" s="18" t="s">
        <v>1202</v>
      </c>
      <c r="K452" s="18" t="s">
        <v>1203</v>
      </c>
      <c r="L452" s="23">
        <f>IF(E452&gt;0,E452,"")</f>
      </c>
      <c r="M452" s="19" t="s">
        <v>1769</v>
      </c>
      <c r="N452" s="19" t="s">
        <v>1770</v>
      </c>
      <c r="O452" s="22">
        <f>IF(ISNUMBER(I452), EDATE(I452,36)-1, "")</f>
        <v>25569.375</v>
      </c>
      <c r="P452" s="9"/>
      <c r="Q452" s="9" t="s">
        <v>166</v>
      </c>
      <c r="R452" s="9" t="s">
        <v>1761</v>
      </c>
      <c r="S452" s="9"/>
      <c r="T452" s="9"/>
      <c r="U452" s="9"/>
      <c r="V452" s="9"/>
      <c r="W452" s="9"/>
      <c r="X452" s="9"/>
      <c r="Y452" s="9"/>
      <c r="Z452" s="9"/>
    </row>
    <row x14ac:dyDescent="0.25" r="453" customHeight="1" ht="18.75">
      <c r="A453" s="9"/>
      <c r="B453" s="18" t="s">
        <v>16</v>
      </c>
      <c r="C453" s="9"/>
      <c r="D453" s="9"/>
      <c r="E453" s="18" t="s">
        <v>78</v>
      </c>
      <c r="F453" s="19">
        <v>40000000</v>
      </c>
      <c r="G453" s="20">
        <v>25028000</v>
      </c>
      <c r="H453" s="21">
        <v>46162</v>
      </c>
      <c r="I453" s="22">
        <f>IF(H453&gt;0,EDATE(H453,-2),"")</f>
        <v>25569.375</v>
      </c>
      <c r="J453" s="18" t="s">
        <v>1688</v>
      </c>
      <c r="K453" s="18" t="s">
        <v>1727</v>
      </c>
      <c r="L453" s="23">
        <f>IF(E453&gt;0,E453,"")</f>
      </c>
      <c r="M453" s="19" t="s">
        <v>1771</v>
      </c>
      <c r="N453" s="19" t="s">
        <v>1729</v>
      </c>
      <c r="O453" s="22">
        <f>IF(ISNUMBER(I453), EDATE(I453,36)-1, "")</f>
        <v>25569.375</v>
      </c>
      <c r="P453" s="9" t="s">
        <v>79</v>
      </c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x14ac:dyDescent="0.25" r="454" customHeight="1" ht="18.75">
      <c r="A454" s="9"/>
      <c r="B454" s="18" t="s">
        <v>16</v>
      </c>
      <c r="C454" s="9"/>
      <c r="D454" s="9"/>
      <c r="E454" s="18" t="s">
        <v>1772</v>
      </c>
      <c r="F454" s="19">
        <v>10000000</v>
      </c>
      <c r="G454" s="20">
        <v>800000</v>
      </c>
      <c r="H454" s="21">
        <v>46126</v>
      </c>
      <c r="I454" s="22">
        <f>IF(H454&gt;0,EDATE(H454,-2),"")</f>
        <v>25569.375</v>
      </c>
      <c r="J454" s="18" t="s">
        <v>570</v>
      </c>
      <c r="K454" s="18" t="s">
        <v>1773</v>
      </c>
      <c r="L454" s="23">
        <f>IF(E454&gt;0,E454,"")</f>
      </c>
      <c r="M454" s="19" t="s">
        <v>1774</v>
      </c>
      <c r="N454" s="19" t="s">
        <v>1775</v>
      </c>
      <c r="O454" s="22">
        <f>IF(ISNUMBER(I454), EDATE(I454,36)-1, "")</f>
        <v>25569.375</v>
      </c>
      <c r="P454" s="9"/>
      <c r="Q454" s="9" t="s">
        <v>166</v>
      </c>
      <c r="R454" s="9"/>
      <c r="S454" s="9"/>
      <c r="T454" s="9"/>
      <c r="U454" s="9"/>
      <c r="V454" s="9"/>
      <c r="W454" s="9"/>
      <c r="X454" s="9"/>
      <c r="Y454" s="9"/>
      <c r="Z454" s="9"/>
    </row>
    <row x14ac:dyDescent="0.25" r="455" customHeight="1" ht="18.75">
      <c r="A455" s="9"/>
      <c r="B455" s="18" t="s">
        <v>16</v>
      </c>
      <c r="C455" s="9" t="s">
        <v>116</v>
      </c>
      <c r="D455" s="9" t="s">
        <v>117</v>
      </c>
      <c r="E455" s="18" t="s">
        <v>1776</v>
      </c>
      <c r="F455" s="19">
        <v>10000000</v>
      </c>
      <c r="G455" s="20">
        <v>800000</v>
      </c>
      <c r="H455" s="21">
        <v>46151</v>
      </c>
      <c r="I455" s="22">
        <f>IF(H455&gt;0,EDATE(H455,-2),"")</f>
        <v>25569.375</v>
      </c>
      <c r="J455" s="18" t="s">
        <v>1688</v>
      </c>
      <c r="K455" s="18" t="s">
        <v>1777</v>
      </c>
      <c r="L455" s="23">
        <f>IF(E455&gt;0,E455,"")</f>
      </c>
      <c r="M455" s="19" t="s">
        <v>1778</v>
      </c>
      <c r="N455" s="19">
        <v>66517977</v>
      </c>
      <c r="O455" s="22">
        <f>IF(ISNUMBER(I455), EDATE(I455,36)-1, "")</f>
        <v>25569.375</v>
      </c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x14ac:dyDescent="0.25" r="456" customHeight="1" ht="18.75">
      <c r="A456" s="9"/>
      <c r="B456" s="18" t="s">
        <v>16</v>
      </c>
      <c r="C456" s="9" t="s">
        <v>80</v>
      </c>
      <c r="D456" s="9"/>
      <c r="E456" s="18" t="s">
        <v>81</v>
      </c>
      <c r="F456" s="19">
        <v>30000000</v>
      </c>
      <c r="G456" s="20">
        <v>2028000</v>
      </c>
      <c r="H456" s="21">
        <v>46151</v>
      </c>
      <c r="I456" s="22">
        <f>IF(H456&gt;0,EDATE(H456,-2),"")</f>
        <v>25569.375</v>
      </c>
      <c r="J456" s="18" t="s">
        <v>239</v>
      </c>
      <c r="K456" s="18" t="s">
        <v>1779</v>
      </c>
      <c r="L456" s="23">
        <f>IF(E456&gt;0,E456,"")</f>
      </c>
      <c r="M456" s="19" t="s">
        <v>1780</v>
      </c>
      <c r="N456" s="19" t="s">
        <v>1781</v>
      </c>
      <c r="O456" s="22">
        <f>IF(ISNUMBER(I456), EDATE(I456,36)-1, "")</f>
        <v>25569.375</v>
      </c>
      <c r="P456" s="9" t="s">
        <v>82</v>
      </c>
      <c r="Q456" s="9" t="s">
        <v>166</v>
      </c>
      <c r="R456" s="9" t="s">
        <v>83</v>
      </c>
      <c r="S456" s="9"/>
      <c r="T456" s="9"/>
      <c r="U456" s="9"/>
      <c r="V456" s="9"/>
      <c r="W456" s="9"/>
      <c r="X456" s="9"/>
      <c r="Y456" s="9"/>
      <c r="Z456" s="9"/>
    </row>
    <row x14ac:dyDescent="0.25" r="457" customHeight="1" ht="18.75">
      <c r="A457" s="9"/>
      <c r="B457" s="18" t="s">
        <v>16</v>
      </c>
      <c r="C457" s="9"/>
      <c r="D457" s="9"/>
      <c r="E457" s="18" t="s">
        <v>455</v>
      </c>
      <c r="F457" s="19">
        <v>10000000</v>
      </c>
      <c r="G457" s="20">
        <v>800000</v>
      </c>
      <c r="H457" s="21">
        <v>46154</v>
      </c>
      <c r="I457" s="22">
        <f>IF(H457&gt;0,EDATE(H457,-2),"")</f>
        <v>25569.375</v>
      </c>
      <c r="J457" s="18" t="s">
        <v>161</v>
      </c>
      <c r="K457" s="18" t="s">
        <v>888</v>
      </c>
      <c r="L457" s="23">
        <f>IF(E457&gt;0,E457,"")</f>
      </c>
      <c r="M457" s="19" t="s">
        <v>1782</v>
      </c>
      <c r="N457" s="19" t="s">
        <v>1783</v>
      </c>
      <c r="O457" s="22">
        <f>IF(ISNUMBER(I457), EDATE(I457,36)-1, "")</f>
        <v>25569.375</v>
      </c>
      <c r="P457" s="9" t="s">
        <v>1784</v>
      </c>
      <c r="Q457" s="9" t="s">
        <v>166</v>
      </c>
      <c r="R457" s="9"/>
      <c r="S457" s="9"/>
      <c r="T457" s="9"/>
      <c r="U457" s="9"/>
      <c r="V457" s="9"/>
      <c r="W457" s="9"/>
      <c r="X457" s="9"/>
      <c r="Y457" s="9"/>
      <c r="Z457" s="9"/>
    </row>
    <row x14ac:dyDescent="0.25" r="458" customHeight="1" ht="18.75">
      <c r="A458" s="9" t="s">
        <v>275</v>
      </c>
      <c r="B458" s="18" t="s">
        <v>16</v>
      </c>
      <c r="C458" s="9"/>
      <c r="D458" s="9"/>
      <c r="E458" s="18" t="s">
        <v>1785</v>
      </c>
      <c r="F458" s="19">
        <v>20000000</v>
      </c>
      <c r="G458" s="20"/>
      <c r="H458" s="21">
        <v>45876</v>
      </c>
      <c r="I458" s="22">
        <f>IF(H458&gt;0,EDATE(H458,-2),"")</f>
        <v>25569.375</v>
      </c>
      <c r="J458" s="18" t="s">
        <v>155</v>
      </c>
      <c r="K458" s="18" t="s">
        <v>1786</v>
      </c>
      <c r="L458" s="23">
        <f>IF(E458&gt;0,E458,"")</f>
      </c>
      <c r="M458" s="19" t="s">
        <v>1787</v>
      </c>
      <c r="N458" s="19" t="s">
        <v>1788</v>
      </c>
      <c r="O458" s="22">
        <f>IF(ISNUMBER(I458), EDATE(I458,36)-1, "")</f>
        <v>25569.375</v>
      </c>
      <c r="P458" s="9"/>
      <c r="Q458" s="9"/>
      <c r="R458" s="9" t="s">
        <v>1789</v>
      </c>
      <c r="S458" s="9"/>
      <c r="T458" s="9"/>
      <c r="U458" s="9"/>
      <c r="V458" s="9"/>
      <c r="W458" s="9"/>
      <c r="X458" s="9"/>
      <c r="Y458" s="9"/>
      <c r="Z458" s="9"/>
    </row>
    <row x14ac:dyDescent="0.25" r="459" customHeight="1" ht="18.75">
      <c r="A459" s="9"/>
      <c r="B459" s="18" t="s">
        <v>16</v>
      </c>
      <c r="C459" s="9"/>
      <c r="D459" s="9"/>
      <c r="E459" s="18" t="s">
        <v>1785</v>
      </c>
      <c r="F459" s="19">
        <v>60000000</v>
      </c>
      <c r="G459" s="20">
        <v>4800000</v>
      </c>
      <c r="H459" s="21">
        <v>45930</v>
      </c>
      <c r="I459" s="22">
        <f>IF(H459&gt;0,EDATE(H459,-2),"")</f>
        <v>25569.375</v>
      </c>
      <c r="J459" s="18" t="s">
        <v>155</v>
      </c>
      <c r="K459" s="18" t="s">
        <v>1786</v>
      </c>
      <c r="L459" s="23">
        <f>IF(E459&gt;0,E459,"")</f>
      </c>
      <c r="M459" s="19" t="s">
        <v>1787</v>
      </c>
      <c r="N459" s="19" t="s">
        <v>1788</v>
      </c>
      <c r="O459" s="22">
        <f>IF(ISNUMBER(I459), EDATE(I459,36)-1, "")</f>
        <v>25569.375</v>
      </c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x14ac:dyDescent="0.25" r="460" customHeight="1" ht="18.75">
      <c r="A460" s="9"/>
      <c r="B460" s="18" t="s">
        <v>16</v>
      </c>
      <c r="C460" s="9"/>
      <c r="D460" s="9"/>
      <c r="E460" s="18" t="s">
        <v>1790</v>
      </c>
      <c r="F460" s="19">
        <v>10000000</v>
      </c>
      <c r="G460" s="20"/>
      <c r="H460" s="21">
        <v>46011</v>
      </c>
      <c r="I460" s="22">
        <f>IF(H460&gt;0,EDATE(H460,-2),"")</f>
        <v>25569.375</v>
      </c>
      <c r="J460" s="18" t="s">
        <v>155</v>
      </c>
      <c r="K460" s="18" t="s">
        <v>1791</v>
      </c>
      <c r="L460" s="23">
        <f>IF(E460&gt;0,E460,"")</f>
      </c>
      <c r="M460" s="19" t="s">
        <v>1792</v>
      </c>
      <c r="N460" s="19" t="s">
        <v>1793</v>
      </c>
      <c r="O460" s="22">
        <f>IF(ISNUMBER(I460), EDATE(I460,36)-1, "")</f>
        <v>25569.375</v>
      </c>
      <c r="P460" s="9"/>
      <c r="Q460" s="9"/>
      <c r="R460" s="9" t="s">
        <v>1794</v>
      </c>
      <c r="S460" s="9"/>
      <c r="T460" s="9"/>
      <c r="U460" s="9"/>
      <c r="V460" s="9"/>
      <c r="W460" s="9"/>
      <c r="X460" s="9"/>
      <c r="Y460" s="9"/>
      <c r="Z460" s="9"/>
    </row>
    <row x14ac:dyDescent="0.25" r="461" customHeight="1" ht="18.75">
      <c r="A461" s="9"/>
      <c r="B461" s="18" t="s">
        <v>16</v>
      </c>
      <c r="C461" s="9"/>
      <c r="D461" s="9"/>
      <c r="E461" s="18" t="s">
        <v>1790</v>
      </c>
      <c r="F461" s="19">
        <v>20000000</v>
      </c>
      <c r="G461" s="20">
        <v>1528000</v>
      </c>
      <c r="H461" s="21">
        <v>46064</v>
      </c>
      <c r="I461" s="22">
        <f>IF(H461&gt;0,EDATE(H461,-2),"")</f>
        <v>25569.375</v>
      </c>
      <c r="J461" s="18" t="s">
        <v>155</v>
      </c>
      <c r="K461" s="18" t="s">
        <v>1791</v>
      </c>
      <c r="L461" s="23">
        <f>IF(E461&gt;0,E461,"")</f>
      </c>
      <c r="M461" s="19" t="s">
        <v>1792</v>
      </c>
      <c r="N461" s="19" t="s">
        <v>1793</v>
      </c>
      <c r="O461" s="22">
        <f>IF(ISNUMBER(I461), EDATE(I461,36)-1, "")</f>
        <v>25569.375</v>
      </c>
      <c r="P461" s="9"/>
      <c r="Q461" s="9"/>
      <c r="R461" s="31" t="s">
        <v>63</v>
      </c>
      <c r="S461" s="9"/>
      <c r="T461" s="9"/>
      <c r="U461" s="9"/>
      <c r="V461" s="9"/>
      <c r="W461" s="9"/>
      <c r="X461" s="9"/>
      <c r="Y461" s="9"/>
      <c r="Z461" s="9"/>
    </row>
    <row x14ac:dyDescent="0.25" r="462" customHeight="1" ht="18.75">
      <c r="A462" s="9"/>
      <c r="B462" s="18" t="s">
        <v>16</v>
      </c>
      <c r="C462" s="9"/>
      <c r="D462" s="9"/>
      <c r="E462" s="18" t="s">
        <v>1795</v>
      </c>
      <c r="F462" s="19">
        <v>10000000</v>
      </c>
      <c r="G462" s="20">
        <v>800000</v>
      </c>
      <c r="H462" s="21">
        <v>45921</v>
      </c>
      <c r="I462" s="22">
        <f>IF(H462&gt;0,EDATE(H462,-2),"")</f>
        <v>25569.375</v>
      </c>
      <c r="J462" s="18" t="s">
        <v>168</v>
      </c>
      <c r="K462" s="18" t="s">
        <v>1796</v>
      </c>
      <c r="L462" s="23">
        <f>IF(E462&gt;0,E462,"")</f>
      </c>
      <c r="M462" s="19" t="s">
        <v>1797</v>
      </c>
      <c r="N462" s="19" t="s">
        <v>1798</v>
      </c>
      <c r="O462" s="22">
        <f>IF(ISNUMBER(I462), EDATE(I462,36)-1, "")</f>
        <v>25569.375</v>
      </c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x14ac:dyDescent="0.25" r="463" customHeight="1" ht="18.75">
      <c r="A463" s="9"/>
      <c r="B463" s="18" t="s">
        <v>16</v>
      </c>
      <c r="C463" s="9" t="s">
        <v>454</v>
      </c>
      <c r="D463" s="9"/>
      <c r="E463" s="18" t="s">
        <v>1799</v>
      </c>
      <c r="F463" s="19">
        <v>10000000</v>
      </c>
      <c r="G463" s="20">
        <v>800000</v>
      </c>
      <c r="H463" s="21">
        <v>46154</v>
      </c>
      <c r="I463" s="22">
        <f>IF(H463&gt;0,EDATE(H463,-2),"")</f>
        <v>25569.375</v>
      </c>
      <c r="J463" s="18" t="s">
        <v>239</v>
      </c>
      <c r="K463" s="18" t="s">
        <v>1800</v>
      </c>
      <c r="L463" s="23">
        <f>IF(E463&gt;0,E463,"")</f>
      </c>
      <c r="M463" s="19" t="s">
        <v>1782</v>
      </c>
      <c r="N463" s="19" t="s">
        <v>1783</v>
      </c>
      <c r="O463" s="22">
        <f>IF(ISNUMBER(I463), EDATE(I463,36)-1, "")</f>
        <v>25569.375</v>
      </c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x14ac:dyDescent="0.25" r="464" customHeight="1" ht="18.75">
      <c r="A464" s="9"/>
      <c r="B464" s="18" t="s">
        <v>16</v>
      </c>
      <c r="C464" s="9"/>
      <c r="D464" s="9" t="s">
        <v>1260</v>
      </c>
      <c r="E464" s="18" t="s">
        <v>1801</v>
      </c>
      <c r="F464" s="19">
        <v>10000000</v>
      </c>
      <c r="G464" s="20">
        <v>1200000</v>
      </c>
      <c r="H464" s="21">
        <v>46192</v>
      </c>
      <c r="I464" s="22">
        <f>IF(H464&gt;0,EDATE(H464,-2),"")</f>
        <v>25569.375</v>
      </c>
      <c r="J464" s="18" t="s">
        <v>161</v>
      </c>
      <c r="K464" s="18" t="s">
        <v>1802</v>
      </c>
      <c r="L464" s="23">
        <f>IF(E464&gt;0,E464,"")</f>
      </c>
      <c r="M464" s="19" t="s">
        <v>1803</v>
      </c>
      <c r="N464" s="19" t="s">
        <v>1804</v>
      </c>
      <c r="O464" s="22">
        <f>IF(ISNUMBER(I464), EDATE(I464,36)-1, "")</f>
        <v>25569.375</v>
      </c>
      <c r="P464" s="9" t="s">
        <v>1805</v>
      </c>
      <c r="Q464" s="9" t="s">
        <v>166</v>
      </c>
      <c r="R464" s="9"/>
      <c r="S464" s="9"/>
      <c r="T464" s="9"/>
      <c r="U464" s="9"/>
      <c r="V464" s="9"/>
      <c r="W464" s="9"/>
      <c r="X464" s="9"/>
      <c r="Y464" s="9"/>
      <c r="Z464" s="9"/>
    </row>
    <row x14ac:dyDescent="0.25" r="465" customHeight="1" ht="18.75">
      <c r="A465" s="9" t="s">
        <v>152</v>
      </c>
      <c r="B465" s="18" t="s">
        <v>16</v>
      </c>
      <c r="C465" s="9"/>
      <c r="D465" s="9"/>
      <c r="E465" s="18" t="s">
        <v>84</v>
      </c>
      <c r="F465" s="19">
        <v>10000000</v>
      </c>
      <c r="G465" s="20">
        <v>800000</v>
      </c>
      <c r="H465" s="21">
        <v>46192</v>
      </c>
      <c r="I465" s="22">
        <f>IF(H465&gt;0,EDATE(H465,-2),"")</f>
        <v>25569.375</v>
      </c>
      <c r="J465" s="18" t="s">
        <v>580</v>
      </c>
      <c r="K465" s="18" t="s">
        <v>1806</v>
      </c>
      <c r="L465" s="23">
        <f>IF(E465&gt;0,E465,"")</f>
      </c>
      <c r="M465" s="19" t="s">
        <v>1807</v>
      </c>
      <c r="N465" s="19" t="s">
        <v>1808</v>
      </c>
      <c r="O465" s="22">
        <f>IF(ISNUMBER(I465), EDATE(I465,36)-1, "")</f>
        <v>25569.375</v>
      </c>
      <c r="P465" s="9" t="s">
        <v>85</v>
      </c>
      <c r="Q465" s="9"/>
      <c r="R465" s="9" t="s">
        <v>86</v>
      </c>
      <c r="S465" s="9"/>
      <c r="T465" s="9"/>
      <c r="U465" s="9"/>
      <c r="V465" s="9"/>
      <c r="W465" s="9"/>
      <c r="X465" s="9"/>
      <c r="Y465" s="9"/>
      <c r="Z465" s="9"/>
    </row>
    <row x14ac:dyDescent="0.25" r="466" customHeight="1" ht="18.75">
      <c r="A466" s="9"/>
      <c r="B466" s="18" t="s">
        <v>16</v>
      </c>
      <c r="C466" s="18" t="s">
        <v>48</v>
      </c>
      <c r="D466" s="18" t="s">
        <v>521</v>
      </c>
      <c r="E466" s="18" t="s">
        <v>1809</v>
      </c>
      <c r="F466" s="20">
        <v>10000000</v>
      </c>
      <c r="G466" s="8">
        <f>IF(F466&gt;0,_xludf.IFS(F466=10000000,1200000,F466=20000000,1800000,F466=30000000,2400000,F466=60000000,4000000),"")</f>
      </c>
      <c r="H466" s="21">
        <v>46247</v>
      </c>
      <c r="I466" s="22">
        <f>IF(H466&gt;0,EDATE(H466,-2),"")</f>
        <v>25569.375</v>
      </c>
      <c r="J466" s="18" t="s">
        <v>988</v>
      </c>
      <c r="K466" s="18" t="s">
        <v>1810</v>
      </c>
      <c r="L466" s="23">
        <f>IF(E466&gt;0,E466,"")</f>
      </c>
      <c r="M466" s="19">
        <v>6307102476814</v>
      </c>
      <c r="N466" s="19">
        <v>82328250</v>
      </c>
      <c r="O466" s="22">
        <f>IF(ISNUMBER(I466), EDATE(I466,36)-1, "")</f>
        <v>25569.375</v>
      </c>
      <c r="P466" s="18"/>
      <c r="Q466" s="18"/>
      <c r="R466" s="9"/>
      <c r="S466" s="9"/>
      <c r="T466" s="9"/>
      <c r="U466" s="9"/>
      <c r="V466" s="9"/>
      <c r="W466" s="9"/>
      <c r="X466" s="9"/>
      <c r="Y466" s="9"/>
      <c r="Z466" s="9"/>
    </row>
    <row x14ac:dyDescent="0.25" r="467" customHeight="1" ht="18.75">
      <c r="A467" s="9" t="s">
        <v>152</v>
      </c>
      <c r="B467" s="18" t="s">
        <v>16</v>
      </c>
      <c r="C467" s="9" t="s">
        <v>48</v>
      </c>
      <c r="D467" s="9" t="s">
        <v>23</v>
      </c>
      <c r="E467" s="18" t="s">
        <v>1811</v>
      </c>
      <c r="F467" s="19">
        <v>10000000</v>
      </c>
      <c r="G467" s="20">
        <v>1200000</v>
      </c>
      <c r="H467" s="21">
        <v>46197</v>
      </c>
      <c r="I467" s="22">
        <f>IF(H467&gt;0,EDATE(H467,-2),"")</f>
        <v>25569.375</v>
      </c>
      <c r="J467" s="18" t="s">
        <v>168</v>
      </c>
      <c r="K467" s="18" t="s">
        <v>1812</v>
      </c>
      <c r="L467" s="23">
        <f>IF(E467&gt;0,E467,"")</f>
      </c>
      <c r="M467" s="19">
        <v>9301142155117</v>
      </c>
      <c r="N467" s="19">
        <v>77425117</v>
      </c>
      <c r="O467" s="22">
        <f>IF(ISNUMBER(I467), EDATE(I467,36)-1, "")</f>
        <v>25569.375</v>
      </c>
      <c r="P467" s="9"/>
      <c r="Q467" s="9"/>
      <c r="R467" s="9" t="s">
        <v>1813</v>
      </c>
      <c r="S467" s="9"/>
      <c r="T467" s="9"/>
      <c r="U467" s="9"/>
      <c r="V467" s="9"/>
      <c r="W467" s="9"/>
      <c r="X467" s="9"/>
      <c r="Y467" s="9"/>
      <c r="Z467" s="9"/>
    </row>
    <row x14ac:dyDescent="0.25" r="468" customHeight="1" ht="18.75">
      <c r="A468" s="9" t="s">
        <v>152</v>
      </c>
      <c r="B468" s="18" t="s">
        <v>16</v>
      </c>
      <c r="C468" s="9" t="s">
        <v>816</v>
      </c>
      <c r="D468" s="9" t="s">
        <v>114</v>
      </c>
      <c r="E468" s="18" t="s">
        <v>1814</v>
      </c>
      <c r="F468" s="19">
        <v>20000000</v>
      </c>
      <c r="G468" s="20">
        <v>1000000</v>
      </c>
      <c r="H468" s="21">
        <v>46118</v>
      </c>
      <c r="I468" s="22">
        <f>IF(H468&gt;0,EDATE(H468,-2),"")</f>
        <v>25569.375</v>
      </c>
      <c r="J468" s="18" t="s">
        <v>155</v>
      </c>
      <c r="K468" s="18" t="s">
        <v>1815</v>
      </c>
      <c r="L468" s="23">
        <f>IF(E468&gt;0,E468,"")</f>
      </c>
      <c r="M468" s="19">
        <v>5611192523215</v>
      </c>
      <c r="N468" s="19">
        <v>96784025</v>
      </c>
      <c r="O468" s="22">
        <f>IF(ISNUMBER(I468), EDATE(I468,36)-1, "")</f>
        <v>25569.375</v>
      </c>
      <c r="P468" s="9"/>
      <c r="Q468" s="9"/>
      <c r="R468" s="9" t="s">
        <v>1816</v>
      </c>
      <c r="S468" s="9"/>
      <c r="T468" s="9"/>
      <c r="U468" s="9"/>
      <c r="V468" s="9"/>
      <c r="W468" s="9"/>
      <c r="X468" s="9"/>
      <c r="Y468" s="9"/>
      <c r="Z468" s="9"/>
    </row>
    <row x14ac:dyDescent="0.25" r="469" customHeight="1" ht="18.75">
      <c r="A469" s="9"/>
      <c r="B469" s="18" t="s">
        <v>16</v>
      </c>
      <c r="C469" s="9"/>
      <c r="D469" s="9" t="s">
        <v>117</v>
      </c>
      <c r="E469" s="18" t="s">
        <v>1044</v>
      </c>
      <c r="F469" s="19">
        <v>10000000</v>
      </c>
      <c r="G469" s="20">
        <v>800000</v>
      </c>
      <c r="H469" s="21">
        <v>46108</v>
      </c>
      <c r="I469" s="22">
        <f>IF(H469&gt;0,EDATE(H469,-2),"")</f>
        <v>25569.375</v>
      </c>
      <c r="J469" s="18" t="s">
        <v>282</v>
      </c>
      <c r="K469" s="18" t="s">
        <v>1817</v>
      </c>
      <c r="L469" s="23">
        <f>IF(E469&gt;0,E469,"")</f>
      </c>
      <c r="M469" s="19" t="s">
        <v>1818</v>
      </c>
      <c r="N469" s="19" t="s">
        <v>1819</v>
      </c>
      <c r="O469" s="22">
        <f>IF(ISNUMBER(I469), EDATE(I469,36)-1, "")</f>
        <v>25569.375</v>
      </c>
      <c r="P469" s="9"/>
      <c r="Q469" s="9" t="s">
        <v>166</v>
      </c>
      <c r="R469" s="9"/>
      <c r="S469" s="9"/>
      <c r="T469" s="9"/>
      <c r="U469" s="9"/>
      <c r="V469" s="9"/>
      <c r="W469" s="9"/>
      <c r="X469" s="9"/>
      <c r="Y469" s="9"/>
      <c r="Z469" s="9"/>
    </row>
    <row x14ac:dyDescent="0.25" r="470" customHeight="1" ht="18.75">
      <c r="A470" s="24"/>
      <c r="B470" s="25" t="s">
        <v>16</v>
      </c>
      <c r="C470" s="24"/>
      <c r="D470" s="24" t="s">
        <v>476</v>
      </c>
      <c r="E470" s="25" t="s">
        <v>1044</v>
      </c>
      <c r="F470" s="26">
        <v>30000000</v>
      </c>
      <c r="G470" s="27">
        <v>2028000</v>
      </c>
      <c r="H470" s="28">
        <v>46159</v>
      </c>
      <c r="I470" s="29">
        <f>IF(H470&gt;0,EDATE(H470,-2),"")</f>
        <v>25569.375</v>
      </c>
      <c r="J470" s="25" t="s">
        <v>168</v>
      </c>
      <c r="K470" s="25" t="s">
        <v>1817</v>
      </c>
      <c r="L470" s="30">
        <f>IF(E470&gt;0,E470,"")</f>
      </c>
      <c r="M470" s="26" t="s">
        <v>1818</v>
      </c>
      <c r="N470" s="26" t="s">
        <v>1819</v>
      </c>
      <c r="O470" s="29">
        <f>IF(ISNUMBER(I470), EDATE(I470,36)-1, "")</f>
        <v>25569.375</v>
      </c>
      <c r="P470" s="24"/>
      <c r="Q470" s="24" t="s">
        <v>166</v>
      </c>
      <c r="R470" s="24" t="s">
        <v>1820</v>
      </c>
      <c r="S470" s="9"/>
      <c r="T470" s="9"/>
      <c r="U470" s="9"/>
      <c r="V470" s="9"/>
      <c r="W470" s="9"/>
      <c r="X470" s="9"/>
      <c r="Y470" s="9"/>
      <c r="Z470" s="9"/>
    </row>
    <row x14ac:dyDescent="0.25" r="471" customHeight="1" ht="18.75">
      <c r="A471" s="9" t="s">
        <v>152</v>
      </c>
      <c r="B471" s="18" t="s">
        <v>16</v>
      </c>
      <c r="C471" s="9"/>
      <c r="D471" s="9"/>
      <c r="E471" s="18" t="s">
        <v>87</v>
      </c>
      <c r="F471" s="19">
        <v>60000000</v>
      </c>
      <c r="G471" s="20">
        <v>4800000</v>
      </c>
      <c r="H471" s="21">
        <v>46094</v>
      </c>
      <c r="I471" s="22">
        <f>IF(H471&gt;0,EDATE(H471,-2),"")</f>
        <v>25569.375</v>
      </c>
      <c r="J471" s="18" t="s">
        <v>205</v>
      </c>
      <c r="K471" s="18" t="s">
        <v>1821</v>
      </c>
      <c r="L471" s="23">
        <f>IF(E471&gt;0,E471,"")</f>
      </c>
      <c r="M471" s="19" t="s">
        <v>1822</v>
      </c>
      <c r="N471" s="19" t="s">
        <v>1823</v>
      </c>
      <c r="O471" s="22">
        <f>IF(ISNUMBER(I471), EDATE(I471,36)-1, "")</f>
        <v>25569.375</v>
      </c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x14ac:dyDescent="0.25" r="472" customHeight="1" ht="18.75">
      <c r="A472" s="9" t="s">
        <v>152</v>
      </c>
      <c r="B472" s="18" t="s">
        <v>16</v>
      </c>
      <c r="C472" s="9" t="s">
        <v>55</v>
      </c>
      <c r="D472" s="9" t="s">
        <v>56</v>
      </c>
      <c r="E472" s="18" t="s">
        <v>1824</v>
      </c>
      <c r="F472" s="19">
        <v>20000000</v>
      </c>
      <c r="G472" s="20">
        <v>1528000</v>
      </c>
      <c r="H472" s="21">
        <v>46176</v>
      </c>
      <c r="I472" s="22">
        <f>IF(H472&gt;0,EDATE(H472,-2),"")</f>
        <v>25569.375</v>
      </c>
      <c r="J472" s="18" t="s">
        <v>155</v>
      </c>
      <c r="K472" s="18" t="s">
        <v>198</v>
      </c>
      <c r="L472" s="23">
        <f>IF(E472&gt;0,E472,"")</f>
      </c>
      <c r="M472" s="19" t="s">
        <v>1825</v>
      </c>
      <c r="N472" s="19">
        <v>68515709</v>
      </c>
      <c r="O472" s="22">
        <f>IF(ISNUMBER(I472), EDATE(I472,36)-1, "")</f>
        <v>25569.375</v>
      </c>
      <c r="P472" s="9"/>
      <c r="Q472" s="9"/>
      <c r="R472" s="9" t="s">
        <v>1826</v>
      </c>
      <c r="S472" s="9"/>
      <c r="T472" s="9"/>
      <c r="U472" s="9"/>
      <c r="V472" s="9"/>
      <c r="W472" s="9"/>
      <c r="X472" s="9"/>
      <c r="Y472" s="9"/>
      <c r="Z472" s="9"/>
    </row>
    <row x14ac:dyDescent="0.25" r="473" customHeight="1" ht="18.75">
      <c r="A473" s="9" t="s">
        <v>152</v>
      </c>
      <c r="B473" s="18" t="s">
        <v>16</v>
      </c>
      <c r="C473" s="9" t="s">
        <v>48</v>
      </c>
      <c r="D473" s="9" t="s">
        <v>1044</v>
      </c>
      <c r="E473" s="18" t="s">
        <v>1827</v>
      </c>
      <c r="F473" s="19">
        <v>10000000</v>
      </c>
      <c r="G473" s="20">
        <v>800000</v>
      </c>
      <c r="H473" s="21">
        <v>46191</v>
      </c>
      <c r="I473" s="22">
        <f>IF(H473&gt;0,EDATE(H473,-2),"")</f>
        <v>25569.375</v>
      </c>
      <c r="J473" s="18" t="s">
        <v>155</v>
      </c>
      <c r="K473" s="18" t="s">
        <v>1828</v>
      </c>
      <c r="L473" s="23">
        <f>IF(E473&gt;0,E473,"")</f>
      </c>
      <c r="M473" s="19" t="s">
        <v>1829</v>
      </c>
      <c r="N473" s="19" t="s">
        <v>1830</v>
      </c>
      <c r="O473" s="22">
        <f>IF(ISNUMBER(I473), EDATE(I473,36)-1, "")</f>
        <v>25569.375</v>
      </c>
      <c r="P473" s="9" t="s">
        <v>1831</v>
      </c>
      <c r="Q473" s="9"/>
      <c r="R473" s="9" t="s">
        <v>1832</v>
      </c>
      <c r="S473" s="9"/>
      <c r="T473" s="9"/>
      <c r="U473" s="9"/>
      <c r="V473" s="9"/>
      <c r="W473" s="9"/>
      <c r="X473" s="9"/>
      <c r="Y473" s="9"/>
      <c r="Z473" s="9"/>
    </row>
    <row x14ac:dyDescent="0.25" r="474" customHeight="1" ht="18.75">
      <c r="A474" s="9"/>
      <c r="B474" s="18" t="s">
        <v>16</v>
      </c>
      <c r="C474" s="9" t="s">
        <v>116</v>
      </c>
      <c r="D474" s="9" t="s">
        <v>117</v>
      </c>
      <c r="E474" s="18" t="s">
        <v>1833</v>
      </c>
      <c r="F474" s="19">
        <v>10000000</v>
      </c>
      <c r="G474" s="20">
        <v>800000</v>
      </c>
      <c r="H474" s="21">
        <v>46151</v>
      </c>
      <c r="I474" s="22">
        <f>IF(H474&gt;0,EDATE(H474,-2),"")</f>
        <v>25569.375</v>
      </c>
      <c r="J474" s="18" t="s">
        <v>239</v>
      </c>
      <c r="K474" s="18" t="s">
        <v>1834</v>
      </c>
      <c r="L474" s="23">
        <f>IF(E474&gt;0,E474,"")</f>
      </c>
      <c r="M474" s="19" t="s">
        <v>1835</v>
      </c>
      <c r="N474" s="19">
        <v>33513785</v>
      </c>
      <c r="O474" s="22">
        <f>IF(ISNUMBER(I474), EDATE(I474,36)-1, "")</f>
        <v>25569.375</v>
      </c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x14ac:dyDescent="0.25" r="475" customHeight="1" ht="18.75">
      <c r="A475" s="9"/>
      <c r="B475" s="18" t="s">
        <v>16</v>
      </c>
      <c r="C475" s="9" t="s">
        <v>143</v>
      </c>
      <c r="D475" s="9" t="s">
        <v>14</v>
      </c>
      <c r="E475" s="18" t="s">
        <v>1836</v>
      </c>
      <c r="F475" s="19">
        <v>10000000</v>
      </c>
      <c r="G475" s="20">
        <v>1200000</v>
      </c>
      <c r="H475" s="21">
        <v>46214</v>
      </c>
      <c r="I475" s="22">
        <f>IF(H475&gt;0,EDATE(H475,-2),"")</f>
        <v>25569.375</v>
      </c>
      <c r="J475" s="18" t="s">
        <v>168</v>
      </c>
      <c r="K475" s="18" t="s">
        <v>1837</v>
      </c>
      <c r="L475" s="23">
        <f>IF(E475&gt;0,E475,"")</f>
      </c>
      <c r="M475" s="19" t="s">
        <v>1838</v>
      </c>
      <c r="N475" s="19" t="s">
        <v>1839</v>
      </c>
      <c r="O475" s="22">
        <f>IF(ISNUMBER(I475), EDATE(I475,36)-1, "")</f>
        <v>25569.375</v>
      </c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x14ac:dyDescent="0.25" r="476" customHeight="1" ht="18.75">
      <c r="A476" s="9"/>
      <c r="B476" s="18" t="s">
        <v>1527</v>
      </c>
      <c r="C476" s="9"/>
      <c r="D476" s="9"/>
      <c r="E476" s="18" t="s">
        <v>97</v>
      </c>
      <c r="F476" s="19">
        <v>30000000</v>
      </c>
      <c r="G476" s="20">
        <v>1500000</v>
      </c>
      <c r="H476" s="21">
        <v>45756</v>
      </c>
      <c r="I476" s="22">
        <f>IF(H476&gt;0,EDATE(H476,-2),"")</f>
        <v>25569.375</v>
      </c>
      <c r="J476" s="18" t="s">
        <v>239</v>
      </c>
      <c r="K476" s="18" t="s">
        <v>1840</v>
      </c>
      <c r="L476" s="23">
        <f>IF(E476&gt;0,E476,"")</f>
      </c>
      <c r="M476" s="19" t="s">
        <v>1841</v>
      </c>
      <c r="N476" s="19" t="s">
        <v>1842</v>
      </c>
      <c r="O476" s="22">
        <f>IF(ISNUMBER(I476), EDATE(I476,36)-1, "")</f>
        <v>25569.375</v>
      </c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x14ac:dyDescent="0.25" r="477" customHeight="1" ht="18.75">
      <c r="A477" s="9"/>
      <c r="B477" s="18" t="s">
        <v>16</v>
      </c>
      <c r="C477" s="9"/>
      <c r="D477" s="9"/>
      <c r="E477" s="18" t="s">
        <v>97</v>
      </c>
      <c r="F477" s="19">
        <v>10000000</v>
      </c>
      <c r="G477" s="20">
        <v>800000</v>
      </c>
      <c r="H477" s="21">
        <v>46083</v>
      </c>
      <c r="I477" s="22">
        <f>IF(H477&gt;0,EDATE(H477,-2),"")</f>
        <v>25569.375</v>
      </c>
      <c r="J477" s="18" t="s">
        <v>205</v>
      </c>
      <c r="K477" s="18" t="s">
        <v>1843</v>
      </c>
      <c r="L477" s="23">
        <f>IF(E477&gt;0,E477,"")</f>
      </c>
      <c r="M477" s="19" t="s">
        <v>1841</v>
      </c>
      <c r="N477" s="19" t="s">
        <v>1842</v>
      </c>
      <c r="O477" s="22">
        <f>IF(ISNUMBER(I477), EDATE(I477,36)-1, "")</f>
        <v>25569.375</v>
      </c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x14ac:dyDescent="0.25" r="478" customHeight="1" ht="18.75">
      <c r="A478" s="24"/>
      <c r="B478" s="25" t="s">
        <v>16</v>
      </c>
      <c r="C478" s="24"/>
      <c r="D478" s="24"/>
      <c r="E478" s="25" t="s">
        <v>1844</v>
      </c>
      <c r="F478" s="26">
        <v>10000000</v>
      </c>
      <c r="G478" s="38"/>
      <c r="H478" s="28">
        <v>46183</v>
      </c>
      <c r="I478" s="29">
        <f>IF(H478&gt;0,EDATE(H478,-2),"")</f>
        <v>25569.375</v>
      </c>
      <c r="J478" s="25" t="s">
        <v>168</v>
      </c>
      <c r="K478" s="25" t="s">
        <v>1845</v>
      </c>
      <c r="L478" s="30">
        <f>IF(E478&gt;0,E478,"")</f>
      </c>
      <c r="M478" s="26" t="s">
        <v>1846</v>
      </c>
      <c r="N478" s="26" t="s">
        <v>1847</v>
      </c>
      <c r="O478" s="29">
        <f>IF(ISNUMBER(I478), EDATE(I478,36)-1, "")</f>
        <v>25569.375</v>
      </c>
      <c r="P478" s="24" t="s">
        <v>1848</v>
      </c>
      <c r="Q478" s="24" t="s">
        <v>166</v>
      </c>
      <c r="R478" s="24" t="s">
        <v>1849</v>
      </c>
      <c r="S478" s="9"/>
      <c r="T478" s="9"/>
      <c r="U478" s="9"/>
      <c r="V478" s="9"/>
      <c r="W478" s="9"/>
      <c r="X478" s="9"/>
      <c r="Y478" s="9"/>
      <c r="Z478" s="9"/>
    </row>
    <row x14ac:dyDescent="0.25" r="479" customHeight="1" ht="18.75">
      <c r="A479" s="9"/>
      <c r="B479" s="18" t="s">
        <v>16</v>
      </c>
      <c r="C479" s="9" t="s">
        <v>48</v>
      </c>
      <c r="D479" s="9" t="s">
        <v>23</v>
      </c>
      <c r="E479" s="18" t="s">
        <v>1850</v>
      </c>
      <c r="F479" s="19">
        <v>10000000</v>
      </c>
      <c r="G479" s="20">
        <v>1200000</v>
      </c>
      <c r="H479" s="21">
        <v>46190</v>
      </c>
      <c r="I479" s="22">
        <f>IF(H479&gt;0,EDATE(H479,-2),"")</f>
        <v>25569.375</v>
      </c>
      <c r="J479" s="18" t="s">
        <v>155</v>
      </c>
      <c r="K479" s="18" t="s">
        <v>1851</v>
      </c>
      <c r="L479" s="23">
        <f>IF(E479&gt;0,E479,"")</f>
      </c>
      <c r="M479" s="19" t="s">
        <v>1852</v>
      </c>
      <c r="N479" s="19" t="s">
        <v>1853</v>
      </c>
      <c r="O479" s="22">
        <f>IF(ISNUMBER(I479), EDATE(I479,36)-1, "")</f>
        <v>25569.375</v>
      </c>
      <c r="P479" s="9"/>
      <c r="Q479" s="9" t="s">
        <v>166</v>
      </c>
      <c r="R479" s="9"/>
      <c r="S479" s="9"/>
      <c r="T479" s="9"/>
      <c r="U479" s="9"/>
      <c r="V479" s="9"/>
      <c r="W479" s="9"/>
      <c r="X479" s="9"/>
      <c r="Y479" s="9"/>
      <c r="Z479" s="9"/>
    </row>
    <row x14ac:dyDescent="0.25" r="480" customHeight="1" ht="18.75">
      <c r="A480" s="9" t="s">
        <v>275</v>
      </c>
      <c r="B480" s="18" t="s">
        <v>16</v>
      </c>
      <c r="C480" s="9"/>
      <c r="D480" s="9"/>
      <c r="E480" s="18" t="s">
        <v>1854</v>
      </c>
      <c r="F480" s="19">
        <v>10000000</v>
      </c>
      <c r="G480" s="20">
        <v>800000</v>
      </c>
      <c r="H480" s="21">
        <v>46166</v>
      </c>
      <c r="I480" s="22">
        <f>IF(H480&gt;0,EDATE(H480,-2),"")</f>
        <v>25569.375</v>
      </c>
      <c r="J480" s="18" t="s">
        <v>205</v>
      </c>
      <c r="K480" s="18" t="s">
        <v>711</v>
      </c>
      <c r="L480" s="23">
        <f>IF(E480&gt;0,E480,"")</f>
      </c>
      <c r="M480" s="19" t="s">
        <v>1855</v>
      </c>
      <c r="N480" s="19">
        <v>47290322</v>
      </c>
      <c r="O480" s="22">
        <f>IF(ISNUMBER(I480), EDATE(I480,36)-1, "")</f>
        <v>25569.375</v>
      </c>
      <c r="P480" s="9"/>
      <c r="Q480" s="9"/>
      <c r="R480" s="9" t="s">
        <v>1856</v>
      </c>
      <c r="S480" s="9"/>
      <c r="T480" s="9"/>
      <c r="U480" s="9"/>
      <c r="V480" s="9"/>
      <c r="W480" s="9"/>
      <c r="X480" s="9"/>
      <c r="Y480" s="9"/>
      <c r="Z480" s="9"/>
    </row>
    <row x14ac:dyDescent="0.25" r="481" customHeight="1" ht="18.75">
      <c r="A481" s="9"/>
      <c r="B481" s="18" t="s">
        <v>16</v>
      </c>
      <c r="C481" s="9" t="s">
        <v>48</v>
      </c>
      <c r="D481" s="9"/>
      <c r="E481" s="18" t="s">
        <v>1857</v>
      </c>
      <c r="F481" s="19">
        <v>10000000</v>
      </c>
      <c r="G481" s="20">
        <v>800000</v>
      </c>
      <c r="H481" s="21">
        <v>46159</v>
      </c>
      <c r="I481" s="22">
        <f>IF(H481&gt;0,EDATE(H481,-2),"")</f>
        <v>25569.375</v>
      </c>
      <c r="J481" s="18" t="s">
        <v>239</v>
      </c>
      <c r="K481" s="18" t="s">
        <v>855</v>
      </c>
      <c r="L481" s="23">
        <f>IF(E481&gt;0,E481,"")</f>
      </c>
      <c r="M481" s="19" t="s">
        <v>1858</v>
      </c>
      <c r="N481" s="19" t="s">
        <v>1859</v>
      </c>
      <c r="O481" s="22">
        <f>IF(ISNUMBER(I481), EDATE(I481,36)-1, "")</f>
        <v>25569.375</v>
      </c>
      <c r="P481" s="9" t="s">
        <v>1860</v>
      </c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x14ac:dyDescent="0.25" r="482" customHeight="1" ht="18.75">
      <c r="A482" s="9"/>
      <c r="B482" s="18" t="s">
        <v>16</v>
      </c>
      <c r="C482" s="9"/>
      <c r="D482" s="9" t="s">
        <v>203</v>
      </c>
      <c r="E482" s="18" t="s">
        <v>1861</v>
      </c>
      <c r="F482" s="19">
        <v>10000000</v>
      </c>
      <c r="G482" s="20"/>
      <c r="H482" s="21">
        <v>46160</v>
      </c>
      <c r="I482" s="22">
        <f>IF(H482&gt;0,EDATE(H482,-2),"")</f>
        <v>25569.375</v>
      </c>
      <c r="J482" s="18" t="s">
        <v>168</v>
      </c>
      <c r="K482" s="18" t="s">
        <v>1862</v>
      </c>
      <c r="L482" s="23">
        <f>IF(E482&gt;0,E482,"")</f>
      </c>
      <c r="M482" s="19" t="s">
        <v>1863</v>
      </c>
      <c r="N482" s="19" t="s">
        <v>1864</v>
      </c>
      <c r="O482" s="22">
        <f>IF(ISNUMBER(I482), EDATE(I482,36)-1, "")</f>
        <v>25569.375</v>
      </c>
      <c r="P482" s="9"/>
      <c r="Q482" s="9" t="s">
        <v>166</v>
      </c>
      <c r="R482" s="9" t="s">
        <v>1865</v>
      </c>
      <c r="S482" s="9"/>
      <c r="T482" s="9"/>
      <c r="U482" s="9"/>
      <c r="V482" s="9"/>
      <c r="W482" s="9"/>
      <c r="X482" s="9"/>
      <c r="Y482" s="9"/>
      <c r="Z482" s="9"/>
    </row>
    <row x14ac:dyDescent="0.25" r="483" customHeight="1" ht="18.75">
      <c r="A483" s="9"/>
      <c r="B483" s="18" t="s">
        <v>16</v>
      </c>
      <c r="C483" s="9"/>
      <c r="D483" s="9" t="s">
        <v>203</v>
      </c>
      <c r="E483" s="18" t="s">
        <v>1861</v>
      </c>
      <c r="F483" s="19">
        <v>20000000</v>
      </c>
      <c r="G483" s="20">
        <v>1528000</v>
      </c>
      <c r="H483" s="21">
        <v>46193</v>
      </c>
      <c r="I483" s="22">
        <f>IF(H483&gt;0,EDATE(H483,-2),"")</f>
        <v>25569.375</v>
      </c>
      <c r="J483" s="18" t="s">
        <v>168</v>
      </c>
      <c r="K483" s="18" t="s">
        <v>1862</v>
      </c>
      <c r="L483" s="23">
        <f>IF(E483&gt;0,E483,"")</f>
      </c>
      <c r="M483" s="19" t="s">
        <v>1863</v>
      </c>
      <c r="N483" s="19">
        <v>38842974</v>
      </c>
      <c r="O483" s="22">
        <f>IF(ISNUMBER(I483), EDATE(I483,36)-1, "")</f>
        <v>25569.375</v>
      </c>
      <c r="P483" s="9"/>
      <c r="Q483" s="9"/>
      <c r="R483" s="9" t="s">
        <v>1866</v>
      </c>
      <c r="S483" s="9"/>
      <c r="T483" s="9"/>
      <c r="U483" s="9"/>
      <c r="V483" s="9"/>
      <c r="W483" s="9"/>
      <c r="X483" s="9"/>
      <c r="Y483" s="9"/>
      <c r="Z483" s="9"/>
    </row>
    <row x14ac:dyDescent="0.25" r="484" customHeight="1" ht="18.75">
      <c r="A484" s="9"/>
      <c r="B484" s="18" t="s">
        <v>16</v>
      </c>
      <c r="C484" s="9" t="s">
        <v>88</v>
      </c>
      <c r="D484" s="9"/>
      <c r="E484" s="18" t="s">
        <v>89</v>
      </c>
      <c r="F484" s="19">
        <v>20000000</v>
      </c>
      <c r="G484" s="20">
        <v>1800000</v>
      </c>
      <c r="H484" s="21">
        <v>46202</v>
      </c>
      <c r="I484" s="22">
        <f>IF(H484&gt;0,EDATE(H484,-2),"")</f>
        <v>25569.375</v>
      </c>
      <c r="J484" s="18" t="s">
        <v>217</v>
      </c>
      <c r="K484" s="18" t="s">
        <v>1867</v>
      </c>
      <c r="L484" s="23">
        <f>IF(E484&gt;0,E484,"")</f>
      </c>
      <c r="M484" s="19" t="s">
        <v>1868</v>
      </c>
      <c r="N484" s="19" t="s">
        <v>1869</v>
      </c>
      <c r="O484" s="22">
        <f>IF(ISNUMBER(I484), EDATE(I484,36)-1, "")</f>
        <v>25569.375</v>
      </c>
      <c r="P484" s="9" t="s">
        <v>90</v>
      </c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x14ac:dyDescent="0.25" r="485" customHeight="1" ht="18.75">
      <c r="A485" s="9"/>
      <c r="B485" s="18" t="s">
        <v>16</v>
      </c>
      <c r="C485" s="9"/>
      <c r="D485" s="9"/>
      <c r="E485" s="18" t="s">
        <v>1870</v>
      </c>
      <c r="F485" s="19">
        <v>10000000</v>
      </c>
      <c r="G485" s="20">
        <v>800000</v>
      </c>
      <c r="H485" s="21">
        <v>46041</v>
      </c>
      <c r="I485" s="22">
        <f>IF(H485&gt;0,EDATE(H485,-2),"")</f>
        <v>25569.375</v>
      </c>
      <c r="J485" s="18" t="s">
        <v>155</v>
      </c>
      <c r="K485" s="18" t="s">
        <v>1871</v>
      </c>
      <c r="L485" s="23">
        <f>IF(E485&gt;0,E485,"")</f>
      </c>
      <c r="M485" s="19" t="s">
        <v>1872</v>
      </c>
      <c r="N485" s="19" t="s">
        <v>1873</v>
      </c>
      <c r="O485" s="22">
        <f>IF(ISNUMBER(I485), EDATE(I485,36)-1, "")</f>
        <v>25569.375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x14ac:dyDescent="0.25" r="486" customHeight="1" ht="18.75">
      <c r="A486" s="9"/>
      <c r="B486" s="18" t="s">
        <v>13</v>
      </c>
      <c r="C486" s="9"/>
      <c r="D486" s="9"/>
      <c r="E486" s="18" t="s">
        <v>1874</v>
      </c>
      <c r="F486" s="19">
        <v>30000000</v>
      </c>
      <c r="G486" s="20">
        <v>2400000</v>
      </c>
      <c r="H486" s="21">
        <v>45794</v>
      </c>
      <c r="I486" s="22">
        <v>45731</v>
      </c>
      <c r="J486" s="18" t="s">
        <v>155</v>
      </c>
      <c r="K486" s="18" t="s">
        <v>1875</v>
      </c>
      <c r="L486" s="23">
        <f>IF(E486&gt;0,E486,"")</f>
      </c>
      <c r="M486" s="19" t="s">
        <v>1876</v>
      </c>
      <c r="N486" s="19" t="s">
        <v>1877</v>
      </c>
      <c r="O486" s="22">
        <f>IF(ISNUMBER(I486), EDATE(I486,36)-1, "")</f>
        <v>25569.375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x14ac:dyDescent="0.25" r="487" customHeight="1" ht="18.75">
      <c r="A487" s="9"/>
      <c r="B487" s="18" t="s">
        <v>1878</v>
      </c>
      <c r="C487" s="9"/>
      <c r="D487" s="9"/>
      <c r="E487" s="18" t="s">
        <v>1874</v>
      </c>
      <c r="F487" s="19">
        <v>30000000</v>
      </c>
      <c r="G487" s="20">
        <v>2400000</v>
      </c>
      <c r="H487" s="21">
        <v>45845</v>
      </c>
      <c r="I487" s="22">
        <f>IF(H487&gt;0,EDATE(H487,-2),"")</f>
        <v>25569.375</v>
      </c>
      <c r="J487" s="18" t="s">
        <v>155</v>
      </c>
      <c r="K487" s="18" t="s">
        <v>1875</v>
      </c>
      <c r="L487" s="23">
        <f>IF(E487&gt;0,E487,"")</f>
      </c>
      <c r="M487" s="19" t="s">
        <v>1876</v>
      </c>
      <c r="N487" s="19" t="s">
        <v>1877</v>
      </c>
      <c r="O487" s="22">
        <f>IF(ISNUMBER(I487), EDATE(I487,36)-1, "")</f>
        <v>25569.375</v>
      </c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x14ac:dyDescent="0.25" r="488" customHeight="1" ht="18.75">
      <c r="A488" s="9"/>
      <c r="B488" s="18" t="s">
        <v>16</v>
      </c>
      <c r="C488" s="9"/>
      <c r="D488" s="9"/>
      <c r="E488" s="18" t="s">
        <v>1874</v>
      </c>
      <c r="F488" s="19">
        <v>60000000</v>
      </c>
      <c r="G488" s="20">
        <v>4800000</v>
      </c>
      <c r="H488" s="21">
        <v>45910</v>
      </c>
      <c r="I488" s="22">
        <f>IF(H488&gt;0,EDATE(H488,-2),"")</f>
        <v>25569.375</v>
      </c>
      <c r="J488" s="18" t="s">
        <v>155</v>
      </c>
      <c r="K488" s="18" t="s">
        <v>1879</v>
      </c>
      <c r="L488" s="23">
        <f>IF(E488&gt;0,E488,"")</f>
      </c>
      <c r="M488" s="19" t="s">
        <v>1876</v>
      </c>
      <c r="N488" s="19" t="s">
        <v>1877</v>
      </c>
      <c r="O488" s="22">
        <f>IF(ISNUMBER(I488), EDATE(I488,36)-1, "")</f>
        <v>25569.375</v>
      </c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x14ac:dyDescent="0.25" r="489" customHeight="1" ht="18.75">
      <c r="A489" s="9"/>
      <c r="B489" s="18" t="s">
        <v>972</v>
      </c>
      <c r="C489" s="9" t="s">
        <v>1880</v>
      </c>
      <c r="D489" s="9"/>
      <c r="E489" s="18" t="s">
        <v>1881</v>
      </c>
      <c r="F489" s="19">
        <v>60000000</v>
      </c>
      <c r="G489" s="20">
        <v>4800000</v>
      </c>
      <c r="H489" s="21">
        <v>45802</v>
      </c>
      <c r="I489" s="22">
        <f>IF(H489&gt;0,EDATE(H489,-2),"")</f>
        <v>25569.375</v>
      </c>
      <c r="J489" s="18" t="s">
        <v>282</v>
      </c>
      <c r="K489" s="18" t="s">
        <v>1882</v>
      </c>
      <c r="L489" s="23">
        <f>IF(E489&gt;0,E489,"")</f>
      </c>
      <c r="M489" s="19" t="s">
        <v>1883</v>
      </c>
      <c r="N489" s="19" t="s">
        <v>1884</v>
      </c>
      <c r="O489" s="22">
        <f>IF(ISNUMBER(I489), EDATE(I489,36)-1, "")</f>
        <v>25569.375</v>
      </c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x14ac:dyDescent="0.25" r="490" customHeight="1" ht="18.75">
      <c r="A490" s="9"/>
      <c r="B490" s="18" t="s">
        <v>16</v>
      </c>
      <c r="C490" s="9"/>
      <c r="D490" s="9"/>
      <c r="E490" s="18" t="s">
        <v>1885</v>
      </c>
      <c r="F490" s="19">
        <v>10000000</v>
      </c>
      <c r="G490" s="20">
        <v>800000</v>
      </c>
      <c r="H490" s="21">
        <v>46176</v>
      </c>
      <c r="I490" s="22">
        <f>IF(H490&gt;0,EDATE(H490,-2),"")</f>
        <v>25569.375</v>
      </c>
      <c r="J490" s="18" t="s">
        <v>1139</v>
      </c>
      <c r="K490" s="18" t="s">
        <v>1886</v>
      </c>
      <c r="L490" s="23">
        <f>IF(E490&gt;0,E490,"")</f>
      </c>
      <c r="M490" s="19" t="s">
        <v>1887</v>
      </c>
      <c r="N490" s="19" t="s">
        <v>1888</v>
      </c>
      <c r="O490" s="22">
        <f>IF(ISNUMBER(I490), EDATE(I490,36)-1, "")</f>
        <v>25569.375</v>
      </c>
      <c r="P490" s="9" t="s">
        <v>1889</v>
      </c>
      <c r="Q490" s="9" t="s">
        <v>166</v>
      </c>
      <c r="R490" s="9"/>
      <c r="S490" s="9"/>
      <c r="T490" s="9"/>
      <c r="U490" s="9"/>
      <c r="V490" s="9"/>
      <c r="W490" s="9"/>
      <c r="X490" s="9"/>
      <c r="Y490" s="9"/>
      <c r="Z490" s="9"/>
    </row>
    <row x14ac:dyDescent="0.25" r="491" customHeight="1" ht="18.75">
      <c r="A491" s="9"/>
      <c r="B491" s="18" t="s">
        <v>16</v>
      </c>
      <c r="C491" s="9"/>
      <c r="D491" s="9"/>
      <c r="E491" s="18" t="s">
        <v>1885</v>
      </c>
      <c r="F491" s="19">
        <v>10000000</v>
      </c>
      <c r="G491" s="20">
        <v>400000</v>
      </c>
      <c r="H491" s="21">
        <v>46200</v>
      </c>
      <c r="I491" s="22">
        <f>IF(H491&gt;0,EDATE(H491,-2),"")</f>
        <v>25569.375</v>
      </c>
      <c r="J491" s="18" t="s">
        <v>1139</v>
      </c>
      <c r="K491" s="18" t="s">
        <v>1886</v>
      </c>
      <c r="L491" s="23">
        <f>IF(E491&gt;0,E491,"")</f>
      </c>
      <c r="M491" s="19" t="s">
        <v>1890</v>
      </c>
      <c r="N491" s="19" t="s">
        <v>1888</v>
      </c>
      <c r="O491" s="22">
        <f>IF(ISNUMBER(I491), EDATE(I491,36)-1, "")</f>
        <v>25569.375</v>
      </c>
      <c r="P491" s="9" t="s">
        <v>1891</v>
      </c>
      <c r="Q491" s="9" t="s">
        <v>166</v>
      </c>
      <c r="R491" s="9"/>
      <c r="S491" s="9"/>
      <c r="T491" s="9"/>
      <c r="U491" s="9"/>
      <c r="V491" s="9"/>
      <c r="W491" s="9"/>
      <c r="X491" s="9"/>
      <c r="Y491" s="9"/>
      <c r="Z491" s="9"/>
    </row>
    <row x14ac:dyDescent="0.25" r="492" customHeight="1" ht="18.75">
      <c r="A492" s="9" t="s">
        <v>252</v>
      </c>
      <c r="B492" s="18" t="s">
        <v>16</v>
      </c>
      <c r="C492" s="9" t="s">
        <v>88</v>
      </c>
      <c r="D492" s="9" t="s">
        <v>14</v>
      </c>
      <c r="E492" s="18" t="s">
        <v>1892</v>
      </c>
      <c r="F492" s="19">
        <v>10000000</v>
      </c>
      <c r="G492" s="8"/>
      <c r="H492" s="21" t="s">
        <v>449</v>
      </c>
      <c r="I492" s="22"/>
      <c r="J492" s="18" t="s">
        <v>234</v>
      </c>
      <c r="K492" s="18" t="s">
        <v>1893</v>
      </c>
      <c r="L492" s="23">
        <f>IF(E492&gt;0,E492,"")</f>
      </c>
      <c r="M492" s="19">
        <v>6101181237216</v>
      </c>
      <c r="N492" s="19" t="s">
        <v>1894</v>
      </c>
      <c r="O492" s="22">
        <f>IF(ISNUMBER(I492), EDATE(I492,36)-1, "")</f>
        <v>25569.375</v>
      </c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x14ac:dyDescent="0.25" r="493" customHeight="1" ht="18.75">
      <c r="A493" s="9"/>
      <c r="B493" s="18" t="s">
        <v>16</v>
      </c>
      <c r="C493" s="9" t="s">
        <v>88</v>
      </c>
      <c r="D493" s="9" t="s">
        <v>14</v>
      </c>
      <c r="E493" s="18" t="s">
        <v>1892</v>
      </c>
      <c r="F493" s="19">
        <v>10000000</v>
      </c>
      <c r="G493" s="20">
        <v>1200000</v>
      </c>
      <c r="H493" s="21">
        <v>46187</v>
      </c>
      <c r="I493" s="22">
        <f>IF(H493&gt;0,EDATE(H493,-2),"")</f>
        <v>25569.375</v>
      </c>
      <c r="J493" s="18" t="s">
        <v>234</v>
      </c>
      <c r="K493" s="18" t="s">
        <v>1893</v>
      </c>
      <c r="L493" s="23">
        <f>IF(E493&gt;0,E493,"")</f>
      </c>
      <c r="M493" s="19">
        <v>6101181237216</v>
      </c>
      <c r="N493" s="19">
        <v>38950384</v>
      </c>
      <c r="O493" s="22">
        <f>IF(ISNUMBER(I493), EDATE(I493,36)-1, "")</f>
        <v>25569.375</v>
      </c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x14ac:dyDescent="0.25" r="494" customHeight="1" ht="18.75">
      <c r="A494" s="9"/>
      <c r="B494" s="18" t="s">
        <v>16</v>
      </c>
      <c r="C494" s="9"/>
      <c r="D494" s="9"/>
      <c r="E494" s="18" t="s">
        <v>1895</v>
      </c>
      <c r="F494" s="19">
        <v>30000000</v>
      </c>
      <c r="G494" s="20">
        <v>2400000</v>
      </c>
      <c r="H494" s="21">
        <v>46229</v>
      </c>
      <c r="I494" s="22">
        <f>IF(H494&gt;0,EDATE(H494,-2),"")</f>
        <v>25569.375</v>
      </c>
      <c r="J494" s="18" t="s">
        <v>239</v>
      </c>
      <c r="K494" s="18" t="s">
        <v>1896</v>
      </c>
      <c r="L494" s="23">
        <f>IF(E494&gt;0,E494,"")</f>
      </c>
      <c r="M494" s="19">
        <v>9407161157319</v>
      </c>
      <c r="N494" s="19">
        <v>94653558</v>
      </c>
      <c r="O494" s="22">
        <f>IF(ISNUMBER(I494), EDATE(I494,36)-1, "")</f>
        <v>25569.375</v>
      </c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x14ac:dyDescent="0.25" r="495" customHeight="1" ht="18.75">
      <c r="A495" s="9"/>
      <c r="B495" s="18" t="s">
        <v>16</v>
      </c>
      <c r="C495" s="9" t="s">
        <v>55</v>
      </c>
      <c r="D495" s="9" t="s">
        <v>1425</v>
      </c>
      <c r="E495" s="18" t="s">
        <v>1897</v>
      </c>
      <c r="F495" s="19">
        <v>10000000</v>
      </c>
      <c r="G495" s="20">
        <v>800000</v>
      </c>
      <c r="H495" s="21">
        <v>46148</v>
      </c>
      <c r="I495" s="22">
        <f>IF(H495&gt;0,EDATE(H495,-2),"")</f>
        <v>25569.375</v>
      </c>
      <c r="J495" s="18" t="s">
        <v>161</v>
      </c>
      <c r="K495" s="18" t="s">
        <v>1898</v>
      </c>
      <c r="L495" s="23">
        <f>IF(E495&gt;0,E495,"")</f>
      </c>
      <c r="M495" s="19" t="s">
        <v>1899</v>
      </c>
      <c r="N495" s="19" t="s">
        <v>1428</v>
      </c>
      <c r="O495" s="22">
        <f>IF(ISNUMBER(I495), EDATE(I495,36)-1, "")</f>
        <v>25569.375</v>
      </c>
      <c r="P495" s="9" t="s">
        <v>1900</v>
      </c>
      <c r="Q495" s="9" t="s">
        <v>166</v>
      </c>
      <c r="R495" s="9"/>
      <c r="S495" s="9"/>
      <c r="T495" s="9"/>
      <c r="U495" s="9"/>
      <c r="V495" s="9"/>
      <c r="W495" s="9"/>
      <c r="X495" s="9"/>
      <c r="Y495" s="9"/>
      <c r="Z495" s="9"/>
    </row>
    <row x14ac:dyDescent="0.25" r="496" customHeight="1" ht="18.75">
      <c r="A496" s="9"/>
      <c r="B496" s="18" t="s">
        <v>16</v>
      </c>
      <c r="C496" s="9"/>
      <c r="D496" s="9"/>
      <c r="E496" s="18" t="s">
        <v>1901</v>
      </c>
      <c r="F496" s="19">
        <v>10000000</v>
      </c>
      <c r="G496" s="20"/>
      <c r="H496" s="21">
        <v>46184</v>
      </c>
      <c r="I496" s="22">
        <f>IF(H496&gt;0,EDATE(H496,-2),"")</f>
        <v>25569.375</v>
      </c>
      <c r="J496" s="18" t="s">
        <v>168</v>
      </c>
      <c r="K496" s="18" t="s">
        <v>471</v>
      </c>
      <c r="L496" s="23">
        <f>IF(E496&gt;0,E496,"")</f>
      </c>
      <c r="M496" s="19" t="s">
        <v>1902</v>
      </c>
      <c r="N496" s="19" t="s">
        <v>1903</v>
      </c>
      <c r="O496" s="22">
        <f>IF(ISNUMBER(I496), EDATE(I496,36)-1, "")</f>
        <v>25569.375</v>
      </c>
      <c r="P496" s="9" t="s">
        <v>1904</v>
      </c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x14ac:dyDescent="0.25" r="497" customHeight="1" ht="18.75">
      <c r="A497" s="9" t="s">
        <v>275</v>
      </c>
      <c r="B497" s="18" t="s">
        <v>16</v>
      </c>
      <c r="C497" s="9"/>
      <c r="D497" s="9"/>
      <c r="E497" s="18" t="s">
        <v>1901</v>
      </c>
      <c r="F497" s="19">
        <v>10000000</v>
      </c>
      <c r="G497" s="20"/>
      <c r="H497" s="21">
        <v>46184</v>
      </c>
      <c r="I497" s="22">
        <f>IF(H497&gt;0,EDATE(H497,-2),"")</f>
        <v>25569.375</v>
      </c>
      <c r="J497" s="18" t="s">
        <v>168</v>
      </c>
      <c r="K497" s="18" t="s">
        <v>471</v>
      </c>
      <c r="L497" s="23">
        <f>IF(E497&gt;0,E497,"")</f>
      </c>
      <c r="M497" s="19" t="s">
        <v>1902</v>
      </c>
      <c r="N497" s="19">
        <v>44432021</v>
      </c>
      <c r="O497" s="22">
        <f>IF(ISNUMBER(I497), EDATE(I497,36)-1, "")</f>
        <v>25569.375</v>
      </c>
      <c r="P497" s="9"/>
      <c r="Q497" s="9"/>
      <c r="R497" s="9" t="s">
        <v>61</v>
      </c>
      <c r="S497" s="9"/>
      <c r="T497" s="9"/>
      <c r="U497" s="9"/>
      <c r="V497" s="9"/>
      <c r="W497" s="9"/>
      <c r="X497" s="9"/>
      <c r="Y497" s="9"/>
      <c r="Z497" s="9"/>
    </row>
    <row x14ac:dyDescent="0.25" r="498" customHeight="1" ht="18.75">
      <c r="A498" s="9"/>
      <c r="B498" s="18" t="s">
        <v>16</v>
      </c>
      <c r="C498" s="9" t="s">
        <v>410</v>
      </c>
      <c r="D498" s="9" t="s">
        <v>1075</v>
      </c>
      <c r="E498" s="18" t="s">
        <v>1905</v>
      </c>
      <c r="F498" s="19">
        <v>60000000</v>
      </c>
      <c r="G498" s="20">
        <v>4056000</v>
      </c>
      <c r="H498" s="21">
        <v>46198</v>
      </c>
      <c r="I498" s="22">
        <f>IF(H498&gt;0,EDATE(H498,-2),"")</f>
        <v>25569.375</v>
      </c>
      <c r="J498" s="18" t="s">
        <v>217</v>
      </c>
      <c r="K498" s="18" t="s">
        <v>1906</v>
      </c>
      <c r="L498" s="23">
        <f>IF(E498&gt;0,E498,"")</f>
      </c>
      <c r="M498" s="19">
        <v>7506081063710</v>
      </c>
      <c r="N498" s="19">
        <v>63180012</v>
      </c>
      <c r="O498" s="22">
        <f>IF(ISNUMBER(I498), EDATE(I498,36)-1, "")</f>
        <v>25569.375</v>
      </c>
      <c r="P498" s="9"/>
      <c r="Q498" s="9"/>
      <c r="R498" s="9" t="s">
        <v>1907</v>
      </c>
      <c r="S498" s="9"/>
      <c r="T498" s="9"/>
      <c r="U498" s="9"/>
      <c r="V498" s="9"/>
      <c r="W498" s="9"/>
      <c r="X498" s="9"/>
      <c r="Y498" s="9"/>
      <c r="Z498" s="9"/>
    </row>
    <row x14ac:dyDescent="0.25" r="499" customHeight="1" ht="18.75">
      <c r="A499" s="9"/>
      <c r="B499" s="18" t="s">
        <v>16</v>
      </c>
      <c r="C499" s="9"/>
      <c r="D499" s="9"/>
      <c r="E499" s="18" t="s">
        <v>1908</v>
      </c>
      <c r="F499" s="19">
        <v>20000000</v>
      </c>
      <c r="G499" s="20">
        <v>1528000</v>
      </c>
      <c r="H499" s="21">
        <v>46070</v>
      </c>
      <c r="I499" s="22">
        <f>IF(H499&gt;0,EDATE(H499,-2),"")</f>
        <v>25569.375</v>
      </c>
      <c r="J499" s="18" t="s">
        <v>168</v>
      </c>
      <c r="K499" s="18" t="s">
        <v>1909</v>
      </c>
      <c r="L499" s="23">
        <f>IF(E499&gt;0,E499,"")</f>
      </c>
      <c r="M499" s="19" t="s">
        <v>1910</v>
      </c>
      <c r="N499" s="19" t="s">
        <v>1911</v>
      </c>
      <c r="O499" s="22">
        <f>IF(ISNUMBER(I499), EDATE(I499,36)-1, "")</f>
        <v>25569.375</v>
      </c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x14ac:dyDescent="0.25" r="500" customHeight="1" ht="18.75">
      <c r="A500" s="9"/>
      <c r="B500" s="18" t="s">
        <v>16</v>
      </c>
      <c r="C500" s="9"/>
      <c r="D500" s="9" t="s">
        <v>636</v>
      </c>
      <c r="E500" s="18" t="s">
        <v>720</v>
      </c>
      <c r="F500" s="19">
        <v>10000000</v>
      </c>
      <c r="G500" s="20">
        <v>800000</v>
      </c>
      <c r="H500" s="21">
        <v>46138</v>
      </c>
      <c r="I500" s="22">
        <f>IF(H500&gt;0,EDATE(H500,-2),"")</f>
        <v>25569.375</v>
      </c>
      <c r="J500" s="18" t="s">
        <v>940</v>
      </c>
      <c r="K500" s="18" t="s">
        <v>1912</v>
      </c>
      <c r="L500" s="23">
        <f>IF(E500&gt;0,E500,"")</f>
      </c>
      <c r="M500" s="19" t="s">
        <v>1913</v>
      </c>
      <c r="N500" s="19" t="s">
        <v>1914</v>
      </c>
      <c r="O500" s="22">
        <f>IF(ISNUMBER(I500), EDATE(I500,36)-1, "")</f>
        <v>25569.375</v>
      </c>
      <c r="P500" s="9" t="s">
        <v>1915</v>
      </c>
      <c r="Q500" s="9" t="s">
        <v>166</v>
      </c>
      <c r="R500" s="9"/>
      <c r="S500" s="9"/>
      <c r="T500" s="9"/>
      <c r="U500" s="9"/>
      <c r="V500" s="9"/>
      <c r="W500" s="9"/>
      <c r="X500" s="9"/>
      <c r="Y500" s="9"/>
      <c r="Z500" s="9"/>
    </row>
    <row x14ac:dyDescent="0.25" r="501" customHeight="1" ht="18.75">
      <c r="A501" s="9"/>
      <c r="B501" s="18" t="s">
        <v>16</v>
      </c>
      <c r="C501" s="9"/>
      <c r="D501" s="9" t="s">
        <v>411</v>
      </c>
      <c r="E501" s="18" t="s">
        <v>1916</v>
      </c>
      <c r="F501" s="19">
        <v>30000000</v>
      </c>
      <c r="G501" s="20">
        <v>2400000</v>
      </c>
      <c r="H501" s="21">
        <v>45904</v>
      </c>
      <c r="I501" s="22">
        <f>IF(H501&gt;0,EDATE(H501,-2),"")</f>
        <v>25569.375</v>
      </c>
      <c r="J501" s="18" t="s">
        <v>155</v>
      </c>
      <c r="K501" s="18" t="s">
        <v>1917</v>
      </c>
      <c r="L501" s="23">
        <f>IF(E501&gt;0,E501,"")</f>
      </c>
      <c r="M501" s="19" t="s">
        <v>1918</v>
      </c>
      <c r="N501" s="19" t="s">
        <v>1919</v>
      </c>
      <c r="O501" s="22">
        <f>IF(ISNUMBER(I501), EDATE(I501,36)-1, "")</f>
        <v>25569.375</v>
      </c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x14ac:dyDescent="0.25" r="502" customHeight="1" ht="18.75">
      <c r="A502" s="9"/>
      <c r="B502" s="18" t="s">
        <v>16</v>
      </c>
      <c r="C502" s="9"/>
      <c r="D502" s="9" t="s">
        <v>411</v>
      </c>
      <c r="E502" s="18" t="s">
        <v>1916</v>
      </c>
      <c r="F502" s="19">
        <v>30000000</v>
      </c>
      <c r="G502" s="20">
        <v>2400000</v>
      </c>
      <c r="H502" s="21">
        <v>45907</v>
      </c>
      <c r="I502" s="22">
        <f>IF(H502&gt;0,EDATE(H502,-2),"")</f>
        <v>25569.375</v>
      </c>
      <c r="J502" s="18" t="s">
        <v>155</v>
      </c>
      <c r="K502" s="18" t="s">
        <v>1917</v>
      </c>
      <c r="L502" s="23">
        <f>IF(E502&gt;0,E502,"")</f>
      </c>
      <c r="M502" s="19" t="s">
        <v>1918</v>
      </c>
      <c r="N502" s="19" t="s">
        <v>1919</v>
      </c>
      <c r="O502" s="22">
        <f>IF(ISNUMBER(I502), EDATE(I502,36)-1, "")</f>
        <v>25569.375</v>
      </c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x14ac:dyDescent="0.25" r="503" customHeight="1" ht="18.75">
      <c r="A503" s="9"/>
      <c r="B503" s="18" t="s">
        <v>16</v>
      </c>
      <c r="C503" s="9"/>
      <c r="D503" s="9" t="s">
        <v>411</v>
      </c>
      <c r="E503" s="18" t="s">
        <v>1916</v>
      </c>
      <c r="F503" s="19">
        <v>30000000</v>
      </c>
      <c r="G503" s="20">
        <v>2400000</v>
      </c>
      <c r="H503" s="21">
        <v>45910</v>
      </c>
      <c r="I503" s="22">
        <f>IF(H503&gt;0,EDATE(H503,-2),"")</f>
        <v>25569.375</v>
      </c>
      <c r="J503" s="18" t="s">
        <v>168</v>
      </c>
      <c r="K503" s="18" t="s">
        <v>1920</v>
      </c>
      <c r="L503" s="23">
        <f>IF(E503&gt;0,E503,"")</f>
      </c>
      <c r="M503" s="19" t="s">
        <v>1918</v>
      </c>
      <c r="N503" s="19" t="s">
        <v>1919</v>
      </c>
      <c r="O503" s="22">
        <f>IF(ISNUMBER(I503), EDATE(I503,36)-1, "")</f>
        <v>25569.375</v>
      </c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x14ac:dyDescent="0.25" r="504" customHeight="1" ht="18.75">
      <c r="A504" s="9"/>
      <c r="B504" s="18" t="s">
        <v>16</v>
      </c>
      <c r="C504" s="9"/>
      <c r="D504" s="9"/>
      <c r="E504" s="18" t="s">
        <v>203</v>
      </c>
      <c r="F504" s="19">
        <v>10000000</v>
      </c>
      <c r="G504" s="20">
        <v>800000</v>
      </c>
      <c r="H504" s="21">
        <v>46033</v>
      </c>
      <c r="I504" s="22">
        <f>IF(H504&gt;0,EDATE(H504,-2),"")</f>
        <v>25569.375</v>
      </c>
      <c r="J504" s="18" t="s">
        <v>212</v>
      </c>
      <c r="K504" s="18" t="s">
        <v>1921</v>
      </c>
      <c r="L504" s="23">
        <f>IF(E504&gt;0,E504,"")</f>
      </c>
      <c r="M504" s="19" t="s">
        <v>1922</v>
      </c>
      <c r="N504" s="19" t="s">
        <v>1923</v>
      </c>
      <c r="O504" s="22">
        <f>IF(ISNUMBER(I504), EDATE(I504,36)-1, "")</f>
        <v>25569.375</v>
      </c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x14ac:dyDescent="0.25" r="505" customHeight="1" ht="18.75">
      <c r="A505" s="9"/>
      <c r="B505" s="18" t="s">
        <v>16</v>
      </c>
      <c r="C505" s="9"/>
      <c r="D505" s="9"/>
      <c r="E505" s="18" t="s">
        <v>1924</v>
      </c>
      <c r="F505" s="19">
        <v>30000000</v>
      </c>
      <c r="G505" s="20">
        <v>2028000</v>
      </c>
      <c r="H505" s="21">
        <v>46167</v>
      </c>
      <c r="I505" s="22">
        <f>IF(H505&gt;0,EDATE(H505,-2),"")</f>
        <v>25569.375</v>
      </c>
      <c r="J505" s="18" t="s">
        <v>212</v>
      </c>
      <c r="K505" s="18" t="s">
        <v>1925</v>
      </c>
      <c r="L505" s="23">
        <f>IF(E505&gt;0,E505,"")</f>
      </c>
      <c r="M505" s="19" t="s">
        <v>1926</v>
      </c>
      <c r="N505" s="19" t="s">
        <v>1927</v>
      </c>
      <c r="O505" s="22">
        <f>IF(ISNUMBER(I505), EDATE(I505,36)-1, "")</f>
        <v>25569.375</v>
      </c>
      <c r="P505" s="9" t="s">
        <v>1928</v>
      </c>
      <c r="Q505" s="9" t="s">
        <v>166</v>
      </c>
      <c r="R505" s="9"/>
      <c r="S505" s="9"/>
      <c r="T505" s="9"/>
      <c r="U505" s="9"/>
      <c r="V505" s="9"/>
      <c r="W505" s="9"/>
      <c r="X505" s="9"/>
      <c r="Y505" s="9"/>
      <c r="Z505" s="9"/>
    </row>
    <row x14ac:dyDescent="0.25" r="506" customHeight="1" ht="18.75">
      <c r="A506" s="9"/>
      <c r="B506" s="18" t="s">
        <v>16</v>
      </c>
      <c r="C506" s="9"/>
      <c r="D506" s="9"/>
      <c r="E506" s="18" t="s">
        <v>91</v>
      </c>
      <c r="F506" s="19">
        <v>30000000</v>
      </c>
      <c r="G506" s="20">
        <v>2400000</v>
      </c>
      <c r="H506" s="21">
        <v>45929</v>
      </c>
      <c r="I506" s="22">
        <f>IF(H506&gt;0,EDATE(H506,-2),"")</f>
        <v>25569.375</v>
      </c>
      <c r="J506" s="18" t="s">
        <v>168</v>
      </c>
      <c r="K506" s="18" t="s">
        <v>1929</v>
      </c>
      <c r="L506" s="23">
        <f>IF(E506&gt;0,E506,"")</f>
      </c>
      <c r="M506" s="19" t="s">
        <v>1930</v>
      </c>
      <c r="N506" s="19" t="s">
        <v>1931</v>
      </c>
      <c r="O506" s="22">
        <f>IF(ISNUMBER(I506), EDATE(I506,36)-1, "")</f>
        <v>25569.375</v>
      </c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x14ac:dyDescent="0.25" r="507" customHeight="1" ht="18.75">
      <c r="A507" s="9"/>
      <c r="B507" s="18" t="s">
        <v>16</v>
      </c>
      <c r="C507" s="9"/>
      <c r="D507" s="9"/>
      <c r="E507" s="18" t="s">
        <v>91</v>
      </c>
      <c r="F507" s="19">
        <v>30000000</v>
      </c>
      <c r="G507" s="20">
        <v>2400000</v>
      </c>
      <c r="H507" s="21">
        <v>45917</v>
      </c>
      <c r="I507" s="22">
        <f>IF(H507&gt;0,EDATE(H507,-2),"")</f>
        <v>25569.375</v>
      </c>
      <c r="J507" s="18" t="s">
        <v>168</v>
      </c>
      <c r="K507" s="18" t="s">
        <v>1929</v>
      </c>
      <c r="L507" s="23">
        <f>IF(E507&gt;0,E507,"")</f>
      </c>
      <c r="M507" s="19" t="s">
        <v>1930</v>
      </c>
      <c r="N507" s="19" t="s">
        <v>1931</v>
      </c>
      <c r="O507" s="22">
        <f>IF(ISNUMBER(I507), EDATE(I507,36)-1, "")</f>
        <v>25569.375</v>
      </c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x14ac:dyDescent="0.25" r="508" customHeight="1" ht="18.75">
      <c r="A508" s="9"/>
      <c r="B508" s="18" t="s">
        <v>16</v>
      </c>
      <c r="C508" s="9" t="s">
        <v>143</v>
      </c>
      <c r="D508" s="9" t="s">
        <v>14</v>
      </c>
      <c r="E508" s="18" t="s">
        <v>1932</v>
      </c>
      <c r="F508" s="19">
        <v>10000000</v>
      </c>
      <c r="G508" s="20">
        <v>1200000</v>
      </c>
      <c r="H508" s="21">
        <v>46200</v>
      </c>
      <c r="I508" s="22">
        <f>IF(H508&gt;0,EDATE(H508,-2),"")</f>
        <v>25569.375</v>
      </c>
      <c r="J508" s="18" t="s">
        <v>217</v>
      </c>
      <c r="K508" s="18" t="s">
        <v>1933</v>
      </c>
      <c r="L508" s="23">
        <f>IF(E508&gt;0,E508,"")</f>
      </c>
      <c r="M508" s="19" t="s">
        <v>1934</v>
      </c>
      <c r="N508" s="19" t="s">
        <v>1935</v>
      </c>
      <c r="O508" s="22">
        <f>IF(ISNUMBER(I508), EDATE(I508,36)-1, "")</f>
        <v>25569.375</v>
      </c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x14ac:dyDescent="0.25" r="509" customHeight="1" ht="18.75">
      <c r="A509" s="9"/>
      <c r="B509" s="18" t="s">
        <v>16</v>
      </c>
      <c r="C509" s="9" t="s">
        <v>143</v>
      </c>
      <c r="D509" s="9" t="s">
        <v>1936</v>
      </c>
      <c r="E509" s="18" t="s">
        <v>1937</v>
      </c>
      <c r="F509" s="19">
        <v>10000000</v>
      </c>
      <c r="G509" s="20">
        <v>1200000</v>
      </c>
      <c r="H509" s="21">
        <v>46212</v>
      </c>
      <c r="I509" s="22">
        <f>IF(H509&gt;0,EDATE(H509,-2),"")</f>
        <v>25569.375</v>
      </c>
      <c r="J509" s="18" t="s">
        <v>217</v>
      </c>
      <c r="K509" s="18" t="s">
        <v>1938</v>
      </c>
      <c r="L509" s="23">
        <f>IF(E509&gt;0,E509,"")</f>
      </c>
      <c r="M509" s="19" t="s">
        <v>1939</v>
      </c>
      <c r="N509" s="19" t="s">
        <v>1940</v>
      </c>
      <c r="O509" s="22">
        <f>IF(ISNUMBER(I509), EDATE(I509,36)-1, "")</f>
        <v>25569.375</v>
      </c>
      <c r="P509" s="9" t="s">
        <v>1941</v>
      </c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x14ac:dyDescent="0.25" r="510" customHeight="1" ht="18.75">
      <c r="A510" s="9"/>
      <c r="B510" s="18" t="s">
        <v>16</v>
      </c>
      <c r="C510" s="9" t="s">
        <v>153</v>
      </c>
      <c r="D510" s="9" t="s">
        <v>318</v>
      </c>
      <c r="E510" s="18" t="s">
        <v>1942</v>
      </c>
      <c r="F510" s="19">
        <v>30000000</v>
      </c>
      <c r="G510" s="20">
        <v>2400000</v>
      </c>
      <c r="H510" s="21">
        <v>46213</v>
      </c>
      <c r="I510" s="22">
        <f>IF(H510&gt;0,EDATE(H510,-2),"")</f>
        <v>25569.375</v>
      </c>
      <c r="J510" s="18" t="s">
        <v>155</v>
      </c>
      <c r="K510" s="18" t="s">
        <v>1943</v>
      </c>
      <c r="L510" s="23">
        <f>IF(E510&gt;0,E510,"")</f>
      </c>
      <c r="M510" s="19">
        <v>6203302543617</v>
      </c>
      <c r="N510" s="19">
        <v>77493665</v>
      </c>
      <c r="O510" s="22">
        <f>IF(ISNUMBER(I510), EDATE(I510,36)-1, "")</f>
        <v>25569.375</v>
      </c>
      <c r="P510" s="9"/>
      <c r="Q510" s="9"/>
      <c r="R510" s="9" t="s">
        <v>1907</v>
      </c>
      <c r="S510" s="9"/>
      <c r="T510" s="9"/>
      <c r="U510" s="9"/>
      <c r="V510" s="9"/>
      <c r="W510" s="9"/>
      <c r="X510" s="9"/>
      <c r="Y510" s="9"/>
      <c r="Z510" s="9"/>
    </row>
    <row x14ac:dyDescent="0.25" r="511" customHeight="1" ht="18.75">
      <c r="A511" s="9" t="s">
        <v>216</v>
      </c>
      <c r="B511" s="18" t="s">
        <v>13</v>
      </c>
      <c r="C511" s="9"/>
      <c r="D511" s="9"/>
      <c r="E511" s="18" t="s">
        <v>1944</v>
      </c>
      <c r="F511" s="19">
        <v>60000000</v>
      </c>
      <c r="G511" s="20">
        <v>4800000</v>
      </c>
      <c r="H511" s="21">
        <v>45778</v>
      </c>
      <c r="I511" s="22">
        <f>IF(H511&gt;0,EDATE(H511,-2),"")</f>
        <v>25569.375</v>
      </c>
      <c r="J511" s="18" t="s">
        <v>239</v>
      </c>
      <c r="K511" s="18" t="s">
        <v>1945</v>
      </c>
      <c r="L511" s="23">
        <f>IF(E511&gt;0,E511,"")</f>
      </c>
      <c r="M511" s="19" t="s">
        <v>1946</v>
      </c>
      <c r="N511" s="19" t="s">
        <v>1947</v>
      </c>
      <c r="O511" s="22">
        <f>IF(ISNUMBER(I511), EDATE(I511,36)-1, "")</f>
        <v>25569.375</v>
      </c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x14ac:dyDescent="0.25" r="512" customHeight="1" ht="18.75">
      <c r="A512" s="9"/>
      <c r="B512" s="18" t="s">
        <v>16</v>
      </c>
      <c r="C512" s="9"/>
      <c r="D512" s="9"/>
      <c r="E512" s="18" t="s">
        <v>1944</v>
      </c>
      <c r="F512" s="19">
        <v>60000000</v>
      </c>
      <c r="G512" s="20">
        <v>4800000</v>
      </c>
      <c r="H512" s="21">
        <v>45904</v>
      </c>
      <c r="I512" s="22">
        <f>IF(H512&gt;0,EDATE(H512,-2),"")</f>
        <v>25569.375</v>
      </c>
      <c r="J512" s="18" t="s">
        <v>239</v>
      </c>
      <c r="K512" s="18" t="s">
        <v>1945</v>
      </c>
      <c r="L512" s="23">
        <f>IF(E512&gt;0,E512,"")</f>
      </c>
      <c r="M512" s="19" t="s">
        <v>1946</v>
      </c>
      <c r="N512" s="19" t="s">
        <v>1948</v>
      </c>
      <c r="O512" s="22">
        <f>IF(ISNUMBER(I512), EDATE(I512,36)-1, "")</f>
        <v>25569.375</v>
      </c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x14ac:dyDescent="0.25" r="513" customHeight="1" ht="18.75">
      <c r="A513" s="9"/>
      <c r="B513" s="18" t="s">
        <v>16</v>
      </c>
      <c r="C513" s="9"/>
      <c r="D513" s="9" t="s">
        <v>637</v>
      </c>
      <c r="E513" s="18" t="s">
        <v>1949</v>
      </c>
      <c r="F513" s="19">
        <v>10000000</v>
      </c>
      <c r="G513" s="20">
        <v>800000</v>
      </c>
      <c r="H513" s="21">
        <v>46159</v>
      </c>
      <c r="I513" s="22">
        <f>IF(H513&gt;0,EDATE(H513,-2),"")</f>
        <v>25569.375</v>
      </c>
      <c r="J513" s="18" t="s">
        <v>168</v>
      </c>
      <c r="K513" s="18" t="s">
        <v>1950</v>
      </c>
      <c r="L513" s="23">
        <f>IF(E513&gt;0,E513,"")</f>
      </c>
      <c r="M513" s="19" t="s">
        <v>1951</v>
      </c>
      <c r="N513" s="19" t="s">
        <v>1952</v>
      </c>
      <c r="O513" s="22">
        <f>IF(ISNUMBER(I513), EDATE(I513,36)-1, "")</f>
        <v>25569.375</v>
      </c>
      <c r="P513" s="9" t="s">
        <v>1953</v>
      </c>
      <c r="Q513" s="9" t="s">
        <v>166</v>
      </c>
      <c r="R513" s="9"/>
      <c r="S513" s="9"/>
      <c r="T513" s="9"/>
      <c r="U513" s="9"/>
      <c r="V513" s="9"/>
      <c r="W513" s="9"/>
      <c r="X513" s="9"/>
      <c r="Y513" s="9"/>
      <c r="Z513" s="9"/>
    </row>
    <row x14ac:dyDescent="0.25" r="514" customHeight="1" ht="18.75">
      <c r="A514" s="9"/>
      <c r="B514" s="18" t="s">
        <v>16</v>
      </c>
      <c r="C514" s="9"/>
      <c r="D514" s="9"/>
      <c r="E514" s="18" t="s">
        <v>1954</v>
      </c>
      <c r="F514" s="19">
        <v>60000000</v>
      </c>
      <c r="G514" s="20">
        <v>4056000</v>
      </c>
      <c r="H514" s="21">
        <v>45938</v>
      </c>
      <c r="I514" s="22">
        <f>IF(H514&gt;0,EDATE(H514,-2),"")</f>
        <v>25569.375</v>
      </c>
      <c r="J514" s="18" t="s">
        <v>155</v>
      </c>
      <c r="K514" s="18" t="s">
        <v>1955</v>
      </c>
      <c r="L514" s="23">
        <f>IF(E514&gt;0,E514,"")</f>
      </c>
      <c r="M514" s="19" t="s">
        <v>1956</v>
      </c>
      <c r="N514" s="19" t="s">
        <v>1957</v>
      </c>
      <c r="O514" s="22">
        <f>IF(ISNUMBER(I514), EDATE(I514,36)-1, "")</f>
        <v>25569.375</v>
      </c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x14ac:dyDescent="0.25" r="515" customHeight="1" ht="18.75">
      <c r="A515" s="9"/>
      <c r="B515" s="18" t="s">
        <v>16</v>
      </c>
      <c r="C515" s="9"/>
      <c r="D515" s="9" t="s">
        <v>1958</v>
      </c>
      <c r="E515" s="18" t="s">
        <v>1959</v>
      </c>
      <c r="F515" s="19">
        <v>10000000</v>
      </c>
      <c r="G515" s="20">
        <v>800000</v>
      </c>
      <c r="H515" s="21">
        <v>46089</v>
      </c>
      <c r="I515" s="22">
        <f>IF(H515&gt;0,EDATE(H515,-2),"")</f>
        <v>25569.375</v>
      </c>
      <c r="J515" s="18" t="s">
        <v>155</v>
      </c>
      <c r="K515" s="18" t="s">
        <v>1960</v>
      </c>
      <c r="L515" s="23">
        <f>IF(E515&gt;0,E515,"")</f>
      </c>
      <c r="M515" s="19" t="s">
        <v>1961</v>
      </c>
      <c r="N515" s="19" t="s">
        <v>1962</v>
      </c>
      <c r="O515" s="22">
        <f>IF(ISNUMBER(I515), EDATE(I515,36)-1, "")</f>
        <v>25569.375</v>
      </c>
      <c r="P515" s="9" t="s">
        <v>1963</v>
      </c>
      <c r="Q515" s="9" t="s">
        <v>166</v>
      </c>
      <c r="R515" s="9"/>
      <c r="S515" s="9"/>
      <c r="T515" s="9"/>
      <c r="U515" s="9"/>
      <c r="V515" s="9"/>
      <c r="W515" s="9"/>
      <c r="X515" s="9"/>
      <c r="Y515" s="9"/>
      <c r="Z515" s="9"/>
    </row>
    <row x14ac:dyDescent="0.25" r="516" customHeight="1" ht="18.75">
      <c r="A516" s="9"/>
      <c r="B516" s="18" t="s">
        <v>16</v>
      </c>
      <c r="C516" s="9" t="s">
        <v>143</v>
      </c>
      <c r="D516" s="9" t="s">
        <v>14</v>
      </c>
      <c r="E516" s="18" t="s">
        <v>1964</v>
      </c>
      <c r="F516" s="19">
        <v>10000000</v>
      </c>
      <c r="G516" s="20">
        <v>1200000</v>
      </c>
      <c r="H516" s="21">
        <v>46202</v>
      </c>
      <c r="I516" s="22">
        <f>IF(H516&gt;0,EDATE(H516,-2),"")</f>
        <v>25569.375</v>
      </c>
      <c r="J516" s="18" t="s">
        <v>1688</v>
      </c>
      <c r="K516" s="18" t="s">
        <v>1965</v>
      </c>
      <c r="L516" s="23">
        <f>IF(E516&gt;0,E516,"")</f>
      </c>
      <c r="M516" s="19" t="s">
        <v>1966</v>
      </c>
      <c r="N516" s="19" t="s">
        <v>1967</v>
      </c>
      <c r="O516" s="22">
        <f>IF(ISNUMBER(I516), EDATE(I516,36)-1, "")</f>
        <v>25569.375</v>
      </c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x14ac:dyDescent="0.25" r="517" customHeight="1" ht="18.75">
      <c r="A517" s="9"/>
      <c r="B517" s="18" t="s">
        <v>16</v>
      </c>
      <c r="C517" s="9" t="s">
        <v>153</v>
      </c>
      <c r="D517" s="9" t="s">
        <v>318</v>
      </c>
      <c r="E517" s="18" t="s">
        <v>1968</v>
      </c>
      <c r="F517" s="19">
        <v>30000000</v>
      </c>
      <c r="G517" s="20">
        <v>2400000</v>
      </c>
      <c r="H517" s="21">
        <v>46224</v>
      </c>
      <c r="I517" s="22">
        <f>IF(H517&gt;0,EDATE(H517,-2),"")</f>
        <v>25569.375</v>
      </c>
      <c r="J517" s="18" t="s">
        <v>234</v>
      </c>
      <c r="K517" s="18" t="s">
        <v>1969</v>
      </c>
      <c r="L517" s="23">
        <f>IF(E517&gt;0,E517,"")</f>
      </c>
      <c r="M517" s="19" t="s">
        <v>1970</v>
      </c>
      <c r="N517" s="19">
        <v>57503377</v>
      </c>
      <c r="O517" s="22">
        <f>IF(ISNUMBER(I517), EDATE(I517,36)-1, "")</f>
        <v>25569.375</v>
      </c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x14ac:dyDescent="0.25" r="518" customHeight="1" ht="18.75">
      <c r="A518" s="9"/>
      <c r="B518" s="18" t="s">
        <v>16</v>
      </c>
      <c r="C518" s="9" t="s">
        <v>816</v>
      </c>
      <c r="D518" s="9"/>
      <c r="E518" s="18" t="s">
        <v>1971</v>
      </c>
      <c r="F518" s="19">
        <v>40000000</v>
      </c>
      <c r="G518" s="20">
        <v>3056000</v>
      </c>
      <c r="H518" s="21">
        <v>46173</v>
      </c>
      <c r="I518" s="22">
        <f>IF(H518&gt;0,EDATE(H518,-2),"")</f>
        <v>25569.375</v>
      </c>
      <c r="J518" s="18" t="s">
        <v>239</v>
      </c>
      <c r="K518" s="18" t="s">
        <v>818</v>
      </c>
      <c r="L518" s="23">
        <f>IF(E518&gt;0,E518,"")</f>
      </c>
      <c r="M518" s="19" t="s">
        <v>1972</v>
      </c>
      <c r="N518" s="19" t="s">
        <v>820</v>
      </c>
      <c r="O518" s="22">
        <f>IF(ISNUMBER(I518), EDATE(I518,36)-1, "")</f>
        <v>25569.375</v>
      </c>
      <c r="P518" s="9" t="s">
        <v>1973</v>
      </c>
      <c r="Q518" s="9" t="s">
        <v>166</v>
      </c>
      <c r="R518" s="9"/>
      <c r="S518" s="9"/>
      <c r="T518" s="9"/>
      <c r="U518" s="9"/>
      <c r="V518" s="9"/>
      <c r="W518" s="9"/>
      <c r="X518" s="9"/>
      <c r="Y518" s="9"/>
      <c r="Z518" s="9"/>
    </row>
    <row x14ac:dyDescent="0.25" r="519" customHeight="1" ht="18.75">
      <c r="A519" s="9"/>
      <c r="B519" s="18" t="s">
        <v>16</v>
      </c>
      <c r="C519" s="9"/>
      <c r="D519" s="9"/>
      <c r="E519" s="18" t="s">
        <v>1974</v>
      </c>
      <c r="F519" s="19">
        <v>10000000</v>
      </c>
      <c r="G519" s="20">
        <v>800000</v>
      </c>
      <c r="H519" s="21">
        <v>46175</v>
      </c>
      <c r="I519" s="22">
        <f>IF(H519&gt;0,EDATE(H519,-2),"")</f>
        <v>25569.375</v>
      </c>
      <c r="J519" s="18" t="s">
        <v>155</v>
      </c>
      <c r="K519" s="18" t="s">
        <v>1975</v>
      </c>
      <c r="L519" s="23">
        <f>IF(E519&gt;0,E519,"")</f>
      </c>
      <c r="M519" s="19" t="s">
        <v>1976</v>
      </c>
      <c r="N519" s="19" t="s">
        <v>820</v>
      </c>
      <c r="O519" s="22">
        <f>IF(ISNUMBER(I519), EDATE(I519,36)-1, "")</f>
        <v>25569.375</v>
      </c>
      <c r="P519" s="9" t="s">
        <v>1977</v>
      </c>
      <c r="Q519" s="9" t="s">
        <v>166</v>
      </c>
      <c r="R519" s="9"/>
      <c r="S519" s="9"/>
      <c r="T519" s="9"/>
      <c r="U519" s="9"/>
      <c r="V519" s="9"/>
      <c r="W519" s="9"/>
      <c r="X519" s="9"/>
      <c r="Y519" s="9"/>
      <c r="Z519" s="9"/>
    </row>
    <row x14ac:dyDescent="0.25" r="520" customHeight="1" ht="18.75">
      <c r="A520" s="9"/>
      <c r="B520" s="18" t="s">
        <v>16</v>
      </c>
      <c r="C520" s="9" t="s">
        <v>627</v>
      </c>
      <c r="D520" s="9" t="s">
        <v>1978</v>
      </c>
      <c r="E520" s="18" t="s">
        <v>1979</v>
      </c>
      <c r="F520" s="19">
        <v>10000000</v>
      </c>
      <c r="G520" s="20">
        <v>1200000</v>
      </c>
      <c r="H520" s="21">
        <v>46214</v>
      </c>
      <c r="I520" s="22">
        <f>IF(H520&gt;0,EDATE(H520,-2),"")</f>
        <v>25569.375</v>
      </c>
      <c r="J520" s="18" t="s">
        <v>168</v>
      </c>
      <c r="K520" s="18" t="s">
        <v>1980</v>
      </c>
      <c r="L520" s="23">
        <f>IF(E520&gt;0,E520,"")</f>
      </c>
      <c r="M520" s="19" t="s">
        <v>1981</v>
      </c>
      <c r="N520" s="19">
        <v>36853458</v>
      </c>
      <c r="O520" s="22">
        <f>IF(ISNUMBER(I520), EDATE(I520,36)-1, "")</f>
        <v>25569.375</v>
      </c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x14ac:dyDescent="0.25" r="521" customHeight="1" ht="18.75">
      <c r="A521" s="9"/>
      <c r="B521" s="18" t="s">
        <v>16</v>
      </c>
      <c r="C521" s="9" t="s">
        <v>454</v>
      </c>
      <c r="D521" s="9"/>
      <c r="E521" s="18" t="s">
        <v>1982</v>
      </c>
      <c r="F521" s="19">
        <v>10000000</v>
      </c>
      <c r="G521" s="20">
        <v>800000</v>
      </c>
      <c r="H521" s="21">
        <v>46154</v>
      </c>
      <c r="I521" s="22">
        <f>IF(H521&gt;0,EDATE(H521,-2),"")</f>
        <v>25569.375</v>
      </c>
      <c r="J521" s="18" t="s">
        <v>168</v>
      </c>
      <c r="K521" s="18" t="s">
        <v>1302</v>
      </c>
      <c r="L521" s="23">
        <f>IF(E521&gt;0,E521,"")</f>
      </c>
      <c r="M521" s="19" t="s">
        <v>1983</v>
      </c>
      <c r="N521" s="19" t="s">
        <v>1984</v>
      </c>
      <c r="O521" s="22">
        <f>IF(ISNUMBER(I521), EDATE(I521,36)-1, "")</f>
        <v>25569.375</v>
      </c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x14ac:dyDescent="0.25" r="522" customHeight="1" ht="18.75">
      <c r="A522" s="9"/>
      <c r="B522" s="18" t="s">
        <v>16</v>
      </c>
      <c r="C522" s="9" t="s">
        <v>143</v>
      </c>
      <c r="D522" s="9" t="s">
        <v>14</v>
      </c>
      <c r="E522" s="18" t="s">
        <v>1985</v>
      </c>
      <c r="F522" s="19">
        <v>30000000</v>
      </c>
      <c r="G522" s="20">
        <v>2400000</v>
      </c>
      <c r="H522" s="21">
        <v>46214</v>
      </c>
      <c r="I522" s="22">
        <f>IF(H522&gt;0,EDATE(H522,-2),"")</f>
        <v>25569.375</v>
      </c>
      <c r="J522" s="18" t="s">
        <v>168</v>
      </c>
      <c r="K522" s="18" t="s">
        <v>1986</v>
      </c>
      <c r="L522" s="23">
        <f>IF(E522&gt;0,E522,"")</f>
      </c>
      <c r="M522" s="19" t="s">
        <v>1987</v>
      </c>
      <c r="N522" s="19" t="s">
        <v>1988</v>
      </c>
      <c r="O522" s="22">
        <f>IF(ISNUMBER(I522), EDATE(I522,36)-1, "")</f>
        <v>25569.375</v>
      </c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x14ac:dyDescent="0.25" r="523" customHeight="1" ht="18.75">
      <c r="A523" s="9"/>
      <c r="B523" s="18" t="s">
        <v>16</v>
      </c>
      <c r="C523" s="18" t="s">
        <v>143</v>
      </c>
      <c r="D523" s="18" t="s">
        <v>14</v>
      </c>
      <c r="E523" s="18" t="s">
        <v>1985</v>
      </c>
      <c r="F523" s="20">
        <v>50000000</v>
      </c>
      <c r="G523" s="20">
        <v>3400000</v>
      </c>
      <c r="H523" s="21">
        <v>46244</v>
      </c>
      <c r="I523" s="22">
        <f>IF(H523&gt;0,EDATE(H523,-2),"")</f>
        <v>25569.375</v>
      </c>
      <c r="J523" s="18" t="s">
        <v>168</v>
      </c>
      <c r="K523" s="18" t="s">
        <v>1986</v>
      </c>
      <c r="L523" s="23">
        <f>IF(E523&gt;0,E523,"")</f>
      </c>
      <c r="M523" s="19">
        <v>6711112412011</v>
      </c>
      <c r="N523" s="19">
        <v>26333139</v>
      </c>
      <c r="O523" s="22">
        <f>IF(ISNUMBER(I523), EDATE(I523,36)-1, "")</f>
        <v>25569.375</v>
      </c>
      <c r="P523" s="18"/>
      <c r="Q523" s="18"/>
      <c r="R523" s="9" t="s">
        <v>772</v>
      </c>
      <c r="S523" s="9"/>
      <c r="T523" s="9"/>
      <c r="U523" s="9"/>
      <c r="V523" s="9"/>
      <c r="W523" s="9"/>
      <c r="X523" s="9"/>
      <c r="Y523" s="9"/>
      <c r="Z523" s="9"/>
    </row>
    <row x14ac:dyDescent="0.25" r="524" customHeight="1" ht="18.75">
      <c r="A524" s="9"/>
      <c r="B524" s="18" t="s">
        <v>16</v>
      </c>
      <c r="C524" s="9" t="s">
        <v>454</v>
      </c>
      <c r="D524" s="9" t="s">
        <v>647</v>
      </c>
      <c r="E524" s="18" t="s">
        <v>538</v>
      </c>
      <c r="F524" s="19">
        <v>10000000</v>
      </c>
      <c r="G524" s="20"/>
      <c r="H524" s="21">
        <v>46214</v>
      </c>
      <c r="I524" s="22">
        <f>IF(H524&gt;0,EDATE(H524,-2),"")</f>
        <v>25569.375</v>
      </c>
      <c r="J524" s="18" t="s">
        <v>168</v>
      </c>
      <c r="K524" s="18" t="s">
        <v>1989</v>
      </c>
      <c r="L524" s="23">
        <f>IF(E524&gt;0,E524,"")</f>
      </c>
      <c r="M524" s="19">
        <v>6510052890527</v>
      </c>
      <c r="N524" s="19">
        <v>41483624</v>
      </c>
      <c r="O524" s="22">
        <f>IF(ISNUMBER(I524), EDATE(I524,36)-1, "")</f>
        <v>25569.375</v>
      </c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x14ac:dyDescent="0.25" r="525" customHeight="1" ht="18.75">
      <c r="A525" s="9" t="s">
        <v>216</v>
      </c>
      <c r="B525" s="18" t="s">
        <v>16</v>
      </c>
      <c r="C525" s="9"/>
      <c r="D525" s="9"/>
      <c r="E525" s="18" t="s">
        <v>1990</v>
      </c>
      <c r="F525" s="19">
        <v>80000000</v>
      </c>
      <c r="G525" s="20">
        <v>4800000</v>
      </c>
      <c r="H525" s="21">
        <v>45992</v>
      </c>
      <c r="I525" s="22">
        <f>IF(H525&gt;0,EDATE(H525,-2),"")</f>
        <v>25569.375</v>
      </c>
      <c r="J525" s="18" t="s">
        <v>306</v>
      </c>
      <c r="K525" s="18" t="s">
        <v>1991</v>
      </c>
      <c r="L525" s="23">
        <f>IF(E525&gt;0,E525,"")</f>
      </c>
      <c r="M525" s="19" t="s">
        <v>1992</v>
      </c>
      <c r="N525" s="19" t="s">
        <v>1993</v>
      </c>
      <c r="O525" s="22">
        <f>IF(ISNUMBER(I525), EDATE(I525,36)-1, "")</f>
        <v>25569.375</v>
      </c>
      <c r="P525" s="9"/>
      <c r="Q525" s="9"/>
      <c r="R525" s="9" t="s">
        <v>1994</v>
      </c>
      <c r="S525" s="9"/>
      <c r="T525" s="9"/>
      <c r="U525" s="9"/>
      <c r="V525" s="9"/>
      <c r="W525" s="9"/>
      <c r="X525" s="9"/>
      <c r="Y525" s="9"/>
      <c r="Z525" s="9"/>
    </row>
    <row x14ac:dyDescent="0.25" r="526" customHeight="1" ht="18.75">
      <c r="A526" s="9"/>
      <c r="B526" s="18" t="s">
        <v>113</v>
      </c>
      <c r="C526" s="9"/>
      <c r="D526" s="9"/>
      <c r="E526" s="18" t="s">
        <v>1990</v>
      </c>
      <c r="F526" s="19">
        <v>30000000</v>
      </c>
      <c r="G526" s="20"/>
      <c r="H526" s="21">
        <v>45656</v>
      </c>
      <c r="I526" s="22">
        <f>IF(H526&gt;0,EDATE(H526,-2),"")</f>
        <v>25569.375</v>
      </c>
      <c r="J526" s="18" t="s">
        <v>217</v>
      </c>
      <c r="K526" s="18" t="s">
        <v>1991</v>
      </c>
      <c r="L526" s="23">
        <f>IF(E526&gt;0,E526,"")</f>
      </c>
      <c r="M526" s="19" t="s">
        <v>1992</v>
      </c>
      <c r="N526" s="19">
        <v>99050765</v>
      </c>
      <c r="O526" s="22">
        <f>IF(ISNUMBER(I526), EDATE(I526,36)-1, "")</f>
        <v>25569.375</v>
      </c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x14ac:dyDescent="0.25" r="527" customHeight="1" ht="18.75">
      <c r="A527" s="9"/>
      <c r="B527" s="18" t="s">
        <v>16</v>
      </c>
      <c r="C527" s="9"/>
      <c r="D527" s="9"/>
      <c r="E527" s="18" t="s">
        <v>1995</v>
      </c>
      <c r="F527" s="19">
        <v>10000000</v>
      </c>
      <c r="G527" s="20">
        <v>800000</v>
      </c>
      <c r="H527" s="21">
        <v>46027</v>
      </c>
      <c r="I527" s="22">
        <f>IF(H527&gt;0,EDATE(H527,-2),"")</f>
        <v>25569.375</v>
      </c>
      <c r="J527" s="18" t="s">
        <v>306</v>
      </c>
      <c r="K527" s="18" t="s">
        <v>1996</v>
      </c>
      <c r="L527" s="23">
        <f>IF(E527&gt;0,E527,"")</f>
      </c>
      <c r="M527" s="19" t="s">
        <v>1997</v>
      </c>
      <c r="N527" s="19" t="s">
        <v>1998</v>
      </c>
      <c r="O527" s="22">
        <f>IF(ISNUMBER(I527), EDATE(I527,36)-1, "")</f>
        <v>25569.375</v>
      </c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x14ac:dyDescent="0.25" r="528" customHeight="1" ht="18.75">
      <c r="A528" s="9"/>
      <c r="B528" s="18" t="s">
        <v>16</v>
      </c>
      <c r="C528" s="18" t="s">
        <v>1999</v>
      </c>
      <c r="D528" s="18" t="s">
        <v>14</v>
      </c>
      <c r="E528" s="18" t="s">
        <v>2000</v>
      </c>
      <c r="F528" s="20">
        <v>10000000</v>
      </c>
      <c r="G528" s="8">
        <f>IF(F528&gt;0,_xludf.IFS(F528=10000000,1200000,F528=20000000,1800000,F528=30000000,2400000,F528=60000000,4000000),"")</f>
      </c>
      <c r="H528" s="21">
        <v>46245</v>
      </c>
      <c r="I528" s="22">
        <f>IF(H528&gt;0,EDATE(H528,-2),"")</f>
        <v>25569.375</v>
      </c>
      <c r="J528" s="18" t="s">
        <v>155</v>
      </c>
      <c r="K528" s="18" t="s">
        <v>2001</v>
      </c>
      <c r="L528" s="18" t="s">
        <v>2002</v>
      </c>
      <c r="M528" s="19">
        <v>6202072468518</v>
      </c>
      <c r="N528" s="19">
        <v>75704456</v>
      </c>
      <c r="O528" s="22">
        <f>IF(ISNUMBER(I528), EDATE(I528,36)-1, "")</f>
        <v>25569.375</v>
      </c>
      <c r="P528" s="18"/>
      <c r="Q528" s="9"/>
      <c r="R528" s="9" t="s">
        <v>772</v>
      </c>
      <c r="S528" s="9"/>
      <c r="T528" s="9"/>
      <c r="U528" s="9"/>
      <c r="V528" s="9"/>
      <c r="W528" s="9"/>
      <c r="X528" s="9"/>
      <c r="Y528" s="9"/>
      <c r="Z528" s="9"/>
    </row>
    <row x14ac:dyDescent="0.25" r="529" customHeight="1" ht="18.75">
      <c r="A529" s="9"/>
      <c r="B529" s="18" t="s">
        <v>16</v>
      </c>
      <c r="C529" s="9" t="s">
        <v>143</v>
      </c>
      <c r="D529" s="9" t="s">
        <v>14</v>
      </c>
      <c r="E529" s="18" t="s">
        <v>481</v>
      </c>
      <c r="F529" s="19">
        <v>60000000</v>
      </c>
      <c r="G529" s="20">
        <v>4056000</v>
      </c>
      <c r="H529" s="21">
        <v>46181</v>
      </c>
      <c r="I529" s="22">
        <f>IF(H529&gt;0,EDATE(H529,-2),"")</f>
        <v>25569.375</v>
      </c>
      <c r="J529" s="18" t="s">
        <v>168</v>
      </c>
      <c r="K529" s="18" t="s">
        <v>2003</v>
      </c>
      <c r="L529" s="23">
        <f>IF(E529&gt;0,E529,"")</f>
      </c>
      <c r="M529" s="19" t="s">
        <v>2004</v>
      </c>
      <c r="N529" s="19">
        <v>37243299</v>
      </c>
      <c r="O529" s="22">
        <f>IF(ISNUMBER(I529), EDATE(I529,36)-1, "")</f>
        <v>25569.375</v>
      </c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x14ac:dyDescent="0.25" r="530" customHeight="1" ht="18.75">
      <c r="A530" s="9"/>
      <c r="B530" s="18" t="s">
        <v>16</v>
      </c>
      <c r="C530" s="9" t="s">
        <v>48</v>
      </c>
      <c r="D530" s="9" t="s">
        <v>1958</v>
      </c>
      <c r="E530" s="18" t="s">
        <v>481</v>
      </c>
      <c r="F530" s="19">
        <v>10000000</v>
      </c>
      <c r="G530" s="20">
        <v>800000</v>
      </c>
      <c r="H530" s="21">
        <v>46145</v>
      </c>
      <c r="I530" s="22">
        <f>IF(H530&gt;0,EDATE(H530,-2),"")</f>
        <v>25569.375</v>
      </c>
      <c r="J530" s="18" t="s">
        <v>699</v>
      </c>
      <c r="K530" s="18" t="s">
        <v>2005</v>
      </c>
      <c r="L530" s="23">
        <f>IF(E530&gt;0,E530,"")</f>
      </c>
      <c r="M530" s="19" t="s">
        <v>2006</v>
      </c>
      <c r="N530" s="19">
        <v>73420091</v>
      </c>
      <c r="O530" s="22">
        <f>IF(ISNUMBER(I530), EDATE(I530,36)-1, "")</f>
        <v>25569.375</v>
      </c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x14ac:dyDescent="0.25" r="531" customHeight="1" ht="18.75">
      <c r="A531" s="9"/>
      <c r="B531" s="18" t="s">
        <v>16</v>
      </c>
      <c r="C531" s="9" t="s">
        <v>67</v>
      </c>
      <c r="D531" s="9" t="s">
        <v>68</v>
      </c>
      <c r="E531" s="18" t="s">
        <v>68</v>
      </c>
      <c r="F531" s="19">
        <v>30000000</v>
      </c>
      <c r="G531" s="20">
        <v>2400000</v>
      </c>
      <c r="H531" s="21">
        <v>45889</v>
      </c>
      <c r="I531" s="22">
        <f>IF(H531&gt;0,EDATE(H531,-2),"")</f>
        <v>25569.375</v>
      </c>
      <c r="J531" s="18" t="s">
        <v>302</v>
      </c>
      <c r="K531" s="18" t="s">
        <v>2007</v>
      </c>
      <c r="L531" s="23">
        <f>IF(E531&gt;0,E531,"")</f>
      </c>
      <c r="M531" s="19" t="s">
        <v>2008</v>
      </c>
      <c r="N531" s="19" t="s">
        <v>2009</v>
      </c>
      <c r="O531" s="22">
        <f>IF(ISNUMBER(I531), EDATE(I531,36)-1, "")</f>
        <v>25569.375</v>
      </c>
      <c r="P531" s="9" t="s">
        <v>2010</v>
      </c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x14ac:dyDescent="0.25" r="532" customHeight="1" ht="18.75">
      <c r="A532" s="9" t="s">
        <v>216</v>
      </c>
      <c r="B532" s="18" t="s">
        <v>16</v>
      </c>
      <c r="C532" s="9" t="s">
        <v>67</v>
      </c>
      <c r="D532" s="9" t="s">
        <v>68</v>
      </c>
      <c r="E532" s="18" t="s">
        <v>68</v>
      </c>
      <c r="F532" s="19">
        <v>30000000</v>
      </c>
      <c r="G532" s="20">
        <v>2400000</v>
      </c>
      <c r="H532" s="21">
        <v>45910</v>
      </c>
      <c r="I532" s="22">
        <f>IF(H532&gt;0,EDATE(H532,-2),"")</f>
        <v>25569.375</v>
      </c>
      <c r="J532" s="18" t="s">
        <v>302</v>
      </c>
      <c r="K532" s="18" t="s">
        <v>2007</v>
      </c>
      <c r="L532" s="23">
        <f>IF(E532&gt;0,E532,"")</f>
      </c>
      <c r="M532" s="19" t="s">
        <v>2008</v>
      </c>
      <c r="N532" s="19" t="s">
        <v>2009</v>
      </c>
      <c r="O532" s="22">
        <f>IF(ISNUMBER(I532), EDATE(I532,36)-1, "")</f>
        <v>25569.375</v>
      </c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x14ac:dyDescent="0.25" r="533" customHeight="1" ht="18.75">
      <c r="A533" s="9"/>
      <c r="B533" s="18" t="s">
        <v>16</v>
      </c>
      <c r="C533" s="9" t="s">
        <v>153</v>
      </c>
      <c r="D533" s="9" t="s">
        <v>318</v>
      </c>
      <c r="E533" s="18" t="s">
        <v>2011</v>
      </c>
      <c r="F533" s="19">
        <v>20000000</v>
      </c>
      <c r="G533" s="20">
        <v>1800000</v>
      </c>
      <c r="H533" s="21">
        <v>46202</v>
      </c>
      <c r="I533" s="22">
        <f>IF(H533&gt;0,EDATE(H533,-2),"")</f>
        <v>25569.375</v>
      </c>
      <c r="J533" s="18" t="s">
        <v>168</v>
      </c>
      <c r="K533" s="18" t="s">
        <v>2012</v>
      </c>
      <c r="L533" s="23">
        <f>IF(E533&gt;0,E533,"")</f>
      </c>
      <c r="M533" s="19">
        <v>6304152332828</v>
      </c>
      <c r="N533" s="19">
        <v>22491891</v>
      </c>
      <c r="O533" s="22">
        <f>IF(ISNUMBER(I533), EDATE(I533,36)-1, "")</f>
        <v>25569.375</v>
      </c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x14ac:dyDescent="0.25" r="534" customHeight="1" ht="18.75">
      <c r="A534" s="9"/>
      <c r="B534" s="18" t="s">
        <v>16</v>
      </c>
      <c r="C534" s="18" t="s">
        <v>410</v>
      </c>
      <c r="D534" s="18" t="s">
        <v>534</v>
      </c>
      <c r="E534" s="18" t="s">
        <v>2013</v>
      </c>
      <c r="F534" s="20">
        <v>10000000</v>
      </c>
      <c r="G534" s="8">
        <f>IF(F534&gt;0,_xludf.IFS(F534=10000000,1200000,F534=20000000,1800000,F534=30000000,2400000,F534=60000000,4000000),"")</f>
      </c>
      <c r="H534" s="21">
        <v>46240</v>
      </c>
      <c r="I534" s="22">
        <f>IF(H534&gt;0,EDATE(H534,-2),"")</f>
        <v>25569.375</v>
      </c>
      <c r="J534" s="18" t="s">
        <v>205</v>
      </c>
      <c r="K534" s="18" t="s">
        <v>2014</v>
      </c>
      <c r="L534" s="23">
        <f>IF(E534&gt;0,E534,"")</f>
      </c>
      <c r="M534" s="19">
        <v>7609052483111</v>
      </c>
      <c r="N534" s="19">
        <v>54234821</v>
      </c>
      <c r="O534" s="22">
        <f>IF(ISNUMBER(I534), EDATE(I534,36)-1, "")</f>
        <v>25569.375</v>
      </c>
      <c r="P534" s="18"/>
      <c r="Q534" s="18"/>
      <c r="R534" s="9"/>
      <c r="S534" s="9"/>
      <c r="T534" s="9"/>
      <c r="U534" s="9"/>
      <c r="V534" s="9"/>
      <c r="W534" s="9"/>
      <c r="X534" s="9"/>
      <c r="Y534" s="9"/>
      <c r="Z534" s="9"/>
    </row>
    <row x14ac:dyDescent="0.25" r="535" customHeight="1" ht="18.75">
      <c r="A535" s="9"/>
      <c r="B535" s="18" t="s">
        <v>16</v>
      </c>
      <c r="C535" s="9"/>
      <c r="D535" s="9"/>
      <c r="E535" s="18" t="s">
        <v>2015</v>
      </c>
      <c r="F535" s="19">
        <v>10000000</v>
      </c>
      <c r="G535" s="20">
        <v>800000</v>
      </c>
      <c r="H535" s="21">
        <v>46034</v>
      </c>
      <c r="I535" s="22">
        <f>IF(H535&gt;0,EDATE(H535,-2),"")</f>
        <v>25569.375</v>
      </c>
      <c r="J535" s="18" t="s">
        <v>205</v>
      </c>
      <c r="K535" s="18" t="s">
        <v>2016</v>
      </c>
      <c r="L535" s="23">
        <f>IF(E535&gt;0,E535,"")</f>
      </c>
      <c r="M535" s="19" t="s">
        <v>2017</v>
      </c>
      <c r="N535" s="19" t="s">
        <v>2016</v>
      </c>
      <c r="O535" s="22">
        <f>IF(ISNUMBER(I535), EDATE(I535,36)-1, "")</f>
        <v>25569.375</v>
      </c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x14ac:dyDescent="0.25" r="536" customHeight="1" ht="18.75">
      <c r="A536" s="9" t="s">
        <v>152</v>
      </c>
      <c r="B536" s="18" t="s">
        <v>16</v>
      </c>
      <c r="C536" s="9" t="s">
        <v>55</v>
      </c>
      <c r="D536" s="9" t="s">
        <v>56</v>
      </c>
      <c r="E536" s="18" t="s">
        <v>2018</v>
      </c>
      <c r="F536" s="19">
        <v>10000000</v>
      </c>
      <c r="G536" s="20">
        <v>800000</v>
      </c>
      <c r="H536" s="21">
        <v>46106</v>
      </c>
      <c r="I536" s="22">
        <f>IF(H536&gt;0,EDATE(H536,-2),"")</f>
        <v>25569.375</v>
      </c>
      <c r="J536" s="18" t="s">
        <v>580</v>
      </c>
      <c r="K536" s="18" t="s">
        <v>2019</v>
      </c>
      <c r="L536" s="23">
        <f>IF(E536&gt;0,E536,"")</f>
      </c>
      <c r="M536" s="19">
        <v>7703242235628</v>
      </c>
      <c r="N536" s="19">
        <v>23537954</v>
      </c>
      <c r="O536" s="22">
        <f>IF(ISNUMBER(I536), EDATE(I536,36)-1, "")</f>
        <v>25569.375</v>
      </c>
      <c r="P536" s="9"/>
      <c r="Q536" s="9"/>
      <c r="R536" s="9" t="s">
        <v>2020</v>
      </c>
      <c r="S536" s="9"/>
      <c r="T536" s="9"/>
      <c r="U536" s="9"/>
      <c r="V536" s="9"/>
      <c r="W536" s="9"/>
      <c r="X536" s="9"/>
      <c r="Y536" s="9"/>
      <c r="Z536" s="9"/>
    </row>
    <row x14ac:dyDescent="0.25" r="537" customHeight="1" ht="18.75">
      <c r="A537" s="9"/>
      <c r="B537" s="18" t="s">
        <v>16</v>
      </c>
      <c r="C537" s="9" t="s">
        <v>55</v>
      </c>
      <c r="D537" s="9" t="s">
        <v>56</v>
      </c>
      <c r="E537" s="18" t="s">
        <v>2021</v>
      </c>
      <c r="F537" s="19">
        <v>10000000</v>
      </c>
      <c r="G537" s="20">
        <v>1200000</v>
      </c>
      <c r="H537" s="21">
        <v>46213</v>
      </c>
      <c r="I537" s="22">
        <f>IF(H537&gt;0,EDATE(H537,-2),"")</f>
        <v>25569.375</v>
      </c>
      <c r="J537" s="18" t="s">
        <v>212</v>
      </c>
      <c r="K537" s="18" t="s">
        <v>2022</v>
      </c>
      <c r="L537" s="23">
        <f>IF(E537&gt;0,E537,"")</f>
      </c>
      <c r="M537" s="19">
        <v>9501161056538</v>
      </c>
      <c r="N537" s="19">
        <v>57802200</v>
      </c>
      <c r="O537" s="22">
        <f>IF(ISNUMBER(I537), EDATE(I537,36)-1, "")</f>
        <v>25569.375</v>
      </c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x14ac:dyDescent="0.25" r="538" customHeight="1" ht="18.75">
      <c r="A538" s="9"/>
      <c r="B538" s="18" t="s">
        <v>16</v>
      </c>
      <c r="C538" s="9"/>
      <c r="D538" s="9"/>
      <c r="E538" s="18" t="s">
        <v>2023</v>
      </c>
      <c r="F538" s="19">
        <v>60000000</v>
      </c>
      <c r="G538" s="20">
        <v>4800000</v>
      </c>
      <c r="H538" s="21">
        <v>45923</v>
      </c>
      <c r="I538" s="22">
        <f>IF(H538&gt;0,EDATE(H538,-2),"")</f>
        <v>25569.375</v>
      </c>
      <c r="J538" s="18" t="s">
        <v>306</v>
      </c>
      <c r="K538" s="18" t="s">
        <v>2024</v>
      </c>
      <c r="L538" s="23">
        <f>IF(E538&gt;0,E538,"")</f>
      </c>
      <c r="M538" s="19" t="s">
        <v>2025</v>
      </c>
      <c r="N538" s="19" t="s">
        <v>2026</v>
      </c>
      <c r="O538" s="22">
        <f>IF(ISNUMBER(I538), EDATE(I538,36)-1, "")</f>
        <v>25569.375</v>
      </c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x14ac:dyDescent="0.25" r="539" customHeight="1" ht="18.75">
      <c r="A539" s="9" t="s">
        <v>275</v>
      </c>
      <c r="B539" s="18" t="s">
        <v>113</v>
      </c>
      <c r="C539" s="9"/>
      <c r="D539" s="9"/>
      <c r="E539" s="18" t="s">
        <v>2023</v>
      </c>
      <c r="F539" s="19">
        <v>30000000</v>
      </c>
      <c r="G539" s="20"/>
      <c r="H539" s="21">
        <v>45626</v>
      </c>
      <c r="I539" s="22">
        <f>IF(H539&gt;0,EDATE(H539,-2),"")</f>
        <v>25569.375</v>
      </c>
      <c r="J539" s="18" t="s">
        <v>217</v>
      </c>
      <c r="K539" s="18" t="s">
        <v>2027</v>
      </c>
      <c r="L539" s="23">
        <f>IF(E539&gt;0,E539,"")</f>
      </c>
      <c r="M539" s="19" t="s">
        <v>2025</v>
      </c>
      <c r="N539" s="19">
        <v>77884625</v>
      </c>
      <c r="O539" s="22">
        <f>IF(ISNUMBER(I539), EDATE(I539,36)-1, "")</f>
        <v>25569.375</v>
      </c>
      <c r="P539" s="9"/>
      <c r="Q539" s="9"/>
      <c r="R539" s="9" t="s">
        <v>2028</v>
      </c>
      <c r="S539" s="9"/>
      <c r="T539" s="9"/>
      <c r="U539" s="9"/>
      <c r="V539" s="9"/>
      <c r="W539" s="9"/>
      <c r="X539" s="9"/>
      <c r="Y539" s="9"/>
      <c r="Z539" s="9"/>
    </row>
    <row x14ac:dyDescent="0.25" r="540" customHeight="1" ht="18.75">
      <c r="A540" s="24" t="s">
        <v>2029</v>
      </c>
      <c r="B540" s="25" t="s">
        <v>1527</v>
      </c>
      <c r="C540" s="24"/>
      <c r="D540" s="24"/>
      <c r="E540" s="25" t="s">
        <v>92</v>
      </c>
      <c r="F540" s="26">
        <v>30000000</v>
      </c>
      <c r="G540" s="27"/>
      <c r="H540" s="28">
        <v>45775</v>
      </c>
      <c r="I540" s="29">
        <f>IF(H540&gt;0,EDATE(H540,-2),"")</f>
        <v>25569.375</v>
      </c>
      <c r="J540" s="25" t="s">
        <v>217</v>
      </c>
      <c r="K540" s="25" t="s">
        <v>2030</v>
      </c>
      <c r="L540" s="30">
        <f>IF(E540&gt;0,E540,"")</f>
      </c>
      <c r="M540" s="26" t="s">
        <v>2031</v>
      </c>
      <c r="N540" s="26" t="s">
        <v>2032</v>
      </c>
      <c r="O540" s="29">
        <f>IF(ISNUMBER(I540), EDATE(I540,36)-1, "")</f>
        <v>25569.375</v>
      </c>
      <c r="P540" s="24"/>
      <c r="Q540" s="24"/>
      <c r="R540" s="24"/>
      <c r="S540" s="9"/>
      <c r="T540" s="9"/>
      <c r="U540" s="9"/>
      <c r="V540" s="9"/>
      <c r="W540" s="9"/>
      <c r="X540" s="9"/>
      <c r="Y540" s="9"/>
      <c r="Z540" s="9"/>
    </row>
    <row x14ac:dyDescent="0.25" r="541" customHeight="1" ht="18.75">
      <c r="A541" s="24"/>
      <c r="B541" s="25" t="s">
        <v>2033</v>
      </c>
      <c r="C541" s="24"/>
      <c r="D541" s="24"/>
      <c r="E541" s="25" t="s">
        <v>92</v>
      </c>
      <c r="F541" s="26">
        <v>60000000</v>
      </c>
      <c r="G541" s="27">
        <v>2400000</v>
      </c>
      <c r="H541" s="28">
        <v>45778</v>
      </c>
      <c r="I541" s="29">
        <f>IF(H541&gt;0,EDATE(H541,-2),"")</f>
        <v>25569.375</v>
      </c>
      <c r="J541" s="25" t="s">
        <v>217</v>
      </c>
      <c r="K541" s="25" t="s">
        <v>2030</v>
      </c>
      <c r="L541" s="30">
        <f>IF(E541&gt;0,E541,"")</f>
      </c>
      <c r="M541" s="26" t="s">
        <v>2031</v>
      </c>
      <c r="N541" s="26" t="s">
        <v>2032</v>
      </c>
      <c r="O541" s="29">
        <f>IF(ISNUMBER(I541), EDATE(I541,36)-1, "")</f>
        <v>25569.375</v>
      </c>
      <c r="P541" s="24"/>
      <c r="Q541" s="24"/>
      <c r="R541" s="24"/>
      <c r="S541" s="9"/>
      <c r="T541" s="9"/>
      <c r="U541" s="9"/>
      <c r="V541" s="9"/>
      <c r="W541" s="9"/>
      <c r="X541" s="9"/>
      <c r="Y541" s="9"/>
      <c r="Z541" s="9"/>
    </row>
    <row x14ac:dyDescent="0.25" r="542" customHeight="1" ht="18.75">
      <c r="A542" s="24"/>
      <c r="B542" s="25" t="s">
        <v>16</v>
      </c>
      <c r="C542" s="24"/>
      <c r="D542" s="24"/>
      <c r="E542" s="25" t="s">
        <v>92</v>
      </c>
      <c r="F542" s="26">
        <v>30000000</v>
      </c>
      <c r="G542" s="27">
        <v>2400000</v>
      </c>
      <c r="H542" s="28">
        <v>45881</v>
      </c>
      <c r="I542" s="29">
        <f>IF(H542&gt;0,EDATE(H542,-2),"")</f>
        <v>25569.375</v>
      </c>
      <c r="J542" s="25" t="s">
        <v>217</v>
      </c>
      <c r="K542" s="25" t="s">
        <v>2030</v>
      </c>
      <c r="L542" s="30">
        <f>IF(E542&gt;0,E542,"")</f>
      </c>
      <c r="M542" s="26" t="s">
        <v>2031</v>
      </c>
      <c r="N542" s="26" t="s">
        <v>2032</v>
      </c>
      <c r="O542" s="29">
        <f>IF(ISNUMBER(I542), EDATE(I542,36)-1, "")</f>
        <v>25569.375</v>
      </c>
      <c r="P542" s="24"/>
      <c r="Q542" s="24"/>
      <c r="R542" s="24"/>
      <c r="S542" s="9"/>
      <c r="T542" s="9"/>
      <c r="U542" s="9"/>
      <c r="V542" s="9"/>
      <c r="W542" s="9"/>
      <c r="X542" s="9"/>
      <c r="Y542" s="9"/>
      <c r="Z542" s="9"/>
    </row>
    <row x14ac:dyDescent="0.25" r="543" customHeight="1" ht="18.75">
      <c r="A543" s="9"/>
      <c r="B543" s="18" t="s">
        <v>16</v>
      </c>
      <c r="C543" s="9" t="s">
        <v>143</v>
      </c>
      <c r="D543" s="9" t="s">
        <v>14</v>
      </c>
      <c r="E543" s="18" t="s">
        <v>2034</v>
      </c>
      <c r="F543" s="19">
        <v>10000000</v>
      </c>
      <c r="G543" s="20">
        <v>1200000</v>
      </c>
      <c r="H543" s="21">
        <v>46228</v>
      </c>
      <c r="I543" s="22">
        <f>IF(H543&gt;0,EDATE(H543,-2),"")</f>
        <v>25569.375</v>
      </c>
      <c r="J543" s="18" t="s">
        <v>155</v>
      </c>
      <c r="K543" s="18" t="s">
        <v>2035</v>
      </c>
      <c r="L543" s="23">
        <f>IF(E543&gt;0,E543,"")</f>
      </c>
      <c r="M543" s="19">
        <v>5308161466311</v>
      </c>
      <c r="N543" s="19">
        <v>40770600</v>
      </c>
      <c r="O543" s="22">
        <f>IF(ISNUMBER(I543), EDATE(I543,36)-1, "")</f>
        <v>25569.375</v>
      </c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x14ac:dyDescent="0.25" r="544" customHeight="1" ht="18.75">
      <c r="A544" s="9"/>
      <c r="B544" s="18" t="s">
        <v>16</v>
      </c>
      <c r="C544" s="9" t="s">
        <v>153</v>
      </c>
      <c r="D544" s="9" t="s">
        <v>276</v>
      </c>
      <c r="E544" s="18" t="s">
        <v>2036</v>
      </c>
      <c r="F544" s="19">
        <v>30000000</v>
      </c>
      <c r="G544" s="20">
        <v>2400000</v>
      </c>
      <c r="H544" s="21">
        <v>46209</v>
      </c>
      <c r="I544" s="22">
        <f>IF(H544&gt;0,EDATE(H544,-2),"")</f>
        <v>25569.375</v>
      </c>
      <c r="J544" s="18" t="s">
        <v>168</v>
      </c>
      <c r="K544" s="18" t="s">
        <v>2037</v>
      </c>
      <c r="L544" s="23">
        <f>IF(E544&gt;0,E544,"")</f>
      </c>
      <c r="M544" s="19" t="s">
        <v>2038</v>
      </c>
      <c r="N544" s="19">
        <v>63437949</v>
      </c>
      <c r="O544" s="22">
        <f>IF(ISNUMBER(I544), EDATE(I544,36)-1, "")</f>
        <v>25569.375</v>
      </c>
      <c r="P544" s="9"/>
      <c r="Q544" s="9"/>
      <c r="R544" s="9" t="s">
        <v>2039</v>
      </c>
      <c r="S544" s="9"/>
      <c r="T544" s="9"/>
      <c r="U544" s="9"/>
      <c r="V544" s="9"/>
      <c r="W544" s="9"/>
      <c r="X544" s="9"/>
      <c r="Y544" s="9"/>
      <c r="Z544" s="9"/>
    </row>
    <row x14ac:dyDescent="0.25" r="545" customHeight="1" ht="18.75">
      <c r="A545" s="9"/>
      <c r="B545" s="18" t="s">
        <v>16</v>
      </c>
      <c r="C545" s="9" t="s">
        <v>153</v>
      </c>
      <c r="D545" s="9" t="s">
        <v>276</v>
      </c>
      <c r="E545" s="18" t="s">
        <v>2036</v>
      </c>
      <c r="F545" s="19">
        <v>10000000</v>
      </c>
      <c r="G545" s="20">
        <v>500000</v>
      </c>
      <c r="H545" s="21">
        <v>46168</v>
      </c>
      <c r="I545" s="22">
        <f>IF(H545&gt;0,EDATE(H545,-2),"")</f>
        <v>25569.375</v>
      </c>
      <c r="J545" s="18" t="s">
        <v>168</v>
      </c>
      <c r="K545" s="18" t="s">
        <v>2037</v>
      </c>
      <c r="L545" s="23">
        <f>IF(E545&gt;0,E545,"")</f>
      </c>
      <c r="M545" s="19" t="s">
        <v>2038</v>
      </c>
      <c r="N545" s="19">
        <v>63437949</v>
      </c>
      <c r="O545" s="22">
        <f>IF(ISNUMBER(I545), EDATE(I545,36)-1, "")</f>
        <v>25569.375</v>
      </c>
      <c r="P545" s="9"/>
      <c r="Q545" s="9"/>
      <c r="R545" s="9" t="s">
        <v>708</v>
      </c>
      <c r="S545" s="9"/>
      <c r="T545" s="9"/>
      <c r="U545" s="9"/>
      <c r="V545" s="9"/>
      <c r="W545" s="9"/>
      <c r="X545" s="9"/>
      <c r="Y545" s="9"/>
      <c r="Z545" s="9"/>
    </row>
    <row x14ac:dyDescent="0.25" r="546" customHeight="1" ht="18.75">
      <c r="A546" s="9"/>
      <c r="B546" s="18" t="s">
        <v>16</v>
      </c>
      <c r="C546" s="9"/>
      <c r="D546" s="9"/>
      <c r="E546" s="18" t="s">
        <v>2040</v>
      </c>
      <c r="F546" s="19">
        <v>60000000</v>
      </c>
      <c r="G546" s="20">
        <v>4800000</v>
      </c>
      <c r="H546" s="21">
        <v>46064</v>
      </c>
      <c r="I546" s="22">
        <f>IF(H546&gt;0,EDATE(H546,-2),"")</f>
        <v>25569.375</v>
      </c>
      <c r="J546" s="18" t="s">
        <v>168</v>
      </c>
      <c r="K546" s="18" t="s">
        <v>2041</v>
      </c>
      <c r="L546" s="23">
        <f>IF(E546&gt;0,E546,"")</f>
      </c>
      <c r="M546" s="19" t="s">
        <v>2042</v>
      </c>
      <c r="N546" s="19" t="s">
        <v>2043</v>
      </c>
      <c r="O546" s="22">
        <f>IF(ISNUMBER(I546), EDATE(I546,36)-1, "")</f>
        <v>25569.375</v>
      </c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x14ac:dyDescent="0.25" r="547" customHeight="1" ht="18.75">
      <c r="A547" s="9"/>
      <c r="B547" s="18" t="s">
        <v>16</v>
      </c>
      <c r="C547" s="9"/>
      <c r="D547" s="9"/>
      <c r="E547" s="18" t="s">
        <v>93</v>
      </c>
      <c r="F547" s="19">
        <v>10000000</v>
      </c>
      <c r="G547" s="20"/>
      <c r="H547" s="21">
        <v>46162</v>
      </c>
      <c r="I547" s="22">
        <f>IF(H547&gt;0,EDATE(H547,-2),"")</f>
        <v>25569.375</v>
      </c>
      <c r="J547" s="18" t="s">
        <v>168</v>
      </c>
      <c r="K547" s="18" t="s">
        <v>2044</v>
      </c>
      <c r="L547" s="23">
        <f>IF(E547&gt;0,E547,"")</f>
      </c>
      <c r="M547" s="19" t="s">
        <v>2045</v>
      </c>
      <c r="N547" s="19" t="s">
        <v>2046</v>
      </c>
      <c r="O547" s="22">
        <f>IF(ISNUMBER(I547), EDATE(I547,36)-1, "")</f>
        <v>25569.375</v>
      </c>
      <c r="P547" s="9"/>
      <c r="Q547" s="9" t="s">
        <v>166</v>
      </c>
      <c r="R547" s="9" t="s">
        <v>1865</v>
      </c>
      <c r="S547" s="9"/>
      <c r="T547" s="9"/>
      <c r="U547" s="9"/>
      <c r="V547" s="9"/>
      <c r="W547" s="9"/>
      <c r="X547" s="9"/>
      <c r="Y547" s="9"/>
      <c r="Z547" s="9"/>
    </row>
    <row x14ac:dyDescent="0.25" r="548" customHeight="1" ht="18.75">
      <c r="A548" s="9"/>
      <c r="B548" s="18" t="s">
        <v>16</v>
      </c>
      <c r="C548" s="9"/>
      <c r="D548" s="9"/>
      <c r="E548" s="18" t="s">
        <v>93</v>
      </c>
      <c r="F548" s="19">
        <v>60000000</v>
      </c>
      <c r="G548" s="20">
        <v>4056000</v>
      </c>
      <c r="H548" s="21">
        <v>46193</v>
      </c>
      <c r="I548" s="22">
        <f>IF(H548&gt;0,EDATE(H548,-2),"")</f>
        <v>25569.375</v>
      </c>
      <c r="J548" s="18" t="s">
        <v>168</v>
      </c>
      <c r="K548" s="18" t="s">
        <v>2044</v>
      </c>
      <c r="L548" s="23">
        <f>IF(E548&gt;0,E548,"")</f>
      </c>
      <c r="M548" s="19" t="s">
        <v>2045</v>
      </c>
      <c r="N548" s="19" t="s">
        <v>2046</v>
      </c>
      <c r="O548" s="22">
        <f>IF(ISNUMBER(I548), EDATE(I548,36)-1, "")</f>
        <v>25569.375</v>
      </c>
      <c r="P548" s="9"/>
      <c r="Q548" s="9" t="s">
        <v>166</v>
      </c>
      <c r="R548" s="9"/>
      <c r="S548" s="9"/>
      <c r="T548" s="9"/>
      <c r="U548" s="9"/>
      <c r="V548" s="9"/>
      <c r="W548" s="9"/>
      <c r="X548" s="9"/>
      <c r="Y548" s="9"/>
      <c r="Z548" s="9"/>
    </row>
    <row x14ac:dyDescent="0.25" r="549" customHeight="1" ht="18.75">
      <c r="A549" s="9"/>
      <c r="B549" s="18" t="s">
        <v>16</v>
      </c>
      <c r="C549" s="9"/>
      <c r="D549" s="9" t="s">
        <v>29</v>
      </c>
      <c r="E549" s="18" t="s">
        <v>2047</v>
      </c>
      <c r="F549" s="19">
        <v>10000000</v>
      </c>
      <c r="G549" s="20">
        <v>800000</v>
      </c>
      <c r="H549" s="21">
        <v>46118</v>
      </c>
      <c r="I549" s="22">
        <f>IF(H549&gt;0,EDATE(H549,-2),"")</f>
        <v>25569.375</v>
      </c>
      <c r="J549" s="18" t="s">
        <v>306</v>
      </c>
      <c r="K549" s="18" t="s">
        <v>2048</v>
      </c>
      <c r="L549" s="23">
        <f>IF(E549&gt;0,E549,"")</f>
      </c>
      <c r="M549" s="19" t="s">
        <v>2049</v>
      </c>
      <c r="N549" s="19" t="s">
        <v>2050</v>
      </c>
      <c r="O549" s="22">
        <f>IF(ISNUMBER(I549), EDATE(I549,36)-1, "")</f>
        <v>25569.375</v>
      </c>
      <c r="P549" s="9"/>
      <c r="Q549" s="9" t="s">
        <v>166</v>
      </c>
      <c r="R549" s="9"/>
      <c r="S549" s="9"/>
      <c r="T549" s="9"/>
      <c r="U549" s="9"/>
      <c r="V549" s="9"/>
      <c r="W549" s="9"/>
      <c r="X549" s="9"/>
      <c r="Y549" s="9"/>
      <c r="Z549" s="9"/>
    </row>
    <row x14ac:dyDescent="0.25" r="550" customHeight="1" ht="18.75">
      <c r="A550" s="9"/>
      <c r="B550" s="18" t="s">
        <v>16</v>
      </c>
      <c r="C550" s="9" t="s">
        <v>153</v>
      </c>
      <c r="D550" s="9" t="s">
        <v>862</v>
      </c>
      <c r="E550" s="18" t="s">
        <v>2051</v>
      </c>
      <c r="F550" s="19">
        <v>10000000</v>
      </c>
      <c r="G550" s="20">
        <v>1200000</v>
      </c>
      <c r="H550" s="21">
        <v>46231</v>
      </c>
      <c r="I550" s="22">
        <f>IF(H550&gt;0,EDATE(H550,-2),"")</f>
        <v>25569.375</v>
      </c>
      <c r="J550" s="18" t="s">
        <v>302</v>
      </c>
      <c r="K550" s="18" t="s">
        <v>2052</v>
      </c>
      <c r="L550" s="23">
        <f>IF(E550&gt;0,E550,"")</f>
      </c>
      <c r="M550" s="19">
        <v>6407192018417</v>
      </c>
      <c r="N550" s="19">
        <v>92670881</v>
      </c>
      <c r="O550" s="22">
        <f>IF(ISNUMBER(I550), EDATE(I550,36)-1, "")</f>
        <v>25569.375</v>
      </c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x14ac:dyDescent="0.25" r="551" customHeight="1" ht="18.75">
      <c r="A551" s="9"/>
      <c r="B551" s="18" t="s">
        <v>16</v>
      </c>
      <c r="C551" s="9"/>
      <c r="D551" s="9"/>
      <c r="E551" s="18" t="s">
        <v>2053</v>
      </c>
      <c r="F551" s="19">
        <v>10000000</v>
      </c>
      <c r="G551" s="20">
        <v>500000</v>
      </c>
      <c r="H551" s="21">
        <v>46200</v>
      </c>
      <c r="I551" s="22">
        <f>IF(H551&gt;0,EDATE(H551,-2),"")</f>
        <v>25569.375</v>
      </c>
      <c r="J551" s="18" t="s">
        <v>2054</v>
      </c>
      <c r="K551" s="18" t="s">
        <v>2055</v>
      </c>
      <c r="L551" s="23">
        <f>IF(E551&gt;0,E551,"")</f>
      </c>
      <c r="M551" s="19" t="s">
        <v>2056</v>
      </c>
      <c r="N551" s="19" t="s">
        <v>2057</v>
      </c>
      <c r="O551" s="22">
        <f>IF(ISNUMBER(I551), EDATE(I551,36)-1, "")</f>
        <v>25569.375</v>
      </c>
      <c r="P551" s="9" t="s">
        <v>2058</v>
      </c>
      <c r="Q551" s="9" t="s">
        <v>166</v>
      </c>
      <c r="R551" s="9"/>
      <c r="S551" s="9"/>
      <c r="T551" s="9"/>
      <c r="U551" s="9"/>
      <c r="V551" s="9"/>
      <c r="W551" s="9"/>
      <c r="X551" s="9"/>
      <c r="Y551" s="9"/>
      <c r="Z551" s="9"/>
    </row>
    <row x14ac:dyDescent="0.25" r="552" customHeight="1" ht="18.75">
      <c r="A552" s="9"/>
      <c r="B552" s="18" t="s">
        <v>16</v>
      </c>
      <c r="C552" s="9"/>
      <c r="D552" s="9" t="s">
        <v>2059</v>
      </c>
      <c r="E552" s="18" t="s">
        <v>2060</v>
      </c>
      <c r="F552" s="19">
        <v>10000000</v>
      </c>
      <c r="G552" s="20">
        <v>500000</v>
      </c>
      <c r="H552" s="21">
        <v>46186</v>
      </c>
      <c r="I552" s="22">
        <f>IF(H552&gt;0,EDATE(H552,-2),"")</f>
        <v>25569.375</v>
      </c>
      <c r="J552" s="18" t="s">
        <v>2061</v>
      </c>
      <c r="K552" s="18" t="s">
        <v>2062</v>
      </c>
      <c r="L552" s="23">
        <f>IF(E552&gt;0,E552,"")</f>
      </c>
      <c r="M552" s="19" t="s">
        <v>2063</v>
      </c>
      <c r="N552" s="19" t="s">
        <v>2064</v>
      </c>
      <c r="O552" s="22">
        <f>IF(ISNUMBER(I552), EDATE(I552,36)-1, "")</f>
        <v>25569.375</v>
      </c>
      <c r="P552" s="9" t="s">
        <v>2065</v>
      </c>
      <c r="Q552" s="9" t="s">
        <v>166</v>
      </c>
      <c r="R552" s="9"/>
      <c r="S552" s="9"/>
      <c r="T552" s="9"/>
      <c r="U552" s="9"/>
      <c r="V552" s="9"/>
      <c r="W552" s="9"/>
      <c r="X552" s="9"/>
      <c r="Y552" s="9"/>
      <c r="Z552" s="9"/>
    </row>
    <row x14ac:dyDescent="0.25" r="553" customHeight="1" ht="18.75">
      <c r="A553" s="9"/>
      <c r="B553" s="18" t="s">
        <v>16</v>
      </c>
      <c r="C553" s="9" t="s">
        <v>454</v>
      </c>
      <c r="D553" s="9"/>
      <c r="E553" s="18" t="s">
        <v>2066</v>
      </c>
      <c r="F553" s="19">
        <v>10000000</v>
      </c>
      <c r="G553" s="20">
        <v>800000</v>
      </c>
      <c r="H553" s="21">
        <v>46154</v>
      </c>
      <c r="I553" s="22">
        <f>IF(H553&gt;0,EDATE(H553,-2),"")</f>
        <v>25569.375</v>
      </c>
      <c r="J553" s="18" t="s">
        <v>239</v>
      </c>
      <c r="K553" s="18" t="s">
        <v>2067</v>
      </c>
      <c r="L553" s="23">
        <f>IF(E553&gt;0,E553,"")</f>
      </c>
      <c r="M553" s="19" t="s">
        <v>2068</v>
      </c>
      <c r="N553" s="19" t="s">
        <v>2069</v>
      </c>
      <c r="O553" s="22">
        <f>IF(ISNUMBER(I553), EDATE(I553,36)-1, "")</f>
        <v>25569.375</v>
      </c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x14ac:dyDescent="0.25" r="554" customHeight="1" ht="18.75">
      <c r="A554" s="9"/>
      <c r="B554" s="18" t="s">
        <v>16</v>
      </c>
      <c r="C554" s="9"/>
      <c r="D554" s="9"/>
      <c r="E554" s="18" t="s">
        <v>2070</v>
      </c>
      <c r="F554" s="19">
        <v>10000000</v>
      </c>
      <c r="G554" s="20">
        <v>1200000</v>
      </c>
      <c r="H554" s="21">
        <v>46200</v>
      </c>
      <c r="I554" s="22">
        <f>IF(H554&gt;0,EDATE(H554,-2),"")</f>
        <v>25569.375</v>
      </c>
      <c r="J554" s="18" t="s">
        <v>161</v>
      </c>
      <c r="K554" s="18" t="s">
        <v>2071</v>
      </c>
      <c r="L554" s="23">
        <f>IF(E554&gt;0,E554,"")</f>
      </c>
      <c r="M554" s="19" t="s">
        <v>2072</v>
      </c>
      <c r="N554" s="19" t="s">
        <v>1375</v>
      </c>
      <c r="O554" s="22">
        <f>IF(ISNUMBER(I554), EDATE(I554,36)-1, "")</f>
        <v>25569.375</v>
      </c>
      <c r="P554" s="9" t="s">
        <v>2073</v>
      </c>
      <c r="Q554" s="9" t="s">
        <v>166</v>
      </c>
      <c r="R554" s="9"/>
      <c r="S554" s="9"/>
      <c r="T554" s="9"/>
      <c r="U554" s="9"/>
      <c r="V554" s="9"/>
      <c r="W554" s="9"/>
      <c r="X554" s="9"/>
      <c r="Y554" s="9"/>
      <c r="Z554" s="9"/>
    </row>
    <row x14ac:dyDescent="0.25" r="555" customHeight="1" ht="18.75">
      <c r="A555" s="9"/>
      <c r="B555" s="18" t="s">
        <v>16</v>
      </c>
      <c r="C555" s="9" t="s">
        <v>2074</v>
      </c>
      <c r="D555" s="9" t="s">
        <v>2075</v>
      </c>
      <c r="E555" s="18" t="s">
        <v>2076</v>
      </c>
      <c r="F555" s="19">
        <v>30000000</v>
      </c>
      <c r="G555" s="20">
        <v>2028000</v>
      </c>
      <c r="H555" s="21">
        <v>46166</v>
      </c>
      <c r="I555" s="22">
        <f>IF(H555&gt;0,EDATE(H555,-2),"")</f>
        <v>25569.375</v>
      </c>
      <c r="J555" s="18" t="s">
        <v>217</v>
      </c>
      <c r="K555" s="18" t="s">
        <v>2077</v>
      </c>
      <c r="L555" s="23">
        <f>IF(E555&gt;0,E555,"")</f>
      </c>
      <c r="M555" s="19">
        <v>7507092229919</v>
      </c>
      <c r="N555" s="19">
        <v>65410410</v>
      </c>
      <c r="O555" s="22">
        <f>IF(ISNUMBER(I555), EDATE(I555,36)-1, "")</f>
        <v>25569.375</v>
      </c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x14ac:dyDescent="0.25" r="556" customHeight="1" ht="18.75">
      <c r="A556" s="9"/>
      <c r="B556" s="18" t="s">
        <v>16</v>
      </c>
      <c r="C556" s="9" t="s">
        <v>900</v>
      </c>
      <c r="D556" s="9" t="s">
        <v>2078</v>
      </c>
      <c r="E556" s="18" t="s">
        <v>2079</v>
      </c>
      <c r="F556" s="19">
        <v>10000000</v>
      </c>
      <c r="G556" s="20">
        <v>500000</v>
      </c>
      <c r="H556" s="21">
        <v>46198</v>
      </c>
      <c r="I556" s="22">
        <f>IF(H556&gt;0,EDATE(H556,-2),"")</f>
        <v>25569.375</v>
      </c>
      <c r="J556" s="18" t="s">
        <v>239</v>
      </c>
      <c r="K556" s="18" t="s">
        <v>2080</v>
      </c>
      <c r="L556" s="23">
        <f>IF(E556&gt;0,E556,"")</f>
      </c>
      <c r="M556" s="19" t="s">
        <v>2081</v>
      </c>
      <c r="N556" s="19">
        <v>90223882</v>
      </c>
      <c r="O556" s="22">
        <f>IF(ISNUMBER(I556), EDATE(I556,36)-1, "")</f>
        <v>25569.375</v>
      </c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x14ac:dyDescent="0.25" r="557" customHeight="1" ht="18.75">
      <c r="A557" s="9"/>
      <c r="B557" s="18" t="s">
        <v>16</v>
      </c>
      <c r="C557" s="18" t="s">
        <v>454</v>
      </c>
      <c r="D557" s="18" t="s">
        <v>647</v>
      </c>
      <c r="E557" s="18" t="s">
        <v>2082</v>
      </c>
      <c r="F557" s="20">
        <v>20000000</v>
      </c>
      <c r="G557" s="8">
        <f>IF(F557&gt;0,_xludf.IFS(F557=10000000,1200000,F557=20000000,1800000,F557=30000000,2400000,F557=60000000,4000000),"")</f>
      </c>
      <c r="H557" s="21">
        <v>46228</v>
      </c>
      <c r="I557" s="22">
        <f>IF(H557&gt;0,EDATE(H557,-2),"")</f>
        <v>25569.375</v>
      </c>
      <c r="J557" s="18" t="s">
        <v>239</v>
      </c>
      <c r="K557" s="18" t="s">
        <v>2083</v>
      </c>
      <c r="L557" s="23">
        <f>IF(E557&gt;0,E557,"")</f>
      </c>
      <c r="M557" s="19">
        <v>5912252047726</v>
      </c>
      <c r="N557" s="19">
        <v>62804467</v>
      </c>
      <c r="O557" s="22">
        <f>IF(ISNUMBER(I557), EDATE(I557,36)-1, "")</f>
        <v>25569.375</v>
      </c>
      <c r="P557" s="18"/>
      <c r="Q557" s="18"/>
      <c r="R557" s="9"/>
      <c r="S557" s="9"/>
      <c r="T557" s="9"/>
      <c r="U557" s="9"/>
      <c r="V557" s="9"/>
      <c r="W557" s="9"/>
      <c r="X557" s="9"/>
      <c r="Y557" s="9"/>
      <c r="Z557" s="9"/>
    </row>
    <row x14ac:dyDescent="0.25" r="558" customHeight="1" ht="18.75">
      <c r="A558" s="9"/>
      <c r="B558" s="18" t="s">
        <v>16</v>
      </c>
      <c r="C558" s="9"/>
      <c r="D558" s="9"/>
      <c r="E558" s="18" t="s">
        <v>94</v>
      </c>
      <c r="F558" s="19">
        <v>10000000</v>
      </c>
      <c r="G558" s="20">
        <v>800000</v>
      </c>
      <c r="H558" s="21">
        <v>45813</v>
      </c>
      <c r="I558" s="22">
        <f>IF(H558&gt;0,EDATE(H558,-2),"")</f>
        <v>25569.375</v>
      </c>
      <c r="J558" s="18" t="s">
        <v>161</v>
      </c>
      <c r="K558" s="18" t="s">
        <v>2084</v>
      </c>
      <c r="L558" s="23">
        <f>IF(E558&gt;0,E558,"")</f>
      </c>
      <c r="M558" s="19" t="s">
        <v>2085</v>
      </c>
      <c r="N558" s="19" t="s">
        <v>2086</v>
      </c>
      <c r="O558" s="22">
        <f>IF(ISNUMBER(I558), EDATE(I558,36)-1, "")</f>
        <v>25569.375</v>
      </c>
      <c r="P558" s="9" t="s">
        <v>95</v>
      </c>
      <c r="Q558" s="9" t="s">
        <v>179</v>
      </c>
      <c r="R558" s="9"/>
      <c r="S558" s="9"/>
      <c r="T558" s="9"/>
      <c r="U558" s="9"/>
      <c r="V558" s="9"/>
      <c r="W558" s="9"/>
      <c r="X558" s="9"/>
      <c r="Y558" s="9"/>
      <c r="Z558" s="9"/>
    </row>
    <row x14ac:dyDescent="0.25" r="559" customHeight="1" ht="18.75">
      <c r="A559" s="9"/>
      <c r="B559" s="18" t="s">
        <v>16</v>
      </c>
      <c r="C559" s="9"/>
      <c r="D559" s="9"/>
      <c r="E559" s="18" t="s">
        <v>2087</v>
      </c>
      <c r="F559" s="19">
        <v>10000000</v>
      </c>
      <c r="G559" s="20">
        <v>500000</v>
      </c>
      <c r="H559" s="21">
        <v>46034</v>
      </c>
      <c r="I559" s="22">
        <f>IF(H559&gt;0,EDATE(H559,-2),"")</f>
        <v>25569.375</v>
      </c>
      <c r="J559" s="18" t="s">
        <v>282</v>
      </c>
      <c r="K559" s="18" t="s">
        <v>2088</v>
      </c>
      <c r="L559" s="23">
        <f>IF(E559&gt;0,E559,"")</f>
      </c>
      <c r="M559" s="19" t="s">
        <v>2089</v>
      </c>
      <c r="N559" s="19" t="s">
        <v>2090</v>
      </c>
      <c r="O559" s="22">
        <f>IF(ISNUMBER(I559), EDATE(I559,36)-1, "")</f>
        <v>25569.375</v>
      </c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x14ac:dyDescent="0.25" r="560" customHeight="1" ht="18.75">
      <c r="A560" s="9"/>
      <c r="B560" s="18" t="s">
        <v>16</v>
      </c>
      <c r="C560" s="9" t="s">
        <v>96</v>
      </c>
      <c r="D560" s="9" t="s">
        <v>97</v>
      </c>
      <c r="E560" s="18" t="s">
        <v>98</v>
      </c>
      <c r="F560" s="19">
        <v>20000000</v>
      </c>
      <c r="G560" s="20">
        <v>1528000</v>
      </c>
      <c r="H560" s="21">
        <v>45748</v>
      </c>
      <c r="I560" s="22">
        <f>IF(H560&gt;0,EDATE(H560,-2),"")</f>
        <v>25569.375</v>
      </c>
      <c r="J560" s="18" t="s">
        <v>306</v>
      </c>
      <c r="K560" s="18" t="s">
        <v>2091</v>
      </c>
      <c r="L560" s="23">
        <f>IF(E560&gt;0,E560,"")</f>
      </c>
      <c r="M560" s="19" t="s">
        <v>2092</v>
      </c>
      <c r="N560" s="19" t="s">
        <v>2093</v>
      </c>
      <c r="O560" s="22">
        <f>IF(ISNUMBER(I560), EDATE(I560,36)-1, "")</f>
        <v>25569.375</v>
      </c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x14ac:dyDescent="0.25" r="561" customHeight="1" ht="18.75">
      <c r="A561" s="9" t="s">
        <v>63</v>
      </c>
      <c r="B561" s="18" t="s">
        <v>16</v>
      </c>
      <c r="C561" s="9" t="s">
        <v>48</v>
      </c>
      <c r="D561" s="9" t="s">
        <v>23</v>
      </c>
      <c r="E561" s="18" t="s">
        <v>2059</v>
      </c>
      <c r="F561" s="19">
        <v>20000000</v>
      </c>
      <c r="G561" s="20">
        <v>1800000</v>
      </c>
      <c r="H561" s="21">
        <v>46176</v>
      </c>
      <c r="I561" s="22">
        <f>IF(H561&gt;0,EDATE(H561,-2),"")</f>
        <v>25569.375</v>
      </c>
      <c r="J561" s="18" t="s">
        <v>161</v>
      </c>
      <c r="K561" s="18" t="s">
        <v>2094</v>
      </c>
      <c r="L561" s="23">
        <f>IF(E561&gt;0,E561,"")</f>
      </c>
      <c r="M561" s="19" t="s">
        <v>2095</v>
      </c>
      <c r="N561" s="19" t="s">
        <v>2096</v>
      </c>
      <c r="O561" s="22">
        <f>IF(ISNUMBER(I561), EDATE(I561,36)-1, "")</f>
        <v>25569.375</v>
      </c>
      <c r="P561" s="9"/>
      <c r="Q561" s="9" t="s">
        <v>166</v>
      </c>
      <c r="R561" s="9" t="s">
        <v>2097</v>
      </c>
      <c r="S561" s="9"/>
      <c r="T561" s="9"/>
      <c r="U561" s="9"/>
      <c r="V561" s="9"/>
      <c r="W561" s="9"/>
      <c r="X561" s="9"/>
      <c r="Y561" s="9"/>
      <c r="Z561" s="9"/>
    </row>
    <row x14ac:dyDescent="0.25" r="562" customHeight="1" ht="18.75">
      <c r="A562" s="9"/>
      <c r="B562" s="18" t="s">
        <v>16</v>
      </c>
      <c r="C562" s="9"/>
      <c r="D562" s="9"/>
      <c r="E562" s="18" t="s">
        <v>2098</v>
      </c>
      <c r="F562" s="19">
        <v>10000000</v>
      </c>
      <c r="G562" s="20">
        <v>500000</v>
      </c>
      <c r="H562" s="21">
        <v>46200</v>
      </c>
      <c r="I562" s="22">
        <f>IF(H562&gt;0,EDATE(H562,-2),"")</f>
        <v>25569.375</v>
      </c>
      <c r="J562" s="18" t="s">
        <v>217</v>
      </c>
      <c r="K562" s="18" t="s">
        <v>2099</v>
      </c>
      <c r="L562" s="23">
        <f>IF(E562&gt;0,E562,"")</f>
      </c>
      <c r="M562" s="19" t="s">
        <v>2100</v>
      </c>
      <c r="N562" s="19" t="s">
        <v>2101</v>
      </c>
      <c r="O562" s="22">
        <f>IF(ISNUMBER(I562), EDATE(I562,36)-1, "")</f>
        <v>25569.375</v>
      </c>
      <c r="P562" s="9" t="s">
        <v>2102</v>
      </c>
      <c r="Q562" s="9" t="s">
        <v>166</v>
      </c>
      <c r="R562" s="9"/>
      <c r="S562" s="9"/>
      <c r="T562" s="9"/>
      <c r="U562" s="9"/>
      <c r="V562" s="9"/>
      <c r="W562" s="9"/>
      <c r="X562" s="9"/>
      <c r="Y562" s="9"/>
      <c r="Z562" s="9"/>
    </row>
    <row x14ac:dyDescent="0.25" r="563" customHeight="1" ht="18.75">
      <c r="A563" s="9"/>
      <c r="B563" s="18" t="s">
        <v>16</v>
      </c>
      <c r="C563" s="9"/>
      <c r="D563" s="9"/>
      <c r="E563" s="18" t="s">
        <v>2103</v>
      </c>
      <c r="F563" s="19">
        <v>10000000</v>
      </c>
      <c r="G563" s="20">
        <v>800000</v>
      </c>
      <c r="H563" s="21">
        <v>46176</v>
      </c>
      <c r="I563" s="22">
        <f>IF(H563&gt;0,EDATE(H563,-2),"")</f>
        <v>25569.375</v>
      </c>
      <c r="J563" s="18" t="s">
        <v>2061</v>
      </c>
      <c r="K563" s="18" t="s">
        <v>2104</v>
      </c>
      <c r="L563" s="23">
        <f>IF(E563&gt;0,E563,"")</f>
      </c>
      <c r="M563" s="19" t="s">
        <v>2105</v>
      </c>
      <c r="N563" s="19" t="s">
        <v>2106</v>
      </c>
      <c r="O563" s="22">
        <f>IF(ISNUMBER(I563), EDATE(I563,36)-1, "")</f>
        <v>25569.375</v>
      </c>
      <c r="P563" s="9" t="s">
        <v>2107</v>
      </c>
      <c r="Q563" s="9" t="s">
        <v>166</v>
      </c>
      <c r="R563" s="9"/>
      <c r="S563" s="9"/>
      <c r="T563" s="9"/>
      <c r="U563" s="9"/>
      <c r="V563" s="9"/>
      <c r="W563" s="9"/>
      <c r="X563" s="9"/>
      <c r="Y563" s="9"/>
      <c r="Z563" s="9"/>
    </row>
    <row x14ac:dyDescent="0.25" r="564" customHeight="1" ht="18.75">
      <c r="A564" s="9"/>
      <c r="B564" s="18" t="s">
        <v>16</v>
      </c>
      <c r="C564" s="9"/>
      <c r="D564" s="9"/>
      <c r="E564" s="18" t="s">
        <v>2108</v>
      </c>
      <c r="F564" s="19">
        <v>10000000</v>
      </c>
      <c r="G564" s="20">
        <v>500000</v>
      </c>
      <c r="H564" s="21">
        <v>46172</v>
      </c>
      <c r="I564" s="22">
        <f>IF(H564&gt;0,EDATE(H564,-2),"")</f>
        <v>25569.375</v>
      </c>
      <c r="J564" s="18" t="s">
        <v>239</v>
      </c>
      <c r="K564" s="18" t="s">
        <v>2109</v>
      </c>
      <c r="L564" s="23">
        <f>IF(E564&gt;0,E564,"")</f>
      </c>
      <c r="M564" s="19" t="s">
        <v>2110</v>
      </c>
      <c r="N564" s="19" t="s">
        <v>2111</v>
      </c>
      <c r="O564" s="22">
        <f>IF(ISNUMBER(I564), EDATE(I564,36)-1, "")</f>
        <v>25569.375</v>
      </c>
      <c r="P564" s="9" t="s">
        <v>2112</v>
      </c>
      <c r="Q564" s="9" t="s">
        <v>166</v>
      </c>
      <c r="R564" s="9"/>
      <c r="S564" s="9"/>
      <c r="T564" s="9"/>
      <c r="U564" s="9"/>
      <c r="V564" s="9"/>
      <c r="W564" s="9"/>
      <c r="X564" s="9"/>
      <c r="Y564" s="9"/>
      <c r="Z564" s="9"/>
    </row>
    <row x14ac:dyDescent="0.25" r="565" customHeight="1" ht="18.75">
      <c r="A565" s="9"/>
      <c r="B565" s="18" t="s">
        <v>16</v>
      </c>
      <c r="C565" s="9"/>
      <c r="D565" s="9"/>
      <c r="E565" s="18" t="s">
        <v>2113</v>
      </c>
      <c r="F565" s="19">
        <v>20000000</v>
      </c>
      <c r="G565" s="20">
        <v>1528000</v>
      </c>
      <c r="H565" s="21">
        <v>46064</v>
      </c>
      <c r="I565" s="22">
        <f>IF(H565&gt;0,EDATE(H565,-2),"")</f>
        <v>25569.375</v>
      </c>
      <c r="J565" s="18" t="s">
        <v>239</v>
      </c>
      <c r="K565" s="18" t="s">
        <v>2114</v>
      </c>
      <c r="L565" s="23">
        <f>IF(E565&gt;0,E565,"")</f>
      </c>
      <c r="M565" s="19" t="s">
        <v>2115</v>
      </c>
      <c r="N565" s="19" t="s">
        <v>2116</v>
      </c>
      <c r="O565" s="22">
        <f>IF(ISNUMBER(I565), EDATE(I565,36)-1, "")</f>
        <v>25569.375</v>
      </c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x14ac:dyDescent="0.25" r="566" customHeight="1" ht="18.75">
      <c r="A566" s="9"/>
      <c r="B566" s="18" t="s">
        <v>16</v>
      </c>
      <c r="C566" s="9"/>
      <c r="D566" s="9"/>
      <c r="E566" s="18" t="s">
        <v>2117</v>
      </c>
      <c r="F566" s="19">
        <v>10000000</v>
      </c>
      <c r="G566" s="20">
        <v>800000</v>
      </c>
      <c r="H566" s="21">
        <v>46091</v>
      </c>
      <c r="I566" s="22">
        <f>IF(H566&gt;0,EDATE(H566,-2),"")</f>
        <v>25569.375</v>
      </c>
      <c r="J566" s="18" t="s">
        <v>205</v>
      </c>
      <c r="K566" s="18" t="s">
        <v>2118</v>
      </c>
      <c r="L566" s="23">
        <f>IF(E566&gt;0,E566,"")</f>
      </c>
      <c r="M566" s="19" t="s">
        <v>2119</v>
      </c>
      <c r="N566" s="19" t="s">
        <v>2120</v>
      </c>
      <c r="O566" s="22">
        <f>IF(ISNUMBER(I566), EDATE(I566,36)-1, "")</f>
        <v>25569.375</v>
      </c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x14ac:dyDescent="0.25" r="567" customHeight="1" ht="18.75">
      <c r="A567" s="9"/>
      <c r="B567" s="18" t="s">
        <v>16</v>
      </c>
      <c r="C567" s="9"/>
      <c r="D567" s="9"/>
      <c r="E567" s="18" t="s">
        <v>1978</v>
      </c>
      <c r="F567" s="19">
        <v>10000000</v>
      </c>
      <c r="G567" s="20">
        <v>800000</v>
      </c>
      <c r="H567" s="21">
        <v>46081</v>
      </c>
      <c r="I567" s="22">
        <f>IF(H567&gt;0,EDATE(H567,-2),"")</f>
        <v>25569.375</v>
      </c>
      <c r="J567" s="18" t="s">
        <v>168</v>
      </c>
      <c r="K567" s="18" t="s">
        <v>2121</v>
      </c>
      <c r="L567" s="23">
        <f>IF(E567&gt;0,E567,"")</f>
      </c>
      <c r="M567" s="19" t="s">
        <v>2122</v>
      </c>
      <c r="N567" s="19" t="s">
        <v>2123</v>
      </c>
      <c r="O567" s="22">
        <f>IF(ISNUMBER(I567), EDATE(I567,36)-1, "")</f>
        <v>25569.375</v>
      </c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x14ac:dyDescent="0.25" r="568" customHeight="1" ht="18.75">
      <c r="A568" s="9"/>
      <c r="B568" s="18" t="s">
        <v>16</v>
      </c>
      <c r="C568" s="9"/>
      <c r="D568" s="9"/>
      <c r="E568" s="18" t="s">
        <v>2124</v>
      </c>
      <c r="F568" s="19">
        <v>20000000</v>
      </c>
      <c r="G568" s="20">
        <v>1528000</v>
      </c>
      <c r="H568" s="21">
        <v>46015</v>
      </c>
      <c r="I568" s="22">
        <f>IF(H568&gt;0,EDATE(H568,-2),"")</f>
        <v>25569.375</v>
      </c>
      <c r="J568" s="18" t="s">
        <v>155</v>
      </c>
      <c r="K568" s="18" t="s">
        <v>2125</v>
      </c>
      <c r="L568" s="23">
        <f>IF(E568&gt;0,E568,"")</f>
      </c>
      <c r="M568" s="19" t="s">
        <v>2126</v>
      </c>
      <c r="N568" s="19" t="s">
        <v>2127</v>
      </c>
      <c r="O568" s="22">
        <f>IF(ISNUMBER(I568), EDATE(I568,36)-1, "")</f>
        <v>25569.375</v>
      </c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x14ac:dyDescent="0.25" r="569" customHeight="1" ht="18.75">
      <c r="A569" s="9"/>
      <c r="B569" s="18" t="s">
        <v>16</v>
      </c>
      <c r="C569" s="9"/>
      <c r="D569" s="9"/>
      <c r="E569" s="18" t="s">
        <v>2128</v>
      </c>
      <c r="F569" s="19">
        <v>30000000</v>
      </c>
      <c r="G569" s="20">
        <v>2400000</v>
      </c>
      <c r="H569" s="21">
        <v>45930</v>
      </c>
      <c r="I569" s="22">
        <f>IF(H569&gt;0,EDATE(H569,-2),"")</f>
        <v>25569.375</v>
      </c>
      <c r="J569" s="18" t="s">
        <v>182</v>
      </c>
      <c r="K569" s="18" t="s">
        <v>2129</v>
      </c>
      <c r="L569" s="23">
        <f>IF(E569&gt;0,E569,"")</f>
      </c>
      <c r="M569" s="19" t="s">
        <v>2130</v>
      </c>
      <c r="N569" s="19" t="s">
        <v>2131</v>
      </c>
      <c r="O569" s="22">
        <f>IF(ISNUMBER(I569), EDATE(I569,36)-1, "")</f>
        <v>25569.375</v>
      </c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x14ac:dyDescent="0.25" r="570" customHeight="1" ht="18.75">
      <c r="A570" s="9"/>
      <c r="B570" s="18" t="s">
        <v>16</v>
      </c>
      <c r="C570" s="9"/>
      <c r="D570" s="9"/>
      <c r="E570" s="18" t="s">
        <v>2128</v>
      </c>
      <c r="F570" s="19">
        <v>10000000</v>
      </c>
      <c r="G570" s="20">
        <v>800000</v>
      </c>
      <c r="H570" s="21">
        <v>46016</v>
      </c>
      <c r="I570" s="22">
        <f>IF(H570&gt;0,EDATE(H570,-2),"")</f>
        <v>25569.375</v>
      </c>
      <c r="J570" s="18" t="s">
        <v>302</v>
      </c>
      <c r="K570" s="18" t="s">
        <v>2132</v>
      </c>
      <c r="L570" s="23">
        <f>IF(E570&gt;0,E570,"")</f>
      </c>
      <c r="M570" s="19" t="s">
        <v>2133</v>
      </c>
      <c r="N570" s="19" t="s">
        <v>2134</v>
      </c>
      <c r="O570" s="22">
        <f>IF(ISNUMBER(I570), EDATE(I570,36)-1, "")</f>
        <v>25569.375</v>
      </c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x14ac:dyDescent="0.25" r="571" customHeight="1" ht="18.75">
      <c r="A571" s="9"/>
      <c r="B571" s="18" t="s">
        <v>16</v>
      </c>
      <c r="C571" s="9"/>
      <c r="D571" s="9"/>
      <c r="E571" s="18" t="s">
        <v>2135</v>
      </c>
      <c r="F571" s="19">
        <v>20000000</v>
      </c>
      <c r="G571" s="20">
        <v>1528000</v>
      </c>
      <c r="H571" s="21">
        <v>46093</v>
      </c>
      <c r="I571" s="22">
        <f>IF(H571&gt;0,EDATE(H571,-2),"")</f>
        <v>25569.375</v>
      </c>
      <c r="J571" s="18" t="s">
        <v>699</v>
      </c>
      <c r="K571" s="18" t="s">
        <v>2136</v>
      </c>
      <c r="L571" s="23">
        <f>IF(E571&gt;0,E571,"")</f>
      </c>
      <c r="M571" s="19" t="s">
        <v>2137</v>
      </c>
      <c r="N571" s="19" t="s">
        <v>2138</v>
      </c>
      <c r="O571" s="22">
        <f>IF(ISNUMBER(I571), EDATE(I571,36)-1, "")</f>
        <v>25569.375</v>
      </c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x14ac:dyDescent="0.25" r="572" customHeight="1" ht="18.75">
      <c r="A572" s="9"/>
      <c r="B572" s="18" t="s">
        <v>16</v>
      </c>
      <c r="C572" s="9" t="s">
        <v>410</v>
      </c>
      <c r="D572" s="9" t="s">
        <v>534</v>
      </c>
      <c r="E572" s="18" t="s">
        <v>2139</v>
      </c>
      <c r="F572" s="19">
        <v>30000000</v>
      </c>
      <c r="G572" s="20">
        <v>2028000</v>
      </c>
      <c r="H572" s="21">
        <v>46191</v>
      </c>
      <c r="I572" s="22">
        <f>IF(H572&gt;0,EDATE(H572,-2),"")</f>
        <v>25569.375</v>
      </c>
      <c r="J572" s="18" t="s">
        <v>302</v>
      </c>
      <c r="K572" s="18" t="s">
        <v>2140</v>
      </c>
      <c r="L572" s="23">
        <f>IF(E572&gt;0,E572,"")</f>
      </c>
      <c r="M572" s="19">
        <v>7409032481616</v>
      </c>
      <c r="N572" s="19">
        <v>90741734</v>
      </c>
      <c r="O572" s="22">
        <f>IF(ISNUMBER(I572), EDATE(I572,36)-1, "")</f>
        <v>25569.375</v>
      </c>
      <c r="P572" s="9"/>
      <c r="Q572" s="9"/>
      <c r="R572" s="9" t="s">
        <v>2141</v>
      </c>
      <c r="S572" s="9"/>
      <c r="T572" s="9"/>
      <c r="U572" s="9"/>
      <c r="V572" s="9"/>
      <c r="W572" s="9"/>
      <c r="X572" s="9"/>
      <c r="Y572" s="9"/>
      <c r="Z572" s="9"/>
    </row>
    <row x14ac:dyDescent="0.25" r="573" customHeight="1" ht="18.75">
      <c r="A573" s="9"/>
      <c r="B573" s="18" t="s">
        <v>16</v>
      </c>
      <c r="C573" s="9"/>
      <c r="D573" s="9"/>
      <c r="E573" s="18" t="s">
        <v>2142</v>
      </c>
      <c r="F573" s="19">
        <v>20000000</v>
      </c>
      <c r="G573" s="20">
        <v>1528000</v>
      </c>
      <c r="H573" s="21">
        <v>45985</v>
      </c>
      <c r="I573" s="22">
        <f>IF(H573&gt;0,EDATE(H573,-2),"")</f>
        <v>25569.375</v>
      </c>
      <c r="J573" s="18" t="s">
        <v>217</v>
      </c>
      <c r="K573" s="18" t="s">
        <v>2143</v>
      </c>
      <c r="L573" s="23">
        <f>IF(E573&gt;0,E573,"")</f>
      </c>
      <c r="M573" s="19" t="s">
        <v>2144</v>
      </c>
      <c r="N573" s="19" t="s">
        <v>2145</v>
      </c>
      <c r="O573" s="22">
        <f>IF(ISNUMBER(I573), EDATE(I573,36)-1, "")</f>
        <v>25569.375</v>
      </c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x14ac:dyDescent="0.25" r="574" customHeight="1" ht="18.75">
      <c r="A574" s="24"/>
      <c r="B574" s="25" t="s">
        <v>16</v>
      </c>
      <c r="C574" s="24"/>
      <c r="D574" s="24"/>
      <c r="E574" s="25" t="s">
        <v>2146</v>
      </c>
      <c r="F574" s="26">
        <v>30000000</v>
      </c>
      <c r="G574" s="27">
        <v>2028000</v>
      </c>
      <c r="H574" s="28">
        <v>46166</v>
      </c>
      <c r="I574" s="29">
        <v>46071</v>
      </c>
      <c r="J574" s="25" t="s">
        <v>580</v>
      </c>
      <c r="K574" s="25" t="s">
        <v>2147</v>
      </c>
      <c r="L574" s="30">
        <f>IF(E574&gt;0,E574,"")</f>
      </c>
      <c r="M574" s="26" t="s">
        <v>2148</v>
      </c>
      <c r="N574" s="26" t="s">
        <v>2149</v>
      </c>
      <c r="O574" s="29">
        <f>IF(ISNUMBER(I574), EDATE(I574,36)-1, "")</f>
        <v>25569.375</v>
      </c>
      <c r="P574" s="24" t="s">
        <v>2150</v>
      </c>
      <c r="Q574" s="24" t="s">
        <v>166</v>
      </c>
      <c r="R574" s="24" t="s">
        <v>2151</v>
      </c>
      <c r="S574" s="9"/>
      <c r="T574" s="9"/>
      <c r="U574" s="9"/>
      <c r="V574" s="9"/>
      <c r="W574" s="9"/>
      <c r="X574" s="9"/>
      <c r="Y574" s="9"/>
      <c r="Z574" s="9"/>
    </row>
    <row x14ac:dyDescent="0.25" r="575" customHeight="1" ht="18.75">
      <c r="A575" s="9" t="s">
        <v>275</v>
      </c>
      <c r="B575" s="18" t="s">
        <v>16</v>
      </c>
      <c r="C575" s="9"/>
      <c r="D575" s="9"/>
      <c r="E575" s="18" t="s">
        <v>2152</v>
      </c>
      <c r="F575" s="19">
        <v>10000000</v>
      </c>
      <c r="G575" s="20">
        <v>800000</v>
      </c>
      <c r="H575" s="21">
        <v>46192</v>
      </c>
      <c r="I575" s="22">
        <f>IF(H575&gt;0,EDATE(H575,-2),"")</f>
        <v>25569.375</v>
      </c>
      <c r="J575" s="18" t="s">
        <v>205</v>
      </c>
      <c r="K575" s="18" t="s">
        <v>2153</v>
      </c>
      <c r="L575" s="23">
        <f>IF(E575&gt;0,E575,"")</f>
      </c>
      <c r="M575" s="19" t="s">
        <v>2154</v>
      </c>
      <c r="N575" s="19" t="s">
        <v>1808</v>
      </c>
      <c r="O575" s="22">
        <f>IF(ISNUMBER(I575), EDATE(I575,36)-1, "")</f>
        <v>25569.375</v>
      </c>
      <c r="P575" s="9" t="s">
        <v>85</v>
      </c>
      <c r="Q575" s="9" t="s">
        <v>166</v>
      </c>
      <c r="R575" s="9" t="s">
        <v>2155</v>
      </c>
      <c r="S575" s="9"/>
      <c r="T575" s="9"/>
      <c r="U575" s="9"/>
      <c r="V575" s="9"/>
      <c r="W575" s="9"/>
      <c r="X575" s="9"/>
      <c r="Y575" s="9"/>
      <c r="Z575" s="9"/>
    </row>
    <row x14ac:dyDescent="0.25" r="576" customHeight="1" ht="18.75">
      <c r="A576" s="9"/>
      <c r="B576" s="18" t="s">
        <v>16</v>
      </c>
      <c r="C576" s="9"/>
      <c r="D576" s="9"/>
      <c r="E576" s="18" t="s">
        <v>2156</v>
      </c>
      <c r="F576" s="19">
        <v>10000000</v>
      </c>
      <c r="G576" s="20"/>
      <c r="H576" s="21">
        <v>46156</v>
      </c>
      <c r="I576" s="22">
        <f>IF(H576&gt;0,EDATE(H576,-2),"")</f>
        <v>25569.375</v>
      </c>
      <c r="J576" s="18" t="s">
        <v>205</v>
      </c>
      <c r="K576" s="18" t="s">
        <v>711</v>
      </c>
      <c r="L576" s="23">
        <f>IF(E576&gt;0,E576,"")</f>
      </c>
      <c r="M576" s="19" t="s">
        <v>2157</v>
      </c>
      <c r="N576" s="19" t="s">
        <v>2158</v>
      </c>
      <c r="O576" s="22">
        <f>IF(ISNUMBER(I576), EDATE(I576,36)-1, "")</f>
        <v>25569.375</v>
      </c>
      <c r="P576" s="9" t="s">
        <v>2159</v>
      </c>
      <c r="Q576" s="9" t="s">
        <v>166</v>
      </c>
      <c r="R576" s="9" t="s">
        <v>2160</v>
      </c>
      <c r="S576" s="9"/>
      <c r="T576" s="9"/>
      <c r="U576" s="9"/>
      <c r="V576" s="9"/>
      <c r="W576" s="9"/>
      <c r="X576" s="9"/>
      <c r="Y576" s="9"/>
      <c r="Z576" s="9"/>
    </row>
    <row x14ac:dyDescent="0.25" r="577" customHeight="1" ht="18.75">
      <c r="A577" s="9" t="s">
        <v>152</v>
      </c>
      <c r="B577" s="18" t="s">
        <v>16</v>
      </c>
      <c r="C577" s="9" t="s">
        <v>153</v>
      </c>
      <c r="D577" s="9" t="s">
        <v>154</v>
      </c>
      <c r="E577" s="18" t="s">
        <v>2156</v>
      </c>
      <c r="F577" s="19">
        <v>60000000</v>
      </c>
      <c r="G577" s="20">
        <v>4056000</v>
      </c>
      <c r="H577" s="21">
        <v>46156</v>
      </c>
      <c r="I577" s="22">
        <f>IF(H577&gt;0,EDATE(H577,-2),"")</f>
        <v>25569.375</v>
      </c>
      <c r="J577" s="18" t="s">
        <v>205</v>
      </c>
      <c r="K577" s="18" t="s">
        <v>711</v>
      </c>
      <c r="L577" s="23">
        <f>IF(E577&gt;0,E577,"")</f>
      </c>
      <c r="M577" s="19" t="s">
        <v>2157</v>
      </c>
      <c r="N577" s="19" t="s">
        <v>2158</v>
      </c>
      <c r="O577" s="22">
        <f>IF(ISNUMBER(I577), EDATE(I577,36)-1, "")</f>
        <v>25569.375</v>
      </c>
      <c r="P577" s="9"/>
      <c r="Q577" s="9"/>
      <c r="R577" s="9" t="s">
        <v>2161</v>
      </c>
      <c r="S577" s="9"/>
      <c r="T577" s="9"/>
      <c r="U577" s="9"/>
      <c r="V577" s="9"/>
      <c r="W577" s="9"/>
      <c r="X577" s="9"/>
      <c r="Y577" s="9"/>
      <c r="Z577" s="9"/>
    </row>
    <row x14ac:dyDescent="0.25" r="578" customHeight="1" ht="18.75">
      <c r="A578" s="9"/>
      <c r="B578" s="18" t="s">
        <v>16</v>
      </c>
      <c r="C578" s="9" t="s">
        <v>737</v>
      </c>
      <c r="D578" s="9" t="s">
        <v>357</v>
      </c>
      <c r="E578" s="18" t="s">
        <v>2162</v>
      </c>
      <c r="F578" s="19">
        <v>10000000</v>
      </c>
      <c r="G578" s="20">
        <v>800000</v>
      </c>
      <c r="H578" s="21">
        <v>46179</v>
      </c>
      <c r="I578" s="22">
        <f>IF(H578&gt;0,EDATE(H578,-2),"")</f>
        <v>25569.375</v>
      </c>
      <c r="J578" s="18" t="s">
        <v>239</v>
      </c>
      <c r="K578" s="18" t="s">
        <v>2163</v>
      </c>
      <c r="L578" s="23">
        <f>IF(E578&gt;0,E578,"")</f>
      </c>
      <c r="M578" s="19">
        <v>8701102183017</v>
      </c>
      <c r="N578" s="19">
        <v>56789801</v>
      </c>
      <c r="O578" s="22">
        <f>IF(ISNUMBER(I578), EDATE(I578,36)-1, "")</f>
        <v>25569.375</v>
      </c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x14ac:dyDescent="0.25" r="579" customHeight="1" ht="18.75">
      <c r="A579" s="9"/>
      <c r="B579" s="18" t="s">
        <v>16</v>
      </c>
      <c r="C579" s="9"/>
      <c r="D579" s="9"/>
      <c r="E579" s="18" t="s">
        <v>2164</v>
      </c>
      <c r="F579" s="19">
        <v>20000000</v>
      </c>
      <c r="G579" s="20">
        <v>1528000</v>
      </c>
      <c r="H579" s="21">
        <v>46051</v>
      </c>
      <c r="I579" s="22">
        <f>IF(H579&gt;0,EDATE(H579,-2),"")</f>
        <v>25569.375</v>
      </c>
      <c r="J579" s="18" t="s">
        <v>222</v>
      </c>
      <c r="K579" s="18" t="s">
        <v>2165</v>
      </c>
      <c r="L579" s="23">
        <f>IF(E579&gt;0,E579,"")</f>
      </c>
      <c r="M579" s="19" t="s">
        <v>2166</v>
      </c>
      <c r="N579" s="19" t="s">
        <v>2167</v>
      </c>
      <c r="O579" s="22">
        <f>IF(ISNUMBER(I579), EDATE(I579,36)-1, "")</f>
        <v>25569.375</v>
      </c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x14ac:dyDescent="0.25" r="580" customHeight="1" ht="18.75">
      <c r="A580" s="9"/>
      <c r="B580" s="18" t="s">
        <v>16</v>
      </c>
      <c r="C580" s="9"/>
      <c r="D580" s="9" t="s">
        <v>18</v>
      </c>
      <c r="E580" s="18" t="s">
        <v>99</v>
      </c>
      <c r="F580" s="19">
        <v>30000000</v>
      </c>
      <c r="G580" s="20">
        <v>2400000</v>
      </c>
      <c r="H580" s="21">
        <v>45636</v>
      </c>
      <c r="I580" s="22">
        <f>IF(H580&gt;0,EDATE(H580,-2),"")</f>
        <v>25569.375</v>
      </c>
      <c r="J580" s="18" t="s">
        <v>217</v>
      </c>
      <c r="K580" s="18" t="s">
        <v>2168</v>
      </c>
      <c r="L580" s="23">
        <f>IF(E580&gt;0,E580,"")</f>
      </c>
      <c r="M580" s="19" t="s">
        <v>2169</v>
      </c>
      <c r="N580" s="19" t="s">
        <v>2170</v>
      </c>
      <c r="O580" s="22">
        <f>IF(ISNUMBER(I580), EDATE(I580,36)-1, "")</f>
        <v>25569.375</v>
      </c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x14ac:dyDescent="0.25" r="581" customHeight="1" ht="18.75">
      <c r="A581" s="9"/>
      <c r="B581" s="18" t="s">
        <v>16</v>
      </c>
      <c r="C581" s="9" t="s">
        <v>143</v>
      </c>
      <c r="D581" s="9" t="s">
        <v>14</v>
      </c>
      <c r="E581" s="18" t="s">
        <v>2171</v>
      </c>
      <c r="F581" s="19">
        <v>10000000</v>
      </c>
      <c r="G581" s="20">
        <v>1200000</v>
      </c>
      <c r="H581" s="21">
        <v>46190</v>
      </c>
      <c r="I581" s="22">
        <f>IF(H581&gt;0,EDATE(H581,-2),"")</f>
        <v>25569.375</v>
      </c>
      <c r="J581" s="18" t="s">
        <v>168</v>
      </c>
      <c r="K581" s="18" t="s">
        <v>2172</v>
      </c>
      <c r="L581" s="23">
        <f>IF(E581&gt;0,E581,"")</f>
      </c>
      <c r="M581" s="19" t="s">
        <v>2173</v>
      </c>
      <c r="N581" s="19" t="s">
        <v>2174</v>
      </c>
      <c r="O581" s="22">
        <f>IF(ISNUMBER(I581), EDATE(I581,36)-1, "")</f>
        <v>25569.375</v>
      </c>
      <c r="P581" s="9" t="s">
        <v>2175</v>
      </c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x14ac:dyDescent="0.25" r="582" customHeight="1" ht="18.75">
      <c r="A582" s="9" t="s">
        <v>275</v>
      </c>
      <c r="B582" s="18" t="s">
        <v>16</v>
      </c>
      <c r="C582" s="9" t="s">
        <v>816</v>
      </c>
      <c r="D582" s="9" t="s">
        <v>114</v>
      </c>
      <c r="E582" s="18" t="s">
        <v>2176</v>
      </c>
      <c r="F582" s="19">
        <v>20000000</v>
      </c>
      <c r="G582" s="20">
        <v>1000000</v>
      </c>
      <c r="H582" s="21">
        <v>46118</v>
      </c>
      <c r="I582" s="22">
        <f>IF(H582&gt;0,EDATE(H582,-2),"")</f>
        <v>25569.375</v>
      </c>
      <c r="J582" s="18" t="s">
        <v>168</v>
      </c>
      <c r="K582" s="18" t="s">
        <v>2177</v>
      </c>
      <c r="L582" s="23">
        <f>IF(E582&gt;0,E582,"")</f>
      </c>
      <c r="M582" s="19" t="s">
        <v>2178</v>
      </c>
      <c r="N582" s="19" t="s">
        <v>2179</v>
      </c>
      <c r="O582" s="22">
        <f>IF(ISNUMBER(I582), EDATE(I582,36)-1, "")</f>
        <v>25569.375</v>
      </c>
      <c r="P582" s="9"/>
      <c r="Q582" s="9"/>
      <c r="R582" s="9" t="s">
        <v>2180</v>
      </c>
      <c r="S582" s="9"/>
      <c r="T582" s="9"/>
      <c r="U582" s="9"/>
      <c r="V582" s="9"/>
      <c r="W582" s="9"/>
      <c r="X582" s="9"/>
      <c r="Y582" s="9"/>
      <c r="Z582" s="9"/>
    </row>
    <row x14ac:dyDescent="0.25" r="583" customHeight="1" ht="18.75">
      <c r="A583" s="9"/>
      <c r="B583" s="18" t="s">
        <v>16</v>
      </c>
      <c r="C583" s="9"/>
      <c r="D583" s="9"/>
      <c r="E583" s="18" t="s">
        <v>2181</v>
      </c>
      <c r="F583" s="19">
        <v>10000000</v>
      </c>
      <c r="G583" s="20"/>
      <c r="H583" s="21">
        <v>46166</v>
      </c>
      <c r="I583" s="22">
        <f>IF(H583&gt;0,EDATE(H583,-2),"")</f>
        <v>25569.375</v>
      </c>
      <c r="J583" s="18" t="s">
        <v>205</v>
      </c>
      <c r="K583" s="18" t="s">
        <v>711</v>
      </c>
      <c r="L583" s="23">
        <f>IF(E583&gt;0,E583,"")</f>
      </c>
      <c r="M583" s="19" t="s">
        <v>2182</v>
      </c>
      <c r="N583" s="19" t="s">
        <v>2183</v>
      </c>
      <c r="O583" s="22">
        <f>IF(ISNUMBER(I583), EDATE(I583,36)-1, "")</f>
        <v>25569.375</v>
      </c>
      <c r="P583" s="9" t="s">
        <v>2184</v>
      </c>
      <c r="Q583" s="9"/>
      <c r="R583" s="9" t="s">
        <v>1856</v>
      </c>
      <c r="S583" s="9"/>
      <c r="T583" s="9"/>
      <c r="U583" s="9"/>
      <c r="V583" s="9"/>
      <c r="W583" s="9"/>
      <c r="X583" s="9"/>
      <c r="Y583" s="9"/>
      <c r="Z583" s="9"/>
    </row>
    <row x14ac:dyDescent="0.25" r="584" customHeight="1" ht="18.75">
      <c r="A584" s="9" t="s">
        <v>275</v>
      </c>
      <c r="B584" s="18" t="s">
        <v>16</v>
      </c>
      <c r="C584" s="9"/>
      <c r="D584" s="9"/>
      <c r="E584" s="18" t="s">
        <v>2181</v>
      </c>
      <c r="F584" s="19">
        <v>10000000</v>
      </c>
      <c r="G584" s="20"/>
      <c r="H584" s="21">
        <v>46166</v>
      </c>
      <c r="I584" s="22">
        <f>IF(H584&gt;0,EDATE(H584,-2),"")</f>
        <v>25569.375</v>
      </c>
      <c r="J584" s="18" t="s">
        <v>205</v>
      </c>
      <c r="K584" s="18" t="s">
        <v>711</v>
      </c>
      <c r="L584" s="23">
        <f>IF(E584&gt;0,E584,"")</f>
      </c>
      <c r="M584" s="19" t="s">
        <v>2182</v>
      </c>
      <c r="N584" s="19">
        <v>67515034</v>
      </c>
      <c r="O584" s="22">
        <f>IF(ISNUMBER(I584), EDATE(I584,36)-1, "")</f>
        <v>25569.375</v>
      </c>
      <c r="P584" s="9"/>
      <c r="Q584" s="9"/>
      <c r="R584" s="9" t="s">
        <v>715</v>
      </c>
      <c r="S584" s="9"/>
      <c r="T584" s="9"/>
      <c r="U584" s="9"/>
      <c r="V584" s="9"/>
      <c r="W584" s="9"/>
      <c r="X584" s="9"/>
      <c r="Y584" s="9"/>
      <c r="Z584" s="9"/>
    </row>
    <row x14ac:dyDescent="0.25" r="585" customHeight="1" ht="18.75">
      <c r="A585" s="9"/>
      <c r="B585" s="18" t="s">
        <v>16</v>
      </c>
      <c r="C585" s="9"/>
      <c r="D585" s="9"/>
      <c r="E585" s="18" t="s">
        <v>2185</v>
      </c>
      <c r="F585" s="19">
        <v>10000000</v>
      </c>
      <c r="G585" s="20">
        <v>800000</v>
      </c>
      <c r="H585" s="21">
        <v>46041</v>
      </c>
      <c r="I585" s="22">
        <f>IF(H585&gt;0,EDATE(H585,-2),"")</f>
        <v>25569.375</v>
      </c>
      <c r="J585" s="18" t="s">
        <v>205</v>
      </c>
      <c r="K585" s="18" t="s">
        <v>2186</v>
      </c>
      <c r="L585" s="23">
        <f>IF(E585&gt;0,E585,"")</f>
      </c>
      <c r="M585" s="19" t="s">
        <v>2187</v>
      </c>
      <c r="N585" s="19">
        <v>24520756</v>
      </c>
      <c r="O585" s="22">
        <f>IF(ISNUMBER(I585), EDATE(I585,36)-1, "")</f>
        <v>25569.375</v>
      </c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x14ac:dyDescent="0.25" r="586" customHeight="1" ht="18.75">
      <c r="A586" s="9"/>
      <c r="B586" s="18" t="s">
        <v>16</v>
      </c>
      <c r="C586" s="18" t="s">
        <v>419</v>
      </c>
      <c r="D586" s="18" t="s">
        <v>1978</v>
      </c>
      <c r="E586" s="18" t="s">
        <v>2188</v>
      </c>
      <c r="F586" s="20">
        <v>10000000</v>
      </c>
      <c r="G586" s="8">
        <f>IF(F586&gt;0,_xludf.IFS(F586=10000000,1200000,F586=20000000,1800000,F586=30000000,2400000,F586=60000000,4000000),"")</f>
      </c>
      <c r="H586" s="21">
        <v>46238</v>
      </c>
      <c r="I586" s="22">
        <f>IF(H586&gt;0,EDATE(H586,-2),"")</f>
        <v>25569.375</v>
      </c>
      <c r="J586" s="18" t="s">
        <v>168</v>
      </c>
      <c r="K586" s="18" t="s">
        <v>2189</v>
      </c>
      <c r="L586" s="23">
        <f>IF(E586&gt;0,E586,"")</f>
      </c>
      <c r="M586" s="19">
        <v>6505272472114</v>
      </c>
      <c r="N586" s="19">
        <v>43340019</v>
      </c>
      <c r="O586" s="22">
        <f>IF(ISNUMBER(I586), EDATE(I586,36)-1, "")</f>
        <v>25569.375</v>
      </c>
      <c r="P586" s="18"/>
      <c r="Q586" s="18"/>
      <c r="R586" s="9"/>
      <c r="S586" s="9"/>
      <c r="T586" s="9"/>
      <c r="U586" s="9"/>
      <c r="V586" s="9"/>
      <c r="W586" s="9"/>
      <c r="X586" s="9"/>
      <c r="Y586" s="9"/>
      <c r="Z586" s="9"/>
    </row>
    <row x14ac:dyDescent="0.25" r="587" customHeight="1" ht="18.75">
      <c r="A587" s="9"/>
      <c r="B587" s="18" t="s">
        <v>16</v>
      </c>
      <c r="C587" s="9"/>
      <c r="D587" s="9"/>
      <c r="E587" s="18" t="s">
        <v>2190</v>
      </c>
      <c r="F587" s="19">
        <v>10000000</v>
      </c>
      <c r="G587" s="20">
        <v>800000</v>
      </c>
      <c r="H587" s="21">
        <v>46029</v>
      </c>
      <c r="I587" s="22">
        <f>IF(H587&gt;0,EDATE(H587,-2),"")</f>
        <v>25569.375</v>
      </c>
      <c r="J587" s="18" t="s">
        <v>306</v>
      </c>
      <c r="K587" s="18" t="s">
        <v>2191</v>
      </c>
      <c r="L587" s="23">
        <f>IF(E587&gt;0,E587,"")</f>
      </c>
      <c r="M587" s="19" t="s">
        <v>2192</v>
      </c>
      <c r="N587" s="19" t="s">
        <v>2193</v>
      </c>
      <c r="O587" s="22">
        <f>IF(ISNUMBER(I587), EDATE(I587,36)-1, "")</f>
        <v>25569.375</v>
      </c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x14ac:dyDescent="0.25" r="588" customHeight="1" ht="18.75">
      <c r="A588" s="24" t="s">
        <v>275</v>
      </c>
      <c r="B588" s="25" t="s">
        <v>16</v>
      </c>
      <c r="C588" s="24"/>
      <c r="D588" s="24"/>
      <c r="E588" s="25" t="s">
        <v>2194</v>
      </c>
      <c r="F588" s="26">
        <v>60000000</v>
      </c>
      <c r="G588" s="27">
        <v>4800000</v>
      </c>
      <c r="H588" s="28">
        <v>46180</v>
      </c>
      <c r="I588" s="29">
        <f>IF(H588&gt;0,EDATE(H588,-2),"")</f>
        <v>25569.375</v>
      </c>
      <c r="J588" s="25" t="s">
        <v>212</v>
      </c>
      <c r="K588" s="25" t="s">
        <v>2195</v>
      </c>
      <c r="L588" s="30">
        <f>IF(E588&gt;0,E588,"")</f>
      </c>
      <c r="M588" s="26" t="s">
        <v>2196</v>
      </c>
      <c r="N588" s="26" t="s">
        <v>2197</v>
      </c>
      <c r="O588" s="29">
        <f>IF(ISNUMBER(I588), EDATE(I588,36)-1, "")</f>
        <v>25569.375</v>
      </c>
      <c r="P588" s="24"/>
      <c r="Q588" s="24"/>
      <c r="R588" s="24" t="s">
        <v>2198</v>
      </c>
      <c r="S588" s="9"/>
      <c r="T588" s="9"/>
      <c r="U588" s="9"/>
      <c r="V588" s="9"/>
      <c r="W588" s="9"/>
      <c r="X588" s="9"/>
      <c r="Y588" s="9"/>
      <c r="Z588" s="9"/>
    </row>
    <row x14ac:dyDescent="0.25" r="589" customHeight="1" ht="18.75">
      <c r="A589" s="9"/>
      <c r="B589" s="18" t="s">
        <v>13</v>
      </c>
      <c r="C589" s="9"/>
      <c r="D589" s="9"/>
      <c r="E589" s="18" t="s">
        <v>2199</v>
      </c>
      <c r="F589" s="19">
        <v>10000000</v>
      </c>
      <c r="G589" s="20">
        <v>900000</v>
      </c>
      <c r="H589" s="21">
        <v>45778</v>
      </c>
      <c r="I589" s="22">
        <f>IF(H589&gt;0,EDATE(H589,-2),"")</f>
        <v>25569.375</v>
      </c>
      <c r="J589" s="18" t="s">
        <v>217</v>
      </c>
      <c r="K589" s="18" t="s">
        <v>2200</v>
      </c>
      <c r="L589" s="23">
        <f>IF(E589&gt;0,E589,"")</f>
      </c>
      <c r="M589" s="19" t="s">
        <v>2201</v>
      </c>
      <c r="N589" s="19" t="s">
        <v>2202</v>
      </c>
      <c r="O589" s="22">
        <f>IF(ISNUMBER(I589), EDATE(I589,36)-1, "")</f>
        <v>25569.375</v>
      </c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x14ac:dyDescent="0.25" r="590" customHeight="1" ht="18.75">
      <c r="A590" s="9"/>
      <c r="B590" s="18" t="s">
        <v>16</v>
      </c>
      <c r="C590" s="9"/>
      <c r="D590" s="9"/>
      <c r="E590" s="18" t="s">
        <v>2203</v>
      </c>
      <c r="F590" s="19">
        <v>10000000</v>
      </c>
      <c r="G590" s="20">
        <v>800000</v>
      </c>
      <c r="H590" s="21">
        <v>46056</v>
      </c>
      <c r="I590" s="22">
        <f>IF(H590&gt;0,EDATE(H590,-2),"")</f>
        <v>25569.375</v>
      </c>
      <c r="J590" s="18" t="s">
        <v>217</v>
      </c>
      <c r="K590" s="18" t="s">
        <v>2204</v>
      </c>
      <c r="L590" s="23">
        <f>IF(E590&gt;0,E590,"")</f>
      </c>
      <c r="M590" s="19" t="s">
        <v>2205</v>
      </c>
      <c r="N590" s="19" t="s">
        <v>2206</v>
      </c>
      <c r="O590" s="22">
        <f>IF(ISNUMBER(I590), EDATE(I590,36)-1, "")</f>
        <v>25569.375</v>
      </c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x14ac:dyDescent="0.25" r="591" customHeight="1" ht="18.75">
      <c r="A591" s="9"/>
      <c r="B591" s="18" t="s">
        <v>16</v>
      </c>
      <c r="C591" s="9"/>
      <c r="D591" s="9"/>
      <c r="E591" s="18" t="s">
        <v>534</v>
      </c>
      <c r="F591" s="19">
        <v>60000000</v>
      </c>
      <c r="G591" s="20">
        <v>4056000</v>
      </c>
      <c r="H591" s="21">
        <v>46013</v>
      </c>
      <c r="I591" s="22">
        <f>IF(H591&gt;0,EDATE(H591,-2),"")</f>
        <v>25569.375</v>
      </c>
      <c r="J591" s="18" t="s">
        <v>306</v>
      </c>
      <c r="K591" s="18" t="s">
        <v>2207</v>
      </c>
      <c r="L591" s="23">
        <f>IF(E591&gt;0,E591,"")</f>
      </c>
      <c r="M591" s="19" t="s">
        <v>2208</v>
      </c>
      <c r="N591" s="19" t="s">
        <v>2209</v>
      </c>
      <c r="O591" s="22">
        <f>IF(ISNUMBER(I591), EDATE(I591,36)-1, "")</f>
        <v>25569.375</v>
      </c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x14ac:dyDescent="0.25" r="592" customHeight="1" ht="18.75">
      <c r="A592" s="9"/>
      <c r="B592" s="18" t="s">
        <v>16</v>
      </c>
      <c r="C592" s="9" t="s">
        <v>2210</v>
      </c>
      <c r="D592" s="9" t="s">
        <v>97</v>
      </c>
      <c r="E592" s="18" t="s">
        <v>2211</v>
      </c>
      <c r="F592" s="19">
        <v>30000000</v>
      </c>
      <c r="G592" s="20">
        <v>2400000</v>
      </c>
      <c r="H592" s="21">
        <v>46231</v>
      </c>
      <c r="I592" s="22">
        <f>IF(H592&gt;0,EDATE(H592,-2),"")</f>
        <v>25569.375</v>
      </c>
      <c r="J592" s="18" t="s">
        <v>302</v>
      </c>
      <c r="K592" s="18" t="s">
        <v>2212</v>
      </c>
      <c r="L592" s="23">
        <f>IF(E592&gt;0,E592,"")</f>
      </c>
      <c r="M592" s="19">
        <v>5503321538310</v>
      </c>
      <c r="N592" s="19">
        <v>62511356</v>
      </c>
      <c r="O592" s="22">
        <f>IF(ISNUMBER(I592), EDATE(I592,36)-1, "")</f>
        <v>25569.375</v>
      </c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x14ac:dyDescent="0.25" r="593" customHeight="1" ht="18.75">
      <c r="A593" s="9"/>
      <c r="B593" s="18" t="s">
        <v>16</v>
      </c>
      <c r="C593" s="9"/>
      <c r="D593" s="9"/>
      <c r="E593" s="18" t="s">
        <v>2213</v>
      </c>
      <c r="F593" s="19">
        <v>10000000</v>
      </c>
      <c r="G593" s="20"/>
      <c r="H593" s="21">
        <v>46126</v>
      </c>
      <c r="I593" s="22">
        <f>IF(H593&gt;0,EDATE(H593,-2),"")</f>
        <v>25569.375</v>
      </c>
      <c r="J593" s="18" t="s">
        <v>282</v>
      </c>
      <c r="K593" s="18" t="s">
        <v>471</v>
      </c>
      <c r="L593" s="23">
        <f>IF(E593&gt;0,E593,"")</f>
      </c>
      <c r="M593" s="19" t="s">
        <v>2214</v>
      </c>
      <c r="N593" s="19" t="s">
        <v>2215</v>
      </c>
      <c r="O593" s="22">
        <f>IF(ISNUMBER(I593), EDATE(I593,36)-1, "")</f>
        <v>25569.375</v>
      </c>
      <c r="P593" s="9" t="s">
        <v>2216</v>
      </c>
      <c r="Q593" s="9" t="s">
        <v>166</v>
      </c>
      <c r="R593" s="9" t="s">
        <v>2217</v>
      </c>
      <c r="S593" s="9"/>
      <c r="T593" s="9"/>
      <c r="U593" s="9"/>
      <c r="V593" s="9"/>
      <c r="W593" s="9"/>
      <c r="X593" s="9"/>
      <c r="Y593" s="9"/>
      <c r="Z593" s="9"/>
    </row>
    <row x14ac:dyDescent="0.25" r="594" customHeight="1" ht="18.75">
      <c r="A594" s="9" t="s">
        <v>152</v>
      </c>
      <c r="B594" s="18" t="s">
        <v>16</v>
      </c>
      <c r="C594" s="9"/>
      <c r="D594" s="9"/>
      <c r="E594" s="18" t="s">
        <v>2213</v>
      </c>
      <c r="F594" s="19">
        <v>60000000</v>
      </c>
      <c r="G594" s="20">
        <v>4056000</v>
      </c>
      <c r="H594" s="21">
        <v>46188</v>
      </c>
      <c r="I594" s="22">
        <f>IF(H594&gt;0,EDATE(H594,-2),"")</f>
        <v>25569.375</v>
      </c>
      <c r="J594" s="18" t="s">
        <v>168</v>
      </c>
      <c r="K594" s="18" t="s">
        <v>471</v>
      </c>
      <c r="L594" s="23">
        <f>IF(E594&gt;0,E594,"")</f>
      </c>
      <c r="M594" s="19" t="s">
        <v>2214</v>
      </c>
      <c r="N594" s="19">
        <v>73033828</v>
      </c>
      <c r="O594" s="22">
        <f>IF(ISNUMBER(I594), EDATE(I594,36)-1, "")</f>
        <v>25569.375</v>
      </c>
      <c r="P594" s="9"/>
      <c r="Q594" s="9"/>
      <c r="R594" s="9" t="s">
        <v>2218</v>
      </c>
      <c r="S594" s="9"/>
      <c r="T594" s="9"/>
      <c r="U594" s="9"/>
      <c r="V594" s="9"/>
      <c r="W594" s="9"/>
      <c r="X594" s="9"/>
      <c r="Y594" s="9"/>
      <c r="Z594" s="9"/>
    </row>
    <row x14ac:dyDescent="0.25" r="595" customHeight="1" ht="18.75">
      <c r="A595" s="9"/>
      <c r="B595" s="18" t="s">
        <v>16</v>
      </c>
      <c r="C595" s="9" t="s">
        <v>48</v>
      </c>
      <c r="D595" s="9" t="s">
        <v>1044</v>
      </c>
      <c r="E595" s="18" t="s">
        <v>2219</v>
      </c>
      <c r="F595" s="19">
        <v>10000000</v>
      </c>
      <c r="G595" s="20">
        <v>500000</v>
      </c>
      <c r="H595" s="21">
        <v>46181</v>
      </c>
      <c r="I595" s="22">
        <f>IF(H595&gt;0,EDATE(H595,-2),"")</f>
        <v>25569.375</v>
      </c>
      <c r="J595" s="18" t="s">
        <v>205</v>
      </c>
      <c r="K595" s="18" t="s">
        <v>2220</v>
      </c>
      <c r="L595" s="23">
        <f>IF(E595&gt;0,E595,"")</f>
      </c>
      <c r="M595" s="19" t="s">
        <v>2221</v>
      </c>
      <c r="N595" s="19" t="s">
        <v>2222</v>
      </c>
      <c r="O595" s="22">
        <f>IF(ISNUMBER(I595), EDATE(I595,36)-1, "")</f>
        <v>25569.375</v>
      </c>
      <c r="P595" s="9" t="s">
        <v>2223</v>
      </c>
      <c r="Q595" s="9" t="s">
        <v>166</v>
      </c>
      <c r="R595" s="9" t="s">
        <v>2224</v>
      </c>
      <c r="S595" s="9"/>
      <c r="T595" s="9"/>
      <c r="U595" s="9"/>
      <c r="V595" s="9"/>
      <c r="W595" s="9"/>
      <c r="X595" s="9"/>
      <c r="Y595" s="9"/>
      <c r="Z595" s="9"/>
    </row>
    <row x14ac:dyDescent="0.25" r="596" customHeight="1" ht="18.75">
      <c r="A596" s="9" t="s">
        <v>152</v>
      </c>
      <c r="B596" s="18" t="s">
        <v>16</v>
      </c>
      <c r="C596" s="9" t="s">
        <v>48</v>
      </c>
      <c r="D596" s="9" t="s">
        <v>521</v>
      </c>
      <c r="E596" s="18" t="s">
        <v>2225</v>
      </c>
      <c r="F596" s="19">
        <v>10000000</v>
      </c>
      <c r="G596" s="20">
        <v>1200000</v>
      </c>
      <c r="H596" s="21">
        <v>46217</v>
      </c>
      <c r="I596" s="22">
        <f>IF(H596&gt;0,EDATE(H596,-2),"")</f>
        <v>25569.375</v>
      </c>
      <c r="J596" s="18" t="s">
        <v>239</v>
      </c>
      <c r="K596" s="18" t="s">
        <v>2226</v>
      </c>
      <c r="L596" s="23">
        <f>IF(E596&gt;0,E596,"")</f>
      </c>
      <c r="M596" s="19" t="s">
        <v>2227</v>
      </c>
      <c r="N596" s="19">
        <v>30600788</v>
      </c>
      <c r="O596" s="22">
        <f>IF(ISNUMBER(I596), EDATE(I596,36)-1, "")</f>
        <v>25569.375</v>
      </c>
      <c r="P596" s="9"/>
      <c r="Q596" s="9"/>
      <c r="R596" s="9" t="s">
        <v>2228</v>
      </c>
      <c r="S596" s="9"/>
      <c r="T596" s="9"/>
      <c r="U596" s="9"/>
      <c r="V596" s="9"/>
      <c r="W596" s="9"/>
      <c r="X596" s="9"/>
      <c r="Y596" s="9"/>
      <c r="Z596" s="9"/>
    </row>
    <row x14ac:dyDescent="0.25" r="597" customHeight="1" ht="18.75">
      <c r="A597" s="9"/>
      <c r="B597" s="18" t="s">
        <v>16</v>
      </c>
      <c r="C597" s="9"/>
      <c r="D597" s="9"/>
      <c r="E597" s="18" t="s">
        <v>1332</v>
      </c>
      <c r="F597" s="19">
        <v>30000000</v>
      </c>
      <c r="G597" s="20">
        <v>2400000</v>
      </c>
      <c r="H597" s="21">
        <v>46003</v>
      </c>
      <c r="I597" s="22">
        <f>IF(H597&gt;0,EDATE(H597,-2),"")</f>
        <v>25569.375</v>
      </c>
      <c r="J597" s="18" t="s">
        <v>155</v>
      </c>
      <c r="K597" s="18" t="s">
        <v>2229</v>
      </c>
      <c r="L597" s="23">
        <f>IF(E597&gt;0,E597,"")</f>
      </c>
      <c r="M597" s="19" t="s">
        <v>2230</v>
      </c>
      <c r="N597" s="19" t="s">
        <v>2231</v>
      </c>
      <c r="O597" s="22">
        <f>IF(ISNUMBER(I597), EDATE(I597,36)-1, "")</f>
        <v>25569.375</v>
      </c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x14ac:dyDescent="0.25" r="598" customHeight="1" ht="18.75">
      <c r="A598" s="9"/>
      <c r="B598" s="18" t="s">
        <v>16</v>
      </c>
      <c r="C598" s="9"/>
      <c r="D598" s="9"/>
      <c r="E598" s="18" t="s">
        <v>2232</v>
      </c>
      <c r="F598" s="19">
        <v>10000000</v>
      </c>
      <c r="G598" s="20">
        <v>800000</v>
      </c>
      <c r="H598" s="21">
        <v>46081</v>
      </c>
      <c r="I598" s="22">
        <f>IF(H598&gt;0,EDATE(H598,-2),"")</f>
        <v>25569.375</v>
      </c>
      <c r="J598" s="18" t="s">
        <v>205</v>
      </c>
      <c r="K598" s="18" t="s">
        <v>2233</v>
      </c>
      <c r="L598" s="23">
        <f>IF(E598&gt;0,E598,"")</f>
      </c>
      <c r="M598" s="19" t="s">
        <v>2234</v>
      </c>
      <c r="N598" s="19" t="s">
        <v>2235</v>
      </c>
      <c r="O598" s="22">
        <f>IF(ISNUMBER(I598), EDATE(I598,36)-1, "")</f>
        <v>25569.375</v>
      </c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x14ac:dyDescent="0.25" r="599" customHeight="1" ht="18.75">
      <c r="A599" s="9"/>
      <c r="B599" s="25" t="s">
        <v>113</v>
      </c>
      <c r="C599" s="24"/>
      <c r="D599" s="24"/>
      <c r="E599" s="25" t="s">
        <v>100</v>
      </c>
      <c r="F599" s="26">
        <v>30000000</v>
      </c>
      <c r="G599" s="27">
        <v>1500000</v>
      </c>
      <c r="H599" s="28">
        <v>45595</v>
      </c>
      <c r="I599" s="29">
        <f>IF(H599&gt;0,EDATE(H599,-2),"")</f>
        <v>25569.375</v>
      </c>
      <c r="J599" s="25" t="s">
        <v>168</v>
      </c>
      <c r="K599" s="25" t="s">
        <v>2236</v>
      </c>
      <c r="L599" s="30">
        <f>IF(E599&gt;0,E599,"")</f>
      </c>
      <c r="M599" s="26" t="s">
        <v>2237</v>
      </c>
      <c r="N599" s="26" t="s">
        <v>2238</v>
      </c>
      <c r="O599" s="29">
        <f>IF(ISNUMBER(I599), EDATE(I599,36)-1, "")</f>
        <v>25569.375</v>
      </c>
      <c r="P599" s="24"/>
      <c r="Q599" s="24"/>
      <c r="R599" s="24"/>
      <c r="S599" s="9"/>
      <c r="T599" s="9"/>
      <c r="U599" s="9"/>
      <c r="V599" s="9"/>
      <c r="W599" s="9"/>
      <c r="X599" s="9"/>
      <c r="Y599" s="9"/>
      <c r="Z599" s="9"/>
    </row>
    <row x14ac:dyDescent="0.25" r="600" customHeight="1" ht="18.75">
      <c r="A600" s="9"/>
      <c r="B600" s="25" t="s">
        <v>16</v>
      </c>
      <c r="C600" s="24"/>
      <c r="D600" s="24"/>
      <c r="E600" s="25" t="s">
        <v>100</v>
      </c>
      <c r="F600" s="26">
        <v>30000000</v>
      </c>
      <c r="G600" s="27">
        <v>2400000</v>
      </c>
      <c r="H600" s="28">
        <v>45912</v>
      </c>
      <c r="I600" s="29">
        <f>IF(H600&gt;0,EDATE(H600,-2),"")</f>
        <v>25569.375</v>
      </c>
      <c r="J600" s="25" t="s">
        <v>168</v>
      </c>
      <c r="K600" s="25" t="s">
        <v>2239</v>
      </c>
      <c r="L600" s="30">
        <f>IF(E600&gt;0,E600,"")</f>
      </c>
      <c r="M600" s="26" t="s">
        <v>2237</v>
      </c>
      <c r="N600" s="26" t="s">
        <v>2240</v>
      </c>
      <c r="O600" s="29">
        <f>IF(ISNUMBER(I600), EDATE(I600,36)-1, "")</f>
        <v>25569.375</v>
      </c>
      <c r="P600" s="24"/>
      <c r="Q600" s="24"/>
      <c r="R600" s="24" t="s">
        <v>2241</v>
      </c>
      <c r="S600" s="9"/>
      <c r="T600" s="9"/>
      <c r="U600" s="9"/>
      <c r="V600" s="9"/>
      <c r="W600" s="9"/>
      <c r="X600" s="9"/>
      <c r="Y600" s="9"/>
      <c r="Z600" s="9"/>
    </row>
    <row x14ac:dyDescent="0.25" r="601" customHeight="1" ht="18.75">
      <c r="A601" s="9"/>
      <c r="B601" s="25" t="s">
        <v>16</v>
      </c>
      <c r="C601" s="24"/>
      <c r="D601" s="24"/>
      <c r="E601" s="25" t="s">
        <v>100</v>
      </c>
      <c r="F601" s="26">
        <v>60000000</v>
      </c>
      <c r="G601" s="27">
        <v>4800000</v>
      </c>
      <c r="H601" s="28">
        <v>45910</v>
      </c>
      <c r="I601" s="29">
        <f>IF(H601&gt;0,EDATE(H601,-2),"")</f>
        <v>25569.375</v>
      </c>
      <c r="J601" s="25" t="s">
        <v>168</v>
      </c>
      <c r="K601" s="25" t="s">
        <v>2236</v>
      </c>
      <c r="L601" s="30">
        <f>IF(E601&gt;0,E601,"")</f>
      </c>
      <c r="M601" s="26" t="s">
        <v>2237</v>
      </c>
      <c r="N601" s="26" t="s">
        <v>2240</v>
      </c>
      <c r="O601" s="29">
        <f>IF(ISNUMBER(I601), EDATE(I601,36)-1, "")</f>
        <v>25569.375</v>
      </c>
      <c r="P601" s="24"/>
      <c r="Q601" s="24"/>
      <c r="R601" s="24"/>
      <c r="S601" s="9"/>
      <c r="T601" s="9"/>
      <c r="U601" s="9"/>
      <c r="V601" s="9"/>
      <c r="W601" s="9"/>
      <c r="X601" s="9"/>
      <c r="Y601" s="9"/>
      <c r="Z601" s="9"/>
    </row>
    <row x14ac:dyDescent="0.25" r="602" customHeight="1" ht="18.75">
      <c r="A602" s="9"/>
      <c r="B602" s="18" t="s">
        <v>16</v>
      </c>
      <c r="C602" s="9"/>
      <c r="D602" s="9"/>
      <c r="E602" s="18" t="s">
        <v>101</v>
      </c>
      <c r="F602" s="19">
        <v>20000000</v>
      </c>
      <c r="G602" s="20">
        <v>1000000</v>
      </c>
      <c r="H602" s="21">
        <v>46046</v>
      </c>
      <c r="I602" s="22">
        <f>IF(H602&gt;0,EDATE(H602,-2),"")</f>
        <v>25569.375</v>
      </c>
      <c r="J602" s="18" t="s">
        <v>174</v>
      </c>
      <c r="K602" s="18" t="s">
        <v>2242</v>
      </c>
      <c r="L602" s="23">
        <f>IF(E602&gt;0,E602,"")</f>
      </c>
      <c r="M602" s="19" t="s">
        <v>2243</v>
      </c>
      <c r="N602" s="19" t="s">
        <v>2244</v>
      </c>
      <c r="O602" s="22">
        <f>IF(ISNUMBER(I602), EDATE(I602,36)-1, "")</f>
        <v>25569.375</v>
      </c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x14ac:dyDescent="0.25" r="603" customHeight="1" ht="18.75">
      <c r="A603" s="9"/>
      <c r="B603" s="18" t="s">
        <v>27</v>
      </c>
      <c r="C603" s="18"/>
      <c r="D603" s="18"/>
      <c r="E603" s="18" t="s">
        <v>2245</v>
      </c>
      <c r="F603" s="20">
        <v>3000000</v>
      </c>
      <c r="G603" s="20">
        <v>300000</v>
      </c>
      <c r="H603" s="21">
        <v>46081</v>
      </c>
      <c r="I603" s="22">
        <v>46050</v>
      </c>
      <c r="J603" s="18" t="s">
        <v>234</v>
      </c>
      <c r="K603" s="18" t="s">
        <v>2246</v>
      </c>
      <c r="L603" s="18" t="s">
        <v>2245</v>
      </c>
      <c r="M603" s="19">
        <v>7907292192612</v>
      </c>
      <c r="N603" s="19">
        <v>88316873</v>
      </c>
      <c r="O603" s="22">
        <v>46080</v>
      </c>
      <c r="P603" s="18"/>
      <c r="Q603" s="18"/>
      <c r="R603" s="9"/>
      <c r="S603" s="9"/>
      <c r="T603" s="9"/>
      <c r="U603" s="9"/>
      <c r="V603" s="9"/>
      <c r="W603" s="9"/>
      <c r="X603" s="9"/>
      <c r="Y603" s="9"/>
      <c r="Z603" s="9"/>
    </row>
    <row x14ac:dyDescent="0.25" r="604" customHeight="1" ht="18.75">
      <c r="A604" s="9"/>
      <c r="B604" s="18" t="s">
        <v>16</v>
      </c>
      <c r="C604" s="9" t="s">
        <v>143</v>
      </c>
      <c r="D604" s="9" t="s">
        <v>2247</v>
      </c>
      <c r="E604" s="18" t="s">
        <v>2248</v>
      </c>
      <c r="F604" s="19">
        <v>10000000</v>
      </c>
      <c r="G604" s="20">
        <v>1200000</v>
      </c>
      <c r="H604" s="21">
        <v>46207</v>
      </c>
      <c r="I604" s="22">
        <f>IF(H604&gt;0,EDATE(H604,-2),"")</f>
        <v>25569.375</v>
      </c>
      <c r="J604" s="18" t="s">
        <v>168</v>
      </c>
      <c r="K604" s="18" t="s">
        <v>2249</v>
      </c>
      <c r="L604" s="23">
        <f>IF(E604&gt;0,E604,"")</f>
      </c>
      <c r="M604" s="19" t="s">
        <v>2250</v>
      </c>
      <c r="N604" s="19">
        <v>31280384</v>
      </c>
      <c r="O604" s="22">
        <f>IF(ISNUMBER(I604), EDATE(I604,36)-1, "")</f>
        <v>25569.375</v>
      </c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x14ac:dyDescent="0.25" r="605" customHeight="1" ht="18.75">
      <c r="A605" s="9"/>
      <c r="B605" s="18" t="s">
        <v>16</v>
      </c>
      <c r="C605" s="9"/>
      <c r="D605" s="9"/>
      <c r="E605" s="18" t="s">
        <v>2251</v>
      </c>
      <c r="F605" s="19">
        <v>10000000</v>
      </c>
      <c r="G605" s="20">
        <v>800000</v>
      </c>
      <c r="H605" s="21">
        <v>46004</v>
      </c>
      <c r="I605" s="22">
        <f>IF(H605&gt;0,EDATE(H605,-2),"")</f>
        <v>25569.375</v>
      </c>
      <c r="J605" s="18" t="s">
        <v>155</v>
      </c>
      <c r="K605" s="18" t="s">
        <v>2252</v>
      </c>
      <c r="L605" s="23">
        <f>IF(E605&gt;0,E605,"")</f>
      </c>
      <c r="M605" s="19" t="s">
        <v>2253</v>
      </c>
      <c r="N605" s="19" t="s">
        <v>2254</v>
      </c>
      <c r="O605" s="22">
        <f>IF(ISNUMBER(I605), EDATE(I605,36)-1, "")</f>
        <v>25569.375</v>
      </c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x14ac:dyDescent="0.25" r="606" customHeight="1" ht="18.75">
      <c r="A606" s="9"/>
      <c r="B606" s="18" t="s">
        <v>16</v>
      </c>
      <c r="C606" s="9"/>
      <c r="D606" s="9"/>
      <c r="E606" s="18" t="s">
        <v>102</v>
      </c>
      <c r="F606" s="19">
        <v>60000000</v>
      </c>
      <c r="G606" s="20">
        <v>4800000</v>
      </c>
      <c r="H606" s="21">
        <v>45950</v>
      </c>
      <c r="I606" s="22">
        <f>IF(H606&gt;0,EDATE(H606,-2),"")</f>
        <v>25569.375</v>
      </c>
      <c r="J606" s="18" t="s">
        <v>168</v>
      </c>
      <c r="K606" s="18" t="s">
        <v>2255</v>
      </c>
      <c r="L606" s="23">
        <f>IF(E606&gt;0,E606,"")</f>
      </c>
      <c r="M606" s="19" t="s">
        <v>2256</v>
      </c>
      <c r="N606" s="19" t="s">
        <v>2257</v>
      </c>
      <c r="O606" s="22">
        <f>IF(ISNUMBER(I606), EDATE(I606,36)-1, "")</f>
        <v>25569.375</v>
      </c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x14ac:dyDescent="0.25" r="607" customHeight="1" ht="18.75">
      <c r="A607" s="9"/>
      <c r="B607" s="18" t="s">
        <v>16</v>
      </c>
      <c r="C607" s="9"/>
      <c r="D607" s="9"/>
      <c r="E607" s="18" t="s">
        <v>102</v>
      </c>
      <c r="F607" s="19">
        <v>60000000</v>
      </c>
      <c r="G607" s="20">
        <v>4800000</v>
      </c>
      <c r="H607" s="21">
        <v>45962</v>
      </c>
      <c r="I607" s="22">
        <f>IF(H607&gt;0,EDATE(H607,-2),"")</f>
        <v>25569.375</v>
      </c>
      <c r="J607" s="18" t="s">
        <v>168</v>
      </c>
      <c r="K607" s="18" t="s">
        <v>2255</v>
      </c>
      <c r="L607" s="23">
        <f>IF(E607&gt;0,E607,"")</f>
      </c>
      <c r="M607" s="19" t="s">
        <v>2256</v>
      </c>
      <c r="N607" s="19" t="s">
        <v>2257</v>
      </c>
      <c r="O607" s="22">
        <f>IF(ISNUMBER(I607), EDATE(I607,36)-1, "")</f>
        <v>25569.375</v>
      </c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x14ac:dyDescent="0.25" r="608" customHeight="1" ht="18.75">
      <c r="A608" s="9"/>
      <c r="B608" s="18" t="s">
        <v>16</v>
      </c>
      <c r="C608" s="9"/>
      <c r="D608" s="9" t="s">
        <v>2258</v>
      </c>
      <c r="E608" s="18" t="s">
        <v>2259</v>
      </c>
      <c r="F608" s="19">
        <v>10000000</v>
      </c>
      <c r="G608" s="20">
        <v>800000</v>
      </c>
      <c r="H608" s="21">
        <v>46089</v>
      </c>
      <c r="I608" s="22">
        <f>IF(H608&gt;0,EDATE(H608,-2),"")</f>
        <v>25569.375</v>
      </c>
      <c r="J608" s="18" t="s">
        <v>155</v>
      </c>
      <c r="K608" s="18" t="s">
        <v>2260</v>
      </c>
      <c r="L608" s="23">
        <f>IF(E608&gt;0,E608,"")</f>
      </c>
      <c r="M608" s="19" t="s">
        <v>2261</v>
      </c>
      <c r="N608" s="19" t="s">
        <v>2262</v>
      </c>
      <c r="O608" s="22">
        <f>IF(ISNUMBER(I608), EDATE(I608,36)-1, "")</f>
        <v>25569.375</v>
      </c>
      <c r="P608" s="9" t="s">
        <v>2263</v>
      </c>
      <c r="Q608" s="9" t="s">
        <v>166</v>
      </c>
      <c r="R608" s="9"/>
      <c r="S608" s="9"/>
      <c r="T608" s="9"/>
      <c r="U608" s="9"/>
      <c r="V608" s="9"/>
      <c r="W608" s="9"/>
      <c r="X608" s="9"/>
      <c r="Y608" s="9"/>
      <c r="Z608" s="9"/>
    </row>
    <row x14ac:dyDescent="0.25" r="609" customHeight="1" ht="18.75">
      <c r="A609" s="9"/>
      <c r="B609" s="18" t="s">
        <v>16</v>
      </c>
      <c r="C609" s="9"/>
      <c r="D609" s="9"/>
      <c r="E609" s="18" t="s">
        <v>2264</v>
      </c>
      <c r="F609" s="19">
        <v>20000000</v>
      </c>
      <c r="G609" s="20">
        <v>1528000</v>
      </c>
      <c r="H609" s="21">
        <v>46064</v>
      </c>
      <c r="I609" s="22">
        <f>IF(H609&gt;0,EDATE(H609,-2),"")</f>
        <v>25569.375</v>
      </c>
      <c r="J609" s="18" t="s">
        <v>217</v>
      </c>
      <c r="K609" s="18" t="s">
        <v>2265</v>
      </c>
      <c r="L609" s="23">
        <f>IF(E609&gt;0,E609,"")</f>
      </c>
      <c r="M609" s="19" t="s">
        <v>2266</v>
      </c>
      <c r="N609" s="19" t="s">
        <v>2267</v>
      </c>
      <c r="O609" s="22">
        <f>IF(ISNUMBER(I609), EDATE(I609,36)-1, "")</f>
        <v>25569.375</v>
      </c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x14ac:dyDescent="0.25" r="610" customHeight="1" ht="18.75">
      <c r="A610" s="9"/>
      <c r="B610" s="18" t="s">
        <v>16</v>
      </c>
      <c r="C610" s="9" t="s">
        <v>55</v>
      </c>
      <c r="D610" s="9" t="s">
        <v>56</v>
      </c>
      <c r="E610" s="18" t="s">
        <v>2268</v>
      </c>
      <c r="F610" s="19">
        <v>30000000</v>
      </c>
      <c r="G610" s="20">
        <v>2028000</v>
      </c>
      <c r="H610" s="21">
        <v>46207</v>
      </c>
      <c r="I610" s="22">
        <f>IF(H610&gt;0,EDATE(H610,-2),"")</f>
        <v>25569.375</v>
      </c>
      <c r="J610" s="18" t="s">
        <v>302</v>
      </c>
      <c r="K610" s="18" t="s">
        <v>2269</v>
      </c>
      <c r="L610" s="23">
        <f>IF(E610&gt;0,E610,"")</f>
      </c>
      <c r="M610" s="19" t="s">
        <v>2270</v>
      </c>
      <c r="N610" s="19">
        <v>34322427</v>
      </c>
      <c r="O610" s="22">
        <f>IF(ISNUMBER(I610), EDATE(I610,36)-1, "")</f>
        <v>25569.375</v>
      </c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x14ac:dyDescent="0.25" r="611" customHeight="1" ht="18.75">
      <c r="A611" s="9"/>
      <c r="B611" s="18" t="s">
        <v>16</v>
      </c>
      <c r="C611" s="9"/>
      <c r="D611" s="9"/>
      <c r="E611" s="18" t="s">
        <v>2271</v>
      </c>
      <c r="F611" s="19">
        <v>60000000</v>
      </c>
      <c r="G611" s="20">
        <v>4056000</v>
      </c>
      <c r="H611" s="21">
        <v>46135</v>
      </c>
      <c r="I611" s="22">
        <f>IF(H611&gt;0,EDATE(H611,-2),"")</f>
        <v>25569.375</v>
      </c>
      <c r="J611" s="18" t="s">
        <v>570</v>
      </c>
      <c r="K611" s="18" t="s">
        <v>2272</v>
      </c>
      <c r="L611" s="23">
        <f>IF(E611&gt;0,E611,"")</f>
      </c>
      <c r="M611" s="19" t="s">
        <v>2273</v>
      </c>
      <c r="N611" s="19" t="s">
        <v>2274</v>
      </c>
      <c r="O611" s="22">
        <f>IF(ISNUMBER(I611), EDATE(I611,36)-1, "")</f>
        <v>25569.375</v>
      </c>
      <c r="P611" s="9" t="s">
        <v>2275</v>
      </c>
      <c r="Q611" s="9" t="s">
        <v>166</v>
      </c>
      <c r="R611" s="9"/>
      <c r="S611" s="9"/>
      <c r="T611" s="9"/>
      <c r="U611" s="9"/>
      <c r="V611" s="9"/>
      <c r="W611" s="9"/>
      <c r="X611" s="9"/>
      <c r="Y611" s="9"/>
      <c r="Z611" s="9"/>
    </row>
    <row x14ac:dyDescent="0.25" r="612" customHeight="1" ht="18.75">
      <c r="A612" s="9" t="s">
        <v>2276</v>
      </c>
      <c r="B612" s="18" t="s">
        <v>16</v>
      </c>
      <c r="C612" s="9"/>
      <c r="D612" s="9"/>
      <c r="E612" s="18" t="s">
        <v>103</v>
      </c>
      <c r="F612" s="19">
        <v>30000000</v>
      </c>
      <c r="G612" s="20">
        <v>2028000</v>
      </c>
      <c r="H612" s="21">
        <v>46007</v>
      </c>
      <c r="I612" s="22">
        <f>IF(H612&gt;0,EDATE(H612,-2),"")</f>
        <v>25569.375</v>
      </c>
      <c r="J612" s="18" t="s">
        <v>168</v>
      </c>
      <c r="K612" s="18" t="s">
        <v>2277</v>
      </c>
      <c r="L612" s="23">
        <f>IF(E612&gt;0,E612,"")</f>
      </c>
      <c r="M612" s="19" t="s">
        <v>2278</v>
      </c>
      <c r="N612" s="19" t="s">
        <v>2279</v>
      </c>
      <c r="O612" s="22">
        <f>IF(ISNUMBER(I612), EDATE(I612,36)-1, "")</f>
        <v>25569.375</v>
      </c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x14ac:dyDescent="0.25" r="613" customHeight="1" ht="18.75">
      <c r="A613" s="9"/>
      <c r="B613" s="18" t="s">
        <v>16</v>
      </c>
      <c r="C613" s="9"/>
      <c r="D613" s="9"/>
      <c r="E613" s="18" t="s">
        <v>2280</v>
      </c>
      <c r="F613" s="19">
        <v>20000000</v>
      </c>
      <c r="G613" s="20">
        <v>1528000</v>
      </c>
      <c r="H613" s="21">
        <v>46071</v>
      </c>
      <c r="I613" s="22">
        <f>IF(H613&gt;0,EDATE(H613,-2),"")</f>
        <v>25569.375</v>
      </c>
      <c r="J613" s="18" t="s">
        <v>239</v>
      </c>
      <c r="K613" s="18" t="s">
        <v>2281</v>
      </c>
      <c r="L613" s="23">
        <f>IF(E613&gt;0,E613,"")</f>
      </c>
      <c r="M613" s="19" t="s">
        <v>2282</v>
      </c>
      <c r="N613" s="19" t="s">
        <v>2283</v>
      </c>
      <c r="O613" s="22">
        <f>IF(ISNUMBER(I613), EDATE(I613,36)-1, "")</f>
        <v>25569.375</v>
      </c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x14ac:dyDescent="0.25" r="614" customHeight="1" ht="18.75">
      <c r="A614" s="9"/>
      <c r="B614" s="18" t="s">
        <v>16</v>
      </c>
      <c r="C614" s="9" t="s">
        <v>419</v>
      </c>
      <c r="D614" s="9" t="s">
        <v>420</v>
      </c>
      <c r="E614" s="18" t="s">
        <v>2280</v>
      </c>
      <c r="F614" s="19">
        <v>60000000</v>
      </c>
      <c r="G614" s="20">
        <v>800000</v>
      </c>
      <c r="H614" s="21">
        <v>46167</v>
      </c>
      <c r="I614" s="22">
        <f>IF(H614&gt;0,EDATE(H614,-2),"")</f>
        <v>25569.375</v>
      </c>
      <c r="J614" s="18" t="s">
        <v>168</v>
      </c>
      <c r="K614" s="18" t="s">
        <v>2284</v>
      </c>
      <c r="L614" s="23">
        <f>IF(E614&gt;0,E614,"")</f>
      </c>
      <c r="M614" s="19" t="s">
        <v>2285</v>
      </c>
      <c r="N614" s="19" t="s">
        <v>2286</v>
      </c>
      <c r="O614" s="22">
        <f>IF(ISNUMBER(I614), EDATE(I614,36)-1, "")</f>
        <v>25569.375</v>
      </c>
      <c r="P614" s="9" t="s">
        <v>2287</v>
      </c>
      <c r="Q614" s="9" t="s">
        <v>166</v>
      </c>
      <c r="R614" s="9"/>
      <c r="S614" s="9"/>
      <c r="T614" s="9"/>
      <c r="U614" s="9"/>
      <c r="V614" s="9"/>
      <c r="W614" s="9"/>
      <c r="X614" s="9"/>
      <c r="Y614" s="9"/>
      <c r="Z614" s="9"/>
    </row>
    <row x14ac:dyDescent="0.25" r="615" customHeight="1" ht="18.75">
      <c r="A615" s="9" t="s">
        <v>252</v>
      </c>
      <c r="B615" s="18" t="s">
        <v>16</v>
      </c>
      <c r="C615" s="9" t="s">
        <v>419</v>
      </c>
      <c r="D615" s="9" t="s">
        <v>420</v>
      </c>
      <c r="E615" s="18" t="s">
        <v>2280</v>
      </c>
      <c r="F615" s="19">
        <v>10000000</v>
      </c>
      <c r="G615" s="20"/>
      <c r="H615" s="21">
        <v>46158</v>
      </c>
      <c r="I615" s="22">
        <f>IF(H615&gt;0,EDATE(H615,-2),"")</f>
        <v>25569.375</v>
      </c>
      <c r="J615" s="18" t="s">
        <v>168</v>
      </c>
      <c r="K615" s="18" t="s">
        <v>2288</v>
      </c>
      <c r="L615" s="23">
        <f>IF(E615&gt;0,E615,"")</f>
      </c>
      <c r="M615" s="19" t="s">
        <v>2285</v>
      </c>
      <c r="N615" s="19">
        <v>75685643</v>
      </c>
      <c r="O615" s="22">
        <f>IF(ISNUMBER(I615), EDATE(I615,36)-1, "")</f>
        <v>25569.375</v>
      </c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x14ac:dyDescent="0.25" r="616" customHeight="1" ht="18.75">
      <c r="A616" s="9"/>
      <c r="B616" s="18" t="s">
        <v>16</v>
      </c>
      <c r="C616" s="9"/>
      <c r="D616" s="9"/>
      <c r="E616" s="18" t="s">
        <v>2289</v>
      </c>
      <c r="F616" s="19">
        <v>20000000</v>
      </c>
      <c r="G616" s="20">
        <v>1528000</v>
      </c>
      <c r="H616" s="21">
        <v>46118</v>
      </c>
      <c r="I616" s="22">
        <f>IF(H616&gt;0,EDATE(H616,-2),"")</f>
        <v>25569.375</v>
      </c>
      <c r="J616" s="18" t="s">
        <v>168</v>
      </c>
      <c r="K616" s="18" t="s">
        <v>2284</v>
      </c>
      <c r="L616" s="23">
        <f>IF(E616&gt;0,E616,"")</f>
      </c>
      <c r="M616" s="19" t="s">
        <v>2285</v>
      </c>
      <c r="N616" s="19" t="s">
        <v>2286</v>
      </c>
      <c r="O616" s="22">
        <f>IF(ISNUMBER(I616), EDATE(I616,36)-1, "")</f>
        <v>25569.375</v>
      </c>
      <c r="P616" s="9"/>
      <c r="Q616" s="9" t="s">
        <v>166</v>
      </c>
      <c r="R616" s="9"/>
      <c r="S616" s="9"/>
      <c r="T616" s="9"/>
      <c r="U616" s="9"/>
      <c r="V616" s="9"/>
      <c r="W616" s="9"/>
      <c r="X616" s="9"/>
      <c r="Y616" s="9"/>
      <c r="Z616" s="9"/>
    </row>
    <row x14ac:dyDescent="0.25" r="617" customHeight="1" ht="18.75">
      <c r="A617" s="9" t="s">
        <v>152</v>
      </c>
      <c r="B617" s="18" t="s">
        <v>16</v>
      </c>
      <c r="C617" s="9"/>
      <c r="D617" s="9"/>
      <c r="E617" s="18" t="s">
        <v>2290</v>
      </c>
      <c r="F617" s="19">
        <v>10000000</v>
      </c>
      <c r="G617" s="20">
        <v>800000</v>
      </c>
      <c r="H617" s="21">
        <v>46156</v>
      </c>
      <c r="I617" s="22">
        <f>IF(H617&gt;0,EDATE(H617,-2),"")</f>
        <v>25569.375</v>
      </c>
      <c r="J617" s="18" t="s">
        <v>239</v>
      </c>
      <c r="K617" s="18" t="s">
        <v>2291</v>
      </c>
      <c r="L617" s="23">
        <f>IF(E617&gt;0,E617,"")</f>
      </c>
      <c r="M617" s="19">
        <v>990625222258</v>
      </c>
      <c r="N617" s="19">
        <v>22217258</v>
      </c>
      <c r="O617" s="22">
        <f>IF(ISNUMBER(I617), EDATE(I617,36)-1, "")</f>
        <v>25569.375</v>
      </c>
      <c r="P617" s="9"/>
      <c r="Q617" s="9"/>
      <c r="R617" s="9" t="s">
        <v>2292</v>
      </c>
      <c r="S617" s="9"/>
      <c r="T617" s="9"/>
      <c r="U617" s="9"/>
      <c r="V617" s="9"/>
      <c r="W617" s="9"/>
      <c r="X617" s="9"/>
      <c r="Y617" s="9"/>
      <c r="Z617" s="9"/>
    </row>
    <row x14ac:dyDescent="0.25" r="618" customHeight="1" ht="18.75">
      <c r="A618" s="9"/>
      <c r="B618" s="18" t="s">
        <v>16</v>
      </c>
      <c r="C618" s="9"/>
      <c r="D618" s="9"/>
      <c r="E618" s="18" t="s">
        <v>114</v>
      </c>
      <c r="F618" s="19">
        <v>30000000</v>
      </c>
      <c r="G618" s="20">
        <v>2400000</v>
      </c>
      <c r="H618" s="21">
        <v>45903</v>
      </c>
      <c r="I618" s="22">
        <f>IF(H618&gt;0,EDATE(H618,-2),"")</f>
        <v>25569.375</v>
      </c>
      <c r="J618" s="18" t="s">
        <v>155</v>
      </c>
      <c r="K618" s="18" t="s">
        <v>295</v>
      </c>
      <c r="L618" s="23">
        <f>IF(E618&gt;0,E618,"")</f>
      </c>
      <c r="M618" s="19" t="s">
        <v>2293</v>
      </c>
      <c r="N618" s="19" t="s">
        <v>297</v>
      </c>
      <c r="O618" s="22">
        <f>IF(ISNUMBER(I618), EDATE(I618,36)-1, "")</f>
        <v>25569.375</v>
      </c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x14ac:dyDescent="0.25" r="619" customHeight="1" ht="18.75">
      <c r="A619" s="9"/>
      <c r="B619" s="18" t="s">
        <v>16</v>
      </c>
      <c r="C619" s="9"/>
      <c r="D619" s="9"/>
      <c r="E619" s="18" t="s">
        <v>114</v>
      </c>
      <c r="F619" s="19">
        <v>150000000</v>
      </c>
      <c r="G619" s="20">
        <v>7200000</v>
      </c>
      <c r="H619" s="21">
        <v>45932</v>
      </c>
      <c r="I619" s="22">
        <f>IF(H619&gt;0,EDATE(H619,-2),"")</f>
        <v>25569.375</v>
      </c>
      <c r="J619" s="18" t="s">
        <v>155</v>
      </c>
      <c r="K619" s="18" t="s">
        <v>295</v>
      </c>
      <c r="L619" s="23">
        <f>IF(E619&gt;0,E619,"")</f>
      </c>
      <c r="M619" s="19" t="s">
        <v>2294</v>
      </c>
      <c r="N619" s="19" t="s">
        <v>297</v>
      </c>
      <c r="O619" s="22">
        <f>IF(ISNUMBER(I619), EDATE(I619,36)-1, "")</f>
        <v>25569.375</v>
      </c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x14ac:dyDescent="0.25" r="620" customHeight="1" ht="18.75">
      <c r="A620" s="9"/>
      <c r="B620" s="18" t="s">
        <v>16</v>
      </c>
      <c r="C620" s="9"/>
      <c r="D620" s="9"/>
      <c r="E620" s="18" t="s">
        <v>2295</v>
      </c>
      <c r="F620" s="19">
        <v>10000000</v>
      </c>
      <c r="G620" s="20"/>
      <c r="H620" s="21">
        <v>46166</v>
      </c>
      <c r="I620" s="22">
        <f>IF(H620&gt;0,EDATE(H620,-2),"")</f>
        <v>25569.375</v>
      </c>
      <c r="J620" s="18" t="s">
        <v>205</v>
      </c>
      <c r="K620" s="18" t="s">
        <v>711</v>
      </c>
      <c r="L620" s="23">
        <f>IF(E620&gt;0,E620,"")</f>
      </c>
      <c r="M620" s="19" t="s">
        <v>2296</v>
      </c>
      <c r="N620" s="19" t="s">
        <v>2297</v>
      </c>
      <c r="O620" s="22">
        <f>IF(ISNUMBER(I620), EDATE(I620,36)-1, "")</f>
        <v>25569.375</v>
      </c>
      <c r="P620" s="9" t="s">
        <v>2298</v>
      </c>
      <c r="Q620" s="9" t="s">
        <v>166</v>
      </c>
      <c r="R620" s="9" t="s">
        <v>2299</v>
      </c>
      <c r="S620" s="9"/>
      <c r="T620" s="9"/>
      <c r="U620" s="9"/>
      <c r="V620" s="9"/>
      <c r="W620" s="9"/>
      <c r="X620" s="9"/>
      <c r="Y620" s="9"/>
      <c r="Z620" s="9"/>
    </row>
    <row x14ac:dyDescent="0.25" r="621" customHeight="1" ht="18.75">
      <c r="A621" s="9" t="s">
        <v>275</v>
      </c>
      <c r="B621" s="18" t="s">
        <v>16</v>
      </c>
      <c r="C621" s="9"/>
      <c r="D621" s="9"/>
      <c r="E621" s="18" t="s">
        <v>2295</v>
      </c>
      <c r="F621" s="19">
        <v>10000000</v>
      </c>
      <c r="G621" s="20"/>
      <c r="H621" s="21">
        <v>46166</v>
      </c>
      <c r="I621" s="22">
        <f>IF(H621&gt;0,EDATE(H621,-2),"")</f>
        <v>25569.375</v>
      </c>
      <c r="J621" s="18" t="s">
        <v>205</v>
      </c>
      <c r="K621" s="18" t="s">
        <v>711</v>
      </c>
      <c r="L621" s="23">
        <f>IF(E621&gt;0,E621,"")</f>
      </c>
      <c r="M621" s="19" t="s">
        <v>2296</v>
      </c>
      <c r="N621" s="19">
        <v>79407560</v>
      </c>
      <c r="O621" s="22">
        <f>IF(ISNUMBER(I621), EDATE(I621,36)-1, "")</f>
        <v>25569.375</v>
      </c>
      <c r="P621" s="9" t="s">
        <v>2298</v>
      </c>
      <c r="Q621" s="9" t="s">
        <v>166</v>
      </c>
      <c r="R621" s="9" t="s">
        <v>715</v>
      </c>
      <c r="S621" s="9"/>
      <c r="T621" s="9"/>
      <c r="U621" s="9"/>
      <c r="V621" s="9"/>
      <c r="W621" s="9"/>
      <c r="X621" s="9"/>
      <c r="Y621" s="9"/>
      <c r="Z621" s="9"/>
    </row>
    <row x14ac:dyDescent="0.25" r="622" customHeight="1" ht="18.75">
      <c r="A622" s="9"/>
      <c r="B622" s="18" t="s">
        <v>16</v>
      </c>
      <c r="C622" s="9"/>
      <c r="D622" s="9"/>
      <c r="E622" s="18" t="s">
        <v>2300</v>
      </c>
      <c r="F622" s="19">
        <v>10000000</v>
      </c>
      <c r="G622" s="20"/>
      <c r="H622" s="21">
        <v>46166</v>
      </c>
      <c r="I622" s="22">
        <f>IF(H622&gt;0,EDATE(H622,-2),"")</f>
        <v>25569.375</v>
      </c>
      <c r="J622" s="18" t="s">
        <v>205</v>
      </c>
      <c r="K622" s="18" t="s">
        <v>711</v>
      </c>
      <c r="L622" s="23">
        <f>IF(E622&gt;0,E622,"")</f>
      </c>
      <c r="M622" s="19" t="s">
        <v>2301</v>
      </c>
      <c r="N622" s="19" t="s">
        <v>2302</v>
      </c>
      <c r="O622" s="22">
        <f>IF(ISNUMBER(I622), EDATE(I622,36)-1, "")</f>
        <v>25569.375</v>
      </c>
      <c r="P622" s="9" t="s">
        <v>2303</v>
      </c>
      <c r="Q622" s="9" t="s">
        <v>166</v>
      </c>
      <c r="R622" s="9" t="s">
        <v>2299</v>
      </c>
      <c r="S622" s="9"/>
      <c r="T622" s="9"/>
      <c r="U622" s="9"/>
      <c r="V622" s="9"/>
      <c r="W622" s="9"/>
      <c r="X622" s="9"/>
      <c r="Y622" s="9"/>
      <c r="Z622" s="9"/>
    </row>
    <row x14ac:dyDescent="0.25" r="623" customHeight="1" ht="18.75">
      <c r="A623" s="9" t="s">
        <v>275</v>
      </c>
      <c r="B623" s="18" t="s">
        <v>16</v>
      </c>
      <c r="C623" s="9"/>
      <c r="D623" s="9"/>
      <c r="E623" s="18" t="s">
        <v>2300</v>
      </c>
      <c r="F623" s="19">
        <v>10000000</v>
      </c>
      <c r="G623" s="20"/>
      <c r="H623" s="21">
        <v>46166</v>
      </c>
      <c r="I623" s="22">
        <f>IF(H623&gt;0,EDATE(H623,-2),"")</f>
        <v>25569.375</v>
      </c>
      <c r="J623" s="18" t="s">
        <v>205</v>
      </c>
      <c r="K623" s="18" t="s">
        <v>711</v>
      </c>
      <c r="L623" s="23">
        <f>IF(E623&gt;0,E623,"")</f>
      </c>
      <c r="M623" s="19" t="s">
        <v>2301</v>
      </c>
      <c r="N623" s="19">
        <v>57524153</v>
      </c>
      <c r="O623" s="22">
        <f>IF(ISNUMBER(I623), EDATE(I623,36)-1, "")</f>
        <v>25569.375</v>
      </c>
      <c r="P623" s="9" t="s">
        <v>2303</v>
      </c>
      <c r="Q623" s="9" t="s">
        <v>166</v>
      </c>
      <c r="R623" s="9" t="s">
        <v>715</v>
      </c>
      <c r="S623" s="9"/>
      <c r="T623" s="9"/>
      <c r="U623" s="9"/>
      <c r="V623" s="9"/>
      <c r="W623" s="9"/>
      <c r="X623" s="9"/>
      <c r="Y623" s="9"/>
      <c r="Z623" s="9"/>
    </row>
    <row x14ac:dyDescent="0.25" r="624" customHeight="1" ht="18.75">
      <c r="A624" s="9"/>
      <c r="B624" s="18" t="s">
        <v>16</v>
      </c>
      <c r="C624" s="9"/>
      <c r="D624" s="9"/>
      <c r="E624" s="18" t="s">
        <v>104</v>
      </c>
      <c r="F624" s="19">
        <v>10000000</v>
      </c>
      <c r="G624" s="20">
        <v>800000</v>
      </c>
      <c r="H624" s="21">
        <v>46041</v>
      </c>
      <c r="I624" s="22">
        <f>IF(H624&gt;0,EDATE(H624,-2),"")</f>
        <v>25569.375</v>
      </c>
      <c r="J624" s="18" t="s">
        <v>940</v>
      </c>
      <c r="K624" s="18" t="s">
        <v>2186</v>
      </c>
      <c r="L624" s="23">
        <f>IF(E624&gt;0,E624,"")</f>
      </c>
      <c r="M624" s="19" t="s">
        <v>2187</v>
      </c>
      <c r="N624" s="19" t="s">
        <v>2304</v>
      </c>
      <c r="O624" s="22">
        <f>IF(ISNUMBER(I624), EDATE(I624,36)-1, "")</f>
        <v>25569.375</v>
      </c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x14ac:dyDescent="0.25" r="625" customHeight="1" ht="18.75">
      <c r="A625" s="9"/>
      <c r="B625" s="18" t="s">
        <v>16</v>
      </c>
      <c r="C625" s="9" t="s">
        <v>143</v>
      </c>
      <c r="D625" s="9" t="s">
        <v>14</v>
      </c>
      <c r="E625" s="18" t="s">
        <v>2305</v>
      </c>
      <c r="F625" s="19">
        <v>30000000</v>
      </c>
      <c r="G625" s="20">
        <v>2400000</v>
      </c>
      <c r="H625" s="21">
        <v>46201</v>
      </c>
      <c r="I625" s="22">
        <f>IF(H625&gt;0,EDATE(H625,-2),"")</f>
        <v>25569.375</v>
      </c>
      <c r="J625" s="18" t="s">
        <v>155</v>
      </c>
      <c r="K625" s="18" t="s">
        <v>2306</v>
      </c>
      <c r="L625" s="23">
        <f>IF(E625&gt;0,E625,"")</f>
      </c>
      <c r="M625" s="19" t="s">
        <v>2307</v>
      </c>
      <c r="N625" s="19" t="s">
        <v>2308</v>
      </c>
      <c r="O625" s="22">
        <f>IF(ISNUMBER(I625), EDATE(I625,36)-1, "")</f>
        <v>25569.375</v>
      </c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x14ac:dyDescent="0.25" r="626" customHeight="1" ht="18.75">
      <c r="A626" s="9"/>
      <c r="B626" s="18" t="s">
        <v>16</v>
      </c>
      <c r="C626" s="9" t="s">
        <v>143</v>
      </c>
      <c r="D626" s="9" t="s">
        <v>22</v>
      </c>
      <c r="E626" s="18" t="s">
        <v>2309</v>
      </c>
      <c r="F626" s="19">
        <v>10000000</v>
      </c>
      <c r="G626" s="20">
        <v>800000</v>
      </c>
      <c r="H626" s="21">
        <v>46145</v>
      </c>
      <c r="I626" s="22">
        <f>IF(H626&gt;0,EDATE(H626,-2),"")</f>
        <v>25569.375</v>
      </c>
      <c r="J626" s="18" t="s">
        <v>302</v>
      </c>
      <c r="K626" s="18" t="s">
        <v>2310</v>
      </c>
      <c r="L626" s="23">
        <f>IF(E626&gt;0,E626,"")</f>
      </c>
      <c r="M626" s="19" t="s">
        <v>2311</v>
      </c>
      <c r="N626" s="19" t="s">
        <v>2312</v>
      </c>
      <c r="O626" s="22">
        <f>IF(ISNUMBER(I626), EDATE(I626,36)-1, "")</f>
        <v>25569.375</v>
      </c>
      <c r="P626" s="9" t="s">
        <v>2313</v>
      </c>
      <c r="Q626" s="9" t="s">
        <v>166</v>
      </c>
      <c r="R626" s="9"/>
      <c r="S626" s="9"/>
      <c r="T626" s="9"/>
      <c r="U626" s="9"/>
      <c r="V626" s="9"/>
      <c r="W626" s="9"/>
      <c r="X626" s="9"/>
      <c r="Y626" s="9"/>
      <c r="Z626" s="9"/>
    </row>
    <row x14ac:dyDescent="0.25" r="627" customHeight="1" ht="18.75">
      <c r="A627" s="9"/>
      <c r="B627" s="18" t="s">
        <v>16</v>
      </c>
      <c r="C627" s="9"/>
      <c r="D627" s="9"/>
      <c r="E627" s="18" t="s">
        <v>2314</v>
      </c>
      <c r="F627" s="19">
        <v>10000000</v>
      </c>
      <c r="G627" s="20">
        <v>500000</v>
      </c>
      <c r="H627" s="21">
        <v>46174</v>
      </c>
      <c r="I627" s="22">
        <f>IF(H627&gt;0,EDATE(H627,-2),"")</f>
        <v>25569.375</v>
      </c>
      <c r="J627" s="18" t="s">
        <v>302</v>
      </c>
      <c r="K627" s="18" t="s">
        <v>2315</v>
      </c>
      <c r="L627" s="23">
        <f>IF(E627&gt;0,E627,"")</f>
      </c>
      <c r="M627" s="19" t="s">
        <v>2316</v>
      </c>
      <c r="N627" s="19" t="s">
        <v>2317</v>
      </c>
      <c r="O627" s="22">
        <f>IF(ISNUMBER(I627), EDATE(I627,36)-1, "")</f>
        <v>25569.375</v>
      </c>
      <c r="P627" s="9" t="s">
        <v>2318</v>
      </c>
      <c r="Q627" s="9" t="s">
        <v>166</v>
      </c>
      <c r="R627" s="9"/>
      <c r="S627" s="9"/>
      <c r="T627" s="9"/>
      <c r="U627" s="9"/>
      <c r="V627" s="9"/>
      <c r="W627" s="9"/>
      <c r="X627" s="9"/>
      <c r="Y627" s="9"/>
      <c r="Z627" s="9"/>
    </row>
    <row x14ac:dyDescent="0.25" r="628" customHeight="1" ht="18.75">
      <c r="A628" s="24" t="s">
        <v>152</v>
      </c>
      <c r="B628" s="25" t="s">
        <v>16</v>
      </c>
      <c r="C628" s="24"/>
      <c r="D628" s="24" t="s">
        <v>862</v>
      </c>
      <c r="E628" s="25" t="s">
        <v>2319</v>
      </c>
      <c r="F628" s="26">
        <v>10000000</v>
      </c>
      <c r="G628" s="27">
        <v>800000</v>
      </c>
      <c r="H628" s="28">
        <v>46108</v>
      </c>
      <c r="I628" s="29">
        <f>IF(H628&gt;0,EDATE(H628,-2),"")</f>
        <v>25569.375</v>
      </c>
      <c r="J628" s="25" t="s">
        <v>168</v>
      </c>
      <c r="K628" s="25" t="s">
        <v>2320</v>
      </c>
      <c r="L628" s="30">
        <f>IF(E628&gt;0,E628,"")</f>
      </c>
      <c r="M628" s="26" t="s">
        <v>2321</v>
      </c>
      <c r="N628" s="26" t="s">
        <v>2322</v>
      </c>
      <c r="O628" s="29">
        <f>IF(ISNUMBER(I628), EDATE(I628,36)-1, "")</f>
        <v>25569.375</v>
      </c>
      <c r="P628" s="24"/>
      <c r="Q628" s="24" t="s">
        <v>166</v>
      </c>
      <c r="R628" s="24" t="s">
        <v>2323</v>
      </c>
      <c r="S628" s="9"/>
      <c r="T628" s="9"/>
      <c r="U628" s="9"/>
      <c r="V628" s="9"/>
      <c r="W628" s="9"/>
      <c r="X628" s="9"/>
      <c r="Y628" s="9"/>
      <c r="Z628" s="9"/>
    </row>
    <row x14ac:dyDescent="0.25" r="629" customHeight="1" ht="18.75">
      <c r="A629" s="24"/>
      <c r="B629" s="25" t="s">
        <v>16</v>
      </c>
      <c r="C629" s="24"/>
      <c r="D629" s="24" t="s">
        <v>862</v>
      </c>
      <c r="E629" s="25" t="s">
        <v>2319</v>
      </c>
      <c r="F629" s="26">
        <v>10000000</v>
      </c>
      <c r="G629" s="27">
        <v>800000</v>
      </c>
      <c r="H629" s="28">
        <v>46138</v>
      </c>
      <c r="I629" s="29">
        <f>IF(H629&gt;0,EDATE(H629,-2),"")</f>
        <v>25569.375</v>
      </c>
      <c r="J629" s="25" t="s">
        <v>282</v>
      </c>
      <c r="K629" s="25" t="s">
        <v>2320</v>
      </c>
      <c r="L629" s="30">
        <f>IF(E629&gt;0,E629,"")</f>
      </c>
      <c r="M629" s="26" t="s">
        <v>2321</v>
      </c>
      <c r="N629" s="26" t="s">
        <v>2322</v>
      </c>
      <c r="O629" s="29">
        <f>IF(ISNUMBER(I629), EDATE(I629,36)-1, "")</f>
        <v>25569.375</v>
      </c>
      <c r="P629" s="24"/>
      <c r="Q629" s="24" t="s">
        <v>166</v>
      </c>
      <c r="R629" s="24" t="s">
        <v>2324</v>
      </c>
      <c r="S629" s="9"/>
      <c r="T629" s="9"/>
      <c r="U629" s="9"/>
      <c r="V629" s="9"/>
      <c r="W629" s="9"/>
      <c r="X629" s="9"/>
      <c r="Y629" s="9"/>
      <c r="Z629" s="9"/>
    </row>
    <row x14ac:dyDescent="0.25" r="630" customHeight="1" ht="18.75">
      <c r="A630" s="9"/>
      <c r="B630" s="18" t="s">
        <v>16</v>
      </c>
      <c r="C630" s="9"/>
      <c r="D630" s="9"/>
      <c r="E630" s="18" t="s">
        <v>2325</v>
      </c>
      <c r="F630" s="19">
        <v>10000000</v>
      </c>
      <c r="G630" s="20">
        <v>800000</v>
      </c>
      <c r="H630" s="21">
        <v>46041</v>
      </c>
      <c r="I630" s="22">
        <f>IF(H630&gt;0,EDATE(H630,-2),"")</f>
        <v>25569.375</v>
      </c>
      <c r="J630" s="18" t="s">
        <v>155</v>
      </c>
      <c r="K630" s="18" t="s">
        <v>295</v>
      </c>
      <c r="L630" s="23">
        <f>IF(E630&gt;0,E630,"")</f>
      </c>
      <c r="M630" s="19" t="s">
        <v>2326</v>
      </c>
      <c r="N630" s="19" t="s">
        <v>297</v>
      </c>
      <c r="O630" s="22">
        <f>IF(ISNUMBER(I630), EDATE(I630,36)-1, "")</f>
        <v>25569.375</v>
      </c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x14ac:dyDescent="0.25" r="631" customHeight="1" ht="18.75">
      <c r="A631" s="9"/>
      <c r="B631" s="18" t="s">
        <v>16</v>
      </c>
      <c r="C631" s="9" t="s">
        <v>410</v>
      </c>
      <c r="D631" s="9" t="s">
        <v>534</v>
      </c>
      <c r="E631" s="18" t="s">
        <v>2327</v>
      </c>
      <c r="F631" s="19">
        <v>10000000</v>
      </c>
      <c r="G631" s="20">
        <v>800000</v>
      </c>
      <c r="H631" s="21">
        <v>46210</v>
      </c>
      <c r="I631" s="22">
        <f>IF(H631&gt;0,EDATE(H631,-2),"")</f>
        <v>25569.375</v>
      </c>
      <c r="J631" s="18" t="s">
        <v>168</v>
      </c>
      <c r="K631" s="18" t="s">
        <v>2328</v>
      </c>
      <c r="L631" s="23">
        <f>IF(E631&gt;0,E631,"")</f>
      </c>
      <c r="M631" s="19">
        <v>7611071481615</v>
      </c>
      <c r="N631" s="19">
        <v>41950893</v>
      </c>
      <c r="O631" s="22">
        <f>IF(ISNUMBER(I631), EDATE(I631,36)-1, "")</f>
        <v>25569.375</v>
      </c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x14ac:dyDescent="0.25" r="632" customHeight="1" ht="18.75">
      <c r="A632" s="9"/>
      <c r="B632" s="18" t="s">
        <v>16</v>
      </c>
      <c r="C632" s="9"/>
      <c r="D632" s="9"/>
      <c r="E632" s="18" t="s">
        <v>2329</v>
      </c>
      <c r="F632" s="19">
        <v>10000000</v>
      </c>
      <c r="G632" s="20">
        <v>800000</v>
      </c>
      <c r="H632" s="21">
        <v>46022</v>
      </c>
      <c r="I632" s="22">
        <f>IF(H632&gt;0,EDATE(H632,-2),"")</f>
        <v>25569.375</v>
      </c>
      <c r="J632" s="18" t="s">
        <v>168</v>
      </c>
      <c r="K632" s="18" t="s">
        <v>2330</v>
      </c>
      <c r="L632" s="23">
        <f>IF(E632&gt;0,E632,"")</f>
      </c>
      <c r="M632" s="19" t="s">
        <v>2331</v>
      </c>
      <c r="N632" s="19" t="s">
        <v>2332</v>
      </c>
      <c r="O632" s="22">
        <f>IF(ISNUMBER(I632), EDATE(I632,36)-1, "")</f>
        <v>25569.375</v>
      </c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x14ac:dyDescent="0.25" r="633" customHeight="1" ht="18.75">
      <c r="A633" s="9"/>
      <c r="B633" s="18" t="s">
        <v>16</v>
      </c>
      <c r="C633" s="9"/>
      <c r="D633" s="9"/>
      <c r="E633" s="18" t="s">
        <v>105</v>
      </c>
      <c r="F633" s="19">
        <v>10000000</v>
      </c>
      <c r="G633" s="20">
        <v>800000</v>
      </c>
      <c r="H633" s="21">
        <v>46044</v>
      </c>
      <c r="I633" s="22">
        <f>IF(H633&gt;0,EDATE(H633,-2),"")</f>
        <v>25569.375</v>
      </c>
      <c r="J633" s="18" t="s">
        <v>217</v>
      </c>
      <c r="K633" s="18" t="s">
        <v>2333</v>
      </c>
      <c r="L633" s="23">
        <f>IF(E633&gt;0,E633,"")</f>
      </c>
      <c r="M633" s="19" t="s">
        <v>2334</v>
      </c>
      <c r="N633" s="19" t="s">
        <v>2335</v>
      </c>
      <c r="O633" s="22">
        <f>IF(ISNUMBER(I633), EDATE(I633,36)-1, "")</f>
        <v>25569.375</v>
      </c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x14ac:dyDescent="0.25" r="634" customHeight="1" ht="18.75">
      <c r="A634" s="9"/>
      <c r="B634" s="18" t="s">
        <v>16</v>
      </c>
      <c r="C634" s="9"/>
      <c r="D634" s="9"/>
      <c r="E634" s="18" t="s">
        <v>2336</v>
      </c>
      <c r="F634" s="19">
        <v>10000000</v>
      </c>
      <c r="G634" s="20">
        <v>800000</v>
      </c>
      <c r="H634" s="21">
        <v>46178</v>
      </c>
      <c r="I634" s="22">
        <f>IF(H634&gt;0,EDATE(H634,-2),"")</f>
        <v>25569.375</v>
      </c>
      <c r="J634" s="18" t="s">
        <v>161</v>
      </c>
      <c r="K634" s="18" t="s">
        <v>2337</v>
      </c>
      <c r="L634" s="23">
        <f>IF(E634&gt;0,E634,"")</f>
      </c>
      <c r="M634" s="19" t="s">
        <v>2338</v>
      </c>
      <c r="N634" s="19" t="s">
        <v>2339</v>
      </c>
      <c r="O634" s="22">
        <f>IF(ISNUMBER(I634), EDATE(I634,36)-1, "")</f>
        <v>25569.375</v>
      </c>
      <c r="P634" s="9" t="s">
        <v>2340</v>
      </c>
      <c r="Q634" s="9" t="s">
        <v>179</v>
      </c>
      <c r="R634" s="9"/>
      <c r="S634" s="9"/>
      <c r="T634" s="9"/>
      <c r="U634" s="9"/>
      <c r="V634" s="9"/>
      <c r="W634" s="9"/>
      <c r="X634" s="9"/>
      <c r="Y634" s="9"/>
      <c r="Z634" s="9"/>
    </row>
    <row x14ac:dyDescent="0.25" r="635" customHeight="1" ht="18.75">
      <c r="A635" s="9" t="s">
        <v>152</v>
      </c>
      <c r="B635" s="18" t="s">
        <v>16</v>
      </c>
      <c r="C635" s="18" t="s">
        <v>454</v>
      </c>
      <c r="D635" s="18" t="s">
        <v>647</v>
      </c>
      <c r="E635" s="18" t="s">
        <v>2341</v>
      </c>
      <c r="F635" s="20">
        <v>10000000</v>
      </c>
      <c r="G635" s="20">
        <v>800000</v>
      </c>
      <c r="H635" s="21">
        <v>46169</v>
      </c>
      <c r="I635" s="22">
        <f>IF(H635&gt;0,EDATE(H635,-2),"")</f>
        <v>25569.375</v>
      </c>
      <c r="J635" s="18" t="s">
        <v>155</v>
      </c>
      <c r="K635" s="18" t="s">
        <v>2342</v>
      </c>
      <c r="L635" s="23">
        <f>IF(E635&gt;0,E635,"")</f>
      </c>
      <c r="M635" s="19">
        <v>5903051000415</v>
      </c>
      <c r="N635" s="19">
        <v>37264202</v>
      </c>
      <c r="O635" s="22">
        <f>IF(ISNUMBER(I635), EDATE(I635,36)-1, "")</f>
        <v>25569.375</v>
      </c>
      <c r="P635" s="18"/>
      <c r="Q635" s="18"/>
      <c r="R635" s="9" t="s">
        <v>2343</v>
      </c>
      <c r="S635" s="9"/>
      <c r="T635" s="9"/>
      <c r="U635" s="9"/>
      <c r="V635" s="9"/>
      <c r="W635" s="9"/>
      <c r="X635" s="9"/>
      <c r="Y635" s="9"/>
      <c r="Z635" s="9"/>
    </row>
    <row x14ac:dyDescent="0.25" r="636" customHeight="1" ht="18.75">
      <c r="A636" s="9"/>
      <c r="B636" s="18" t="s">
        <v>16</v>
      </c>
      <c r="C636" s="9"/>
      <c r="D636" s="9"/>
      <c r="E636" s="18" t="s">
        <v>2344</v>
      </c>
      <c r="F636" s="19">
        <v>30000000</v>
      </c>
      <c r="G636" s="20">
        <v>2400000</v>
      </c>
      <c r="H636" s="21">
        <v>45948</v>
      </c>
      <c r="I636" s="22">
        <f>IF(H636&gt;0,EDATE(H636,-2),"")</f>
        <v>25569.375</v>
      </c>
      <c r="J636" s="18" t="s">
        <v>155</v>
      </c>
      <c r="K636" s="18" t="s">
        <v>2345</v>
      </c>
      <c r="L636" s="23">
        <f>IF(E636&gt;0,E636,"")</f>
      </c>
      <c r="M636" s="19" t="s">
        <v>2346</v>
      </c>
      <c r="N636" s="19" t="s">
        <v>2347</v>
      </c>
      <c r="O636" s="22">
        <f>IF(ISNUMBER(I636), EDATE(I636,36)-1, "")</f>
        <v>25569.375</v>
      </c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x14ac:dyDescent="0.25" r="637" customHeight="1" ht="18.75">
      <c r="A637" s="9"/>
      <c r="B637" s="18" t="s">
        <v>16</v>
      </c>
      <c r="C637" s="9" t="s">
        <v>88</v>
      </c>
      <c r="D637" s="9" t="s">
        <v>14</v>
      </c>
      <c r="E637" s="18" t="s">
        <v>2348</v>
      </c>
      <c r="F637" s="19">
        <v>10000000</v>
      </c>
      <c r="G637" s="20">
        <v>500000</v>
      </c>
      <c r="H637" s="21">
        <v>46179</v>
      </c>
      <c r="I637" s="22">
        <f>IF(H637&gt;0,EDATE(H637,-2),"")</f>
        <v>25569.375</v>
      </c>
      <c r="J637" s="18" t="s">
        <v>168</v>
      </c>
      <c r="K637" s="18" t="s">
        <v>2349</v>
      </c>
      <c r="L637" s="23">
        <f>IF(E637&gt;0,E637,"")</f>
      </c>
      <c r="M637" s="19" t="s">
        <v>2350</v>
      </c>
      <c r="N637" s="19" t="s">
        <v>2351</v>
      </c>
      <c r="O637" s="22">
        <f>IF(ISNUMBER(I637), EDATE(I637,36)-1, "")</f>
        <v>25569.375</v>
      </c>
      <c r="P637" s="9" t="s">
        <v>2352</v>
      </c>
      <c r="Q637" s="9" t="s">
        <v>166</v>
      </c>
      <c r="R637" s="9"/>
      <c r="S637" s="9"/>
      <c r="T637" s="9"/>
      <c r="U637" s="9"/>
      <c r="V637" s="9"/>
      <c r="W637" s="9"/>
      <c r="X637" s="9"/>
      <c r="Y637" s="9"/>
      <c r="Z637" s="9"/>
    </row>
    <row x14ac:dyDescent="0.25" r="638" customHeight="1" ht="18.75">
      <c r="A638" s="9" t="s">
        <v>63</v>
      </c>
      <c r="B638" s="18" t="s">
        <v>16</v>
      </c>
      <c r="C638" s="9" t="s">
        <v>88</v>
      </c>
      <c r="D638" s="9" t="s">
        <v>14</v>
      </c>
      <c r="E638" s="18" t="s">
        <v>2348</v>
      </c>
      <c r="F638" s="19">
        <v>20000000</v>
      </c>
      <c r="G638" s="20">
        <v>1800000</v>
      </c>
      <c r="H638" s="21">
        <v>46219</v>
      </c>
      <c r="I638" s="22">
        <f>IF(H638&gt;0,EDATE(H638,-2),"")</f>
        <v>25569.375</v>
      </c>
      <c r="J638" s="18" t="s">
        <v>168</v>
      </c>
      <c r="K638" s="18" t="s">
        <v>2349</v>
      </c>
      <c r="L638" s="23">
        <f>IF(E638&gt;0,E638,"")</f>
      </c>
      <c r="M638" s="19">
        <v>6304192538312</v>
      </c>
      <c r="N638" s="19">
        <v>37329807</v>
      </c>
      <c r="O638" s="22">
        <f>IF(ISNUMBER(I638), EDATE(I638,36)-1, "")</f>
        <v>25569.375</v>
      </c>
      <c r="P638" s="9"/>
      <c r="Q638" s="9"/>
      <c r="R638" s="9" t="s">
        <v>2353</v>
      </c>
      <c r="S638" s="9"/>
      <c r="T638" s="9"/>
      <c r="U638" s="9"/>
      <c r="V638" s="9"/>
      <c r="W638" s="9"/>
      <c r="X638" s="9"/>
      <c r="Y638" s="9"/>
      <c r="Z638" s="9"/>
    </row>
    <row x14ac:dyDescent="0.25" r="639" customHeight="1" ht="18.75">
      <c r="A639" s="9"/>
      <c r="B639" s="18" t="s">
        <v>16</v>
      </c>
      <c r="C639" s="9"/>
      <c r="D639" s="9" t="s">
        <v>75</v>
      </c>
      <c r="E639" s="18" t="s">
        <v>2354</v>
      </c>
      <c r="F639" s="19">
        <v>10000000</v>
      </c>
      <c r="G639" s="20">
        <v>500000</v>
      </c>
      <c r="H639" s="21">
        <v>46146</v>
      </c>
      <c r="I639" s="22">
        <f>IF(H639&gt;0,EDATE(H639,-2),"")</f>
        <v>25569.375</v>
      </c>
      <c r="J639" s="18" t="s">
        <v>217</v>
      </c>
      <c r="K639" s="18" t="s">
        <v>2355</v>
      </c>
      <c r="L639" s="23">
        <f>IF(E639&gt;0,E639,"")</f>
      </c>
      <c r="M639" s="19" t="s">
        <v>2356</v>
      </c>
      <c r="N639" s="19" t="s">
        <v>2357</v>
      </c>
      <c r="O639" s="22">
        <f>IF(ISNUMBER(I639), EDATE(I639,36)-1, "")</f>
        <v>25569.375</v>
      </c>
      <c r="P639" s="9" t="s">
        <v>2358</v>
      </c>
      <c r="Q639" s="9"/>
      <c r="R639" s="9" t="s">
        <v>2359</v>
      </c>
      <c r="S639" s="9"/>
      <c r="T639" s="9"/>
      <c r="U639" s="9"/>
      <c r="V639" s="9"/>
      <c r="W639" s="9"/>
      <c r="X639" s="9"/>
      <c r="Y639" s="9"/>
      <c r="Z639" s="9"/>
    </row>
    <row x14ac:dyDescent="0.25" r="640" customHeight="1" ht="18.75">
      <c r="A640" s="9" t="s">
        <v>275</v>
      </c>
      <c r="B640" s="18" t="s">
        <v>16</v>
      </c>
      <c r="C640" s="9"/>
      <c r="D640" s="9"/>
      <c r="E640" s="18" t="s">
        <v>106</v>
      </c>
      <c r="F640" s="19">
        <v>60000000</v>
      </c>
      <c r="G640" s="20">
        <v>4800000</v>
      </c>
      <c r="H640" s="21">
        <v>46094</v>
      </c>
      <c r="I640" s="22">
        <f>IF(H640&gt;0,EDATE(H640,-2),"")</f>
        <v>25569.375</v>
      </c>
      <c r="J640" s="18" t="s">
        <v>212</v>
      </c>
      <c r="K640" s="18" t="s">
        <v>2360</v>
      </c>
      <c r="L640" s="23">
        <f>IF(E640&gt;0,E640,"")</f>
      </c>
      <c r="M640" s="19" t="s">
        <v>2361</v>
      </c>
      <c r="N640" s="19" t="s">
        <v>1823</v>
      </c>
      <c r="O640" s="22">
        <f>IF(ISNUMBER(I640), EDATE(I640,36)-1, "")</f>
        <v>25569.375</v>
      </c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x14ac:dyDescent="0.25" r="641" customHeight="1" ht="18.75">
      <c r="A641" s="9"/>
      <c r="B641" s="18" t="s">
        <v>16</v>
      </c>
      <c r="C641" s="9"/>
      <c r="D641" s="9"/>
      <c r="E641" s="18" t="s">
        <v>2362</v>
      </c>
      <c r="F641" s="19">
        <v>60000000</v>
      </c>
      <c r="G641" s="20">
        <v>4056000</v>
      </c>
      <c r="H641" s="21">
        <v>46001</v>
      </c>
      <c r="I641" s="22">
        <f>IF(H641&gt;0,EDATE(H641,-2),"")</f>
        <v>25569.375</v>
      </c>
      <c r="J641" s="18" t="s">
        <v>239</v>
      </c>
      <c r="K641" s="18" t="s">
        <v>2363</v>
      </c>
      <c r="L641" s="23">
        <f>IF(E641&gt;0,E641,"")</f>
      </c>
      <c r="M641" s="19" t="s">
        <v>2364</v>
      </c>
      <c r="N641" s="19" t="s">
        <v>2365</v>
      </c>
      <c r="O641" s="22">
        <f>IF(ISNUMBER(I641), EDATE(I641,36)-1, "")</f>
        <v>25569.375</v>
      </c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x14ac:dyDescent="0.25" r="642" customHeight="1" ht="18.75">
      <c r="A642" s="9"/>
      <c r="B642" s="18" t="s">
        <v>16</v>
      </c>
      <c r="C642" s="9" t="s">
        <v>410</v>
      </c>
      <c r="D642" s="9" t="s">
        <v>1294</v>
      </c>
      <c r="E642" s="18" t="s">
        <v>2362</v>
      </c>
      <c r="F642" s="19">
        <v>30000000</v>
      </c>
      <c r="G642" s="20">
        <v>2028000</v>
      </c>
      <c r="H642" s="21">
        <v>46138</v>
      </c>
      <c r="I642" s="22">
        <f>IF(H642&gt;0,EDATE(H642,-2),"")</f>
        <v>25569.375</v>
      </c>
      <c r="J642" s="18" t="s">
        <v>302</v>
      </c>
      <c r="K642" s="18" t="s">
        <v>2366</v>
      </c>
      <c r="L642" s="23">
        <f>IF(E642&gt;0,E642,"")</f>
      </c>
      <c r="M642" s="19" t="s">
        <v>2364</v>
      </c>
      <c r="N642" s="19" t="s">
        <v>1712</v>
      </c>
      <c r="O642" s="22">
        <f>IF(ISNUMBER(I642), EDATE(I642,36)-1, "")</f>
        <v>25569.375</v>
      </c>
      <c r="P642" s="9"/>
      <c r="Q642" s="9"/>
      <c r="R642" s="9" t="s">
        <v>2353</v>
      </c>
      <c r="S642" s="9"/>
      <c r="T642" s="9"/>
      <c r="U642" s="9"/>
      <c r="V642" s="9"/>
      <c r="W642" s="9"/>
      <c r="X642" s="9"/>
      <c r="Y642" s="9"/>
      <c r="Z642" s="9"/>
    </row>
    <row x14ac:dyDescent="0.25" r="643" customHeight="1" ht="18.75">
      <c r="A643" s="9"/>
      <c r="B643" s="18" t="s">
        <v>16</v>
      </c>
      <c r="C643" s="9" t="s">
        <v>55</v>
      </c>
      <c r="D643" s="9"/>
      <c r="E643" s="18" t="s">
        <v>2367</v>
      </c>
      <c r="F643" s="19">
        <v>10000000</v>
      </c>
      <c r="G643" s="20">
        <v>800000</v>
      </c>
      <c r="H643" s="21">
        <v>46156</v>
      </c>
      <c r="I643" s="22">
        <f>IF(H643&gt;0,EDATE(H643,-2),"")</f>
        <v>25569.375</v>
      </c>
      <c r="J643" s="18" t="s">
        <v>217</v>
      </c>
      <c r="K643" s="18" t="s">
        <v>2368</v>
      </c>
      <c r="L643" s="23">
        <f>IF(E643&gt;0,E643,"")</f>
      </c>
      <c r="M643" s="19" t="s">
        <v>2369</v>
      </c>
      <c r="N643" s="19" t="s">
        <v>2370</v>
      </c>
      <c r="O643" s="22">
        <f>IF(ISNUMBER(I643), EDATE(I643,36)-1, "")</f>
        <v>25569.375</v>
      </c>
      <c r="P643" s="9" t="s">
        <v>2371</v>
      </c>
      <c r="Q643" s="9" t="s">
        <v>293</v>
      </c>
      <c r="R643" s="9"/>
      <c r="S643" s="9"/>
      <c r="T643" s="9"/>
      <c r="U643" s="9"/>
      <c r="V643" s="9"/>
      <c r="W643" s="9"/>
      <c r="X643" s="9"/>
      <c r="Y643" s="9"/>
      <c r="Z643" s="9"/>
    </row>
    <row x14ac:dyDescent="0.25" r="644" customHeight="1" ht="18.75">
      <c r="A644" s="9"/>
      <c r="B644" s="18" t="s">
        <v>16</v>
      </c>
      <c r="C644" s="9"/>
      <c r="D644" s="9" t="s">
        <v>1044</v>
      </c>
      <c r="E644" s="18" t="s">
        <v>2372</v>
      </c>
      <c r="F644" s="19">
        <v>10000000</v>
      </c>
      <c r="G644" s="20">
        <v>800000</v>
      </c>
      <c r="H644" s="21">
        <v>46197</v>
      </c>
      <c r="I644" s="22">
        <f>IF(H644&gt;0,EDATE(H644,-2),"")</f>
        <v>25569.375</v>
      </c>
      <c r="J644" s="18" t="s">
        <v>205</v>
      </c>
      <c r="K644" s="18" t="s">
        <v>2373</v>
      </c>
      <c r="L644" s="23">
        <f>IF(E644&gt;0,E644,"")</f>
      </c>
      <c r="M644" s="19" t="s">
        <v>2374</v>
      </c>
      <c r="N644" s="19" t="s">
        <v>2375</v>
      </c>
      <c r="O644" s="22">
        <f>IF(ISNUMBER(I644), EDATE(I644,36)-1, "")</f>
        <v>25569.375</v>
      </c>
      <c r="P644" s="9" t="s">
        <v>2376</v>
      </c>
      <c r="Q644" s="9" t="s">
        <v>166</v>
      </c>
      <c r="R644" s="9"/>
      <c r="S644" s="9"/>
      <c r="T644" s="9"/>
      <c r="U644" s="9"/>
      <c r="V644" s="9"/>
      <c r="W644" s="9"/>
      <c r="X644" s="9"/>
      <c r="Y644" s="9"/>
      <c r="Z644" s="9"/>
    </row>
    <row x14ac:dyDescent="0.25" r="645" customHeight="1" ht="18.75">
      <c r="A645" s="9"/>
      <c r="B645" s="18" t="s">
        <v>16</v>
      </c>
      <c r="C645" s="9"/>
      <c r="D645" s="9" t="s">
        <v>357</v>
      </c>
      <c r="E645" s="18" t="s">
        <v>2377</v>
      </c>
      <c r="F645" s="19">
        <v>10000000</v>
      </c>
      <c r="G645" s="20">
        <v>1200000</v>
      </c>
      <c r="H645" s="21">
        <v>46209</v>
      </c>
      <c r="I645" s="22">
        <f>IF(H645&gt;0,EDATE(H645,-2),"")</f>
        <v>25569.375</v>
      </c>
      <c r="J645" s="18" t="s">
        <v>217</v>
      </c>
      <c r="K645" s="18" t="s">
        <v>2378</v>
      </c>
      <c r="L645" s="23">
        <f>IF(E645&gt;0,E645,"")</f>
      </c>
      <c r="M645" s="19" t="s">
        <v>2379</v>
      </c>
      <c r="N645" s="19">
        <v>54453764</v>
      </c>
      <c r="O645" s="22">
        <f>IF(ISNUMBER(I645), EDATE(I645,36)-1, "")</f>
        <v>25569.375</v>
      </c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x14ac:dyDescent="0.25" r="646" customHeight="1" ht="18.75">
      <c r="A646" s="9"/>
      <c r="B646" s="18" t="s">
        <v>13</v>
      </c>
      <c r="C646" s="9"/>
      <c r="D646" s="9"/>
      <c r="E646" s="18" t="s">
        <v>56</v>
      </c>
      <c r="F646" s="19">
        <v>20000000</v>
      </c>
      <c r="G646" s="20">
        <v>1650000</v>
      </c>
      <c r="H646" s="21">
        <v>45778</v>
      </c>
      <c r="I646" s="22">
        <f>IF(H646&gt;0,EDATE(H646,-2),"")</f>
        <v>25569.375</v>
      </c>
      <c r="J646" s="18" t="s">
        <v>306</v>
      </c>
      <c r="K646" s="18" t="s">
        <v>2380</v>
      </c>
      <c r="L646" s="23">
        <f>IF(E646&gt;0,E646,"")</f>
      </c>
      <c r="M646" s="19" t="s">
        <v>2381</v>
      </c>
      <c r="N646" s="19" t="s">
        <v>2382</v>
      </c>
      <c r="O646" s="22">
        <f>IF(ISNUMBER(I646), EDATE(I646,36)-1, "")</f>
        <v>25569.375</v>
      </c>
      <c r="P646" s="9"/>
      <c r="Q646" s="9" t="s">
        <v>2383</v>
      </c>
      <c r="R646" s="9"/>
      <c r="S646" s="9"/>
      <c r="T646" s="9"/>
      <c r="U646" s="9"/>
      <c r="V646" s="9"/>
      <c r="W646" s="9"/>
      <c r="X646" s="9"/>
      <c r="Y646" s="9"/>
      <c r="Z646" s="9"/>
    </row>
    <row x14ac:dyDescent="0.25" r="647" customHeight="1" ht="18.75">
      <c r="A647" s="9"/>
      <c r="B647" s="18" t="s">
        <v>16</v>
      </c>
      <c r="C647" s="9"/>
      <c r="D647" s="9"/>
      <c r="E647" s="18" t="s">
        <v>56</v>
      </c>
      <c r="F647" s="19">
        <v>10000000</v>
      </c>
      <c r="G647" s="20">
        <v>800000</v>
      </c>
      <c r="H647" s="21">
        <v>45880</v>
      </c>
      <c r="I647" s="22">
        <f>IF(H647&gt;0,EDATE(H647,-2),"")</f>
        <v>25569.375</v>
      </c>
      <c r="J647" s="18" t="s">
        <v>306</v>
      </c>
      <c r="K647" s="18" t="s">
        <v>2380</v>
      </c>
      <c r="L647" s="23">
        <f>IF(E647&gt;0,E647,"")</f>
      </c>
      <c r="M647" s="19" t="s">
        <v>2381</v>
      </c>
      <c r="N647" s="19" t="s">
        <v>2382</v>
      </c>
      <c r="O647" s="22">
        <f>IF(ISNUMBER(I647), EDATE(I647,36)-1, "")</f>
        <v>25569.375</v>
      </c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x14ac:dyDescent="0.25" r="648" customHeight="1" ht="18.75">
      <c r="A648" s="9"/>
      <c r="B648" s="18" t="s">
        <v>16</v>
      </c>
      <c r="C648" s="9"/>
      <c r="D648" s="9" t="s">
        <v>2384</v>
      </c>
      <c r="E648" s="18" t="s">
        <v>56</v>
      </c>
      <c r="F648" s="19">
        <v>10000000</v>
      </c>
      <c r="G648" s="20">
        <v>800000</v>
      </c>
      <c r="H648" s="21">
        <v>46181</v>
      </c>
      <c r="I648" s="22">
        <f>IF(H648&gt;0,EDATE(H648,-2),"")</f>
        <v>25569.375</v>
      </c>
      <c r="J648" s="18" t="s">
        <v>168</v>
      </c>
      <c r="K648" s="18" t="s">
        <v>2385</v>
      </c>
      <c r="L648" s="23">
        <f>IF(E648&gt;0,E648,"")</f>
      </c>
      <c r="M648" s="19" t="s">
        <v>2386</v>
      </c>
      <c r="N648" s="19" t="s">
        <v>2387</v>
      </c>
      <c r="O648" s="22">
        <f>IF(ISNUMBER(I648), EDATE(I648,36)-1, "")</f>
        <v>25569.375</v>
      </c>
      <c r="P648" s="9" t="s">
        <v>2388</v>
      </c>
      <c r="Q648" s="9" t="s">
        <v>166</v>
      </c>
      <c r="R648" s="9"/>
      <c r="S648" s="9"/>
      <c r="T648" s="9"/>
      <c r="U648" s="9"/>
      <c r="V648" s="9"/>
      <c r="W648" s="9"/>
      <c r="X648" s="9"/>
      <c r="Y648" s="9"/>
      <c r="Z648" s="9"/>
    </row>
    <row x14ac:dyDescent="0.25" r="649" customHeight="1" ht="18.75">
      <c r="A649" s="9"/>
      <c r="B649" s="18" t="s">
        <v>27</v>
      </c>
      <c r="C649" s="9"/>
      <c r="D649" s="9"/>
      <c r="E649" s="18" t="s">
        <v>56</v>
      </c>
      <c r="F649" s="19">
        <v>3000000</v>
      </c>
      <c r="G649" s="20">
        <v>300000</v>
      </c>
      <c r="H649" s="21">
        <v>46031</v>
      </c>
      <c r="I649" s="22">
        <f>IF(H649&gt;0,EDATE(H649,-2),"")</f>
        <v>25569.375</v>
      </c>
      <c r="J649" s="18" t="s">
        <v>282</v>
      </c>
      <c r="K649" s="18" t="s">
        <v>2389</v>
      </c>
      <c r="L649" s="23">
        <f>IF(E649&gt;0,E649,"")</f>
      </c>
      <c r="M649" s="19">
        <v>8503022125812</v>
      </c>
      <c r="N649" s="19">
        <v>33821764</v>
      </c>
      <c r="O649" s="22">
        <f>IF(ISNUMBER(I649), EDATE(I649,36)-1, "")</f>
        <v>25569.375</v>
      </c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x14ac:dyDescent="0.25" r="650" customHeight="1" ht="18.75">
      <c r="A650" s="9"/>
      <c r="B650" s="18" t="s">
        <v>16</v>
      </c>
      <c r="C650" s="9"/>
      <c r="D650" s="9" t="s">
        <v>107</v>
      </c>
      <c r="E650" s="18" t="s">
        <v>108</v>
      </c>
      <c r="F650" s="19">
        <v>10000000</v>
      </c>
      <c r="G650" s="8"/>
      <c r="H650" s="21">
        <v>46097</v>
      </c>
      <c r="I650" s="22">
        <v>46038</v>
      </c>
      <c r="J650" s="18" t="s">
        <v>155</v>
      </c>
      <c r="K650" s="18" t="s">
        <v>2390</v>
      </c>
      <c r="L650" s="23">
        <f>IF(E650&gt;0,E650,"")</f>
      </c>
      <c r="M650" s="19" t="s">
        <v>2391</v>
      </c>
      <c r="N650" s="19" t="s">
        <v>2392</v>
      </c>
      <c r="O650" s="22">
        <f>IF(ISNUMBER(I650), EDATE(I650,36)-1, "")</f>
        <v>25569.375</v>
      </c>
      <c r="P650" s="9" t="s">
        <v>109</v>
      </c>
      <c r="Q650" s="9" t="s">
        <v>166</v>
      </c>
      <c r="R650" s="9" t="s">
        <v>110</v>
      </c>
      <c r="S650" s="9"/>
      <c r="T650" s="9"/>
      <c r="U650" s="9"/>
      <c r="V650" s="9"/>
      <c r="W650" s="9"/>
      <c r="X650" s="9"/>
      <c r="Y650" s="9"/>
      <c r="Z650" s="9"/>
    </row>
    <row x14ac:dyDescent="0.25" r="651" customHeight="1" ht="18.75">
      <c r="A651" s="9"/>
      <c r="B651" s="18" t="s">
        <v>16</v>
      </c>
      <c r="C651" s="9"/>
      <c r="D651" s="9"/>
      <c r="E651" s="18" t="s">
        <v>108</v>
      </c>
      <c r="F651" s="19">
        <v>20000000</v>
      </c>
      <c r="G651" s="20">
        <v>1528000</v>
      </c>
      <c r="H651" s="21">
        <v>46182</v>
      </c>
      <c r="I651" s="22">
        <f>IF(H651&gt;0,EDATE(H651,-2),"")</f>
        <v>25569.375</v>
      </c>
      <c r="J651" s="18" t="s">
        <v>161</v>
      </c>
      <c r="K651" s="18" t="s">
        <v>2393</v>
      </c>
      <c r="L651" s="23">
        <f>IF(E651&gt;0,E651,"")</f>
      </c>
      <c r="M651" s="19" t="s">
        <v>2394</v>
      </c>
      <c r="N651" s="19" t="s">
        <v>2395</v>
      </c>
      <c r="O651" s="22">
        <f>IF(ISNUMBER(I651), EDATE(I651,36)-1, "")</f>
        <v>25569.375</v>
      </c>
      <c r="P651" s="9" t="s">
        <v>2396</v>
      </c>
      <c r="Q651" s="9" t="s">
        <v>166</v>
      </c>
      <c r="R651" s="9"/>
      <c r="S651" s="9"/>
      <c r="T651" s="9"/>
      <c r="U651" s="9"/>
      <c r="V651" s="9"/>
      <c r="W651" s="9"/>
      <c r="X651" s="9"/>
      <c r="Y651" s="9"/>
      <c r="Z651" s="9"/>
    </row>
    <row x14ac:dyDescent="0.25" r="652" customHeight="1" ht="18.75">
      <c r="A652" s="9"/>
      <c r="B652" s="18" t="s">
        <v>16</v>
      </c>
      <c r="C652" s="9"/>
      <c r="D652" s="9" t="s">
        <v>117</v>
      </c>
      <c r="E652" s="18" t="s">
        <v>521</v>
      </c>
      <c r="F652" s="19">
        <v>10000000</v>
      </c>
      <c r="G652" s="20">
        <v>800000</v>
      </c>
      <c r="H652" s="21">
        <v>46140</v>
      </c>
      <c r="I652" s="22">
        <f>IF(H652&gt;0,EDATE(H652,-2),"")</f>
        <v>25569.375</v>
      </c>
      <c r="J652" s="18" t="s">
        <v>282</v>
      </c>
      <c r="K652" s="18" t="s">
        <v>2397</v>
      </c>
      <c r="L652" s="23">
        <f>IF(E652&gt;0,E652,"")</f>
      </c>
      <c r="M652" s="19" t="s">
        <v>2398</v>
      </c>
      <c r="N652" s="19" t="s">
        <v>2399</v>
      </c>
      <c r="O652" s="22">
        <f>IF(ISNUMBER(I652), EDATE(I652,36)-1, "")</f>
        <v>25569.375</v>
      </c>
      <c r="P652" s="9" t="s">
        <v>2400</v>
      </c>
      <c r="Q652" s="9" t="s">
        <v>166</v>
      </c>
      <c r="R652" s="9"/>
      <c r="S652" s="9"/>
      <c r="T652" s="9"/>
      <c r="U652" s="9"/>
      <c r="V652" s="9"/>
      <c r="W652" s="9"/>
      <c r="X652" s="9"/>
      <c r="Y652" s="9"/>
      <c r="Z652" s="9"/>
    </row>
    <row x14ac:dyDescent="0.25" r="653" customHeight="1" ht="18.75">
      <c r="A653" s="9"/>
      <c r="B653" s="18" t="s">
        <v>16</v>
      </c>
      <c r="C653" s="9" t="s">
        <v>737</v>
      </c>
      <c r="D653" s="9" t="s">
        <v>357</v>
      </c>
      <c r="E653" s="18" t="s">
        <v>2401</v>
      </c>
      <c r="F653" s="19">
        <v>60000000</v>
      </c>
      <c r="G653" s="20">
        <v>4056000</v>
      </c>
      <c r="H653" s="21">
        <v>46183</v>
      </c>
      <c r="I653" s="22">
        <f>IF(H653&gt;0,EDATE(H653,-2),"")</f>
        <v>25569.375</v>
      </c>
      <c r="J653" s="18" t="s">
        <v>239</v>
      </c>
      <c r="K653" s="18" t="s">
        <v>2402</v>
      </c>
      <c r="L653" s="23">
        <f>IF(E653&gt;0,E653,"")</f>
      </c>
      <c r="M653" s="19">
        <v>8106032019513</v>
      </c>
      <c r="N653" s="19">
        <v>74792585</v>
      </c>
      <c r="O653" s="22">
        <f>IF(ISNUMBER(I653), EDATE(I653,36)-1, "")</f>
        <v>25569.375</v>
      </c>
      <c r="P653" s="9"/>
      <c r="Q653" s="9"/>
      <c r="R653" s="9" t="s">
        <v>2403</v>
      </c>
      <c r="S653" s="9"/>
      <c r="T653" s="9"/>
      <c r="U653" s="9"/>
      <c r="V653" s="9"/>
      <c r="W653" s="9"/>
      <c r="X653" s="9"/>
      <c r="Y653" s="9"/>
      <c r="Z653" s="9"/>
    </row>
    <row x14ac:dyDescent="0.25" r="654" customHeight="1" ht="18.75">
      <c r="A654" s="9"/>
      <c r="B654" s="18" t="s">
        <v>16</v>
      </c>
      <c r="C654" s="9" t="s">
        <v>454</v>
      </c>
      <c r="D654" s="9"/>
      <c r="E654" s="18" t="s">
        <v>2404</v>
      </c>
      <c r="F654" s="19">
        <v>60000000</v>
      </c>
      <c r="G654" s="20">
        <v>4056000</v>
      </c>
      <c r="H654" s="21">
        <v>46207</v>
      </c>
      <c r="I654" s="22">
        <f>IF(H654&gt;0,EDATE(H654,-2),"")</f>
        <v>25569.375</v>
      </c>
      <c r="J654" s="18" t="s">
        <v>306</v>
      </c>
      <c r="K654" s="18" t="s">
        <v>2405</v>
      </c>
      <c r="L654" s="23">
        <f>IF(E654&gt;0,E654,"")</f>
      </c>
      <c r="M654" s="19" t="s">
        <v>2406</v>
      </c>
      <c r="N654" s="19" t="s">
        <v>2407</v>
      </c>
      <c r="O654" s="22">
        <f>IF(ISNUMBER(I654), EDATE(I654,36)-1, "")</f>
        <v>25569.375</v>
      </c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x14ac:dyDescent="0.25" r="655" customHeight="1" ht="18.75">
      <c r="A655" s="9"/>
      <c r="B655" s="18" t="s">
        <v>16</v>
      </c>
      <c r="C655" s="9"/>
      <c r="D655" s="9"/>
      <c r="E655" s="18" t="s">
        <v>2408</v>
      </c>
      <c r="F655" s="19">
        <v>10000000</v>
      </c>
      <c r="G655" s="20">
        <v>800000</v>
      </c>
      <c r="H655" s="21">
        <v>46108</v>
      </c>
      <c r="I655" s="22">
        <f>IF(H655&gt;0,EDATE(H655,-2),"")</f>
        <v>25569.375</v>
      </c>
      <c r="J655" s="18" t="s">
        <v>234</v>
      </c>
      <c r="K655" s="18" t="s">
        <v>2409</v>
      </c>
      <c r="L655" s="23">
        <f>IF(E655&gt;0,E655,"")</f>
      </c>
      <c r="M655" s="19" t="s">
        <v>2410</v>
      </c>
      <c r="N655" s="19">
        <v>86121680</v>
      </c>
      <c r="O655" s="22">
        <f>IF(ISNUMBER(I655), EDATE(I655,36)-1, "")</f>
        <v>25569.375</v>
      </c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x14ac:dyDescent="0.25" r="656" customHeight="1" ht="18.75">
      <c r="A656" s="9"/>
      <c r="B656" s="18" t="s">
        <v>16</v>
      </c>
      <c r="C656" s="9"/>
      <c r="D656" s="9"/>
      <c r="E656" s="18" t="s">
        <v>2411</v>
      </c>
      <c r="F656" s="19">
        <v>10000000</v>
      </c>
      <c r="G656" s="20">
        <v>800000</v>
      </c>
      <c r="H656" s="21">
        <v>46180</v>
      </c>
      <c r="I656" s="22">
        <f>IF(H656&gt;0,EDATE(H656,-2),"")</f>
        <v>25569.375</v>
      </c>
      <c r="J656" s="18" t="s">
        <v>217</v>
      </c>
      <c r="K656" s="18" t="s">
        <v>2412</v>
      </c>
      <c r="L656" s="23">
        <f>IF(E656&gt;0,E656,"")</f>
      </c>
      <c r="M656" s="19" t="s">
        <v>2413</v>
      </c>
      <c r="N656" s="19" t="s">
        <v>2414</v>
      </c>
      <c r="O656" s="22">
        <f>IF(ISNUMBER(I656), EDATE(I656,36)-1, "")</f>
        <v>25569.375</v>
      </c>
      <c r="P656" s="9" t="s">
        <v>2415</v>
      </c>
      <c r="Q656" s="9" t="s">
        <v>166</v>
      </c>
      <c r="R656" s="9"/>
      <c r="S656" s="9"/>
      <c r="T656" s="9"/>
      <c r="U656" s="9"/>
      <c r="V656" s="9"/>
      <c r="W656" s="9"/>
      <c r="X656" s="9"/>
      <c r="Y656" s="9"/>
      <c r="Z656" s="9"/>
    </row>
    <row x14ac:dyDescent="0.25" r="657" customHeight="1" ht="18.75">
      <c r="A657" s="9" t="s">
        <v>275</v>
      </c>
      <c r="B657" s="18" t="s">
        <v>16</v>
      </c>
      <c r="C657" s="9"/>
      <c r="D657" s="9"/>
      <c r="E657" s="18" t="s">
        <v>2416</v>
      </c>
      <c r="F657" s="19">
        <v>10000000</v>
      </c>
      <c r="G657" s="20"/>
      <c r="H657" s="21">
        <v>46184</v>
      </c>
      <c r="I657" s="22">
        <f>IF(H657&gt;0,EDATE(H657,-2),"")</f>
        <v>25569.375</v>
      </c>
      <c r="J657" s="18" t="s">
        <v>168</v>
      </c>
      <c r="K657" s="18" t="s">
        <v>471</v>
      </c>
      <c r="L657" s="23">
        <f>IF(E657&gt;0,E657,"")</f>
      </c>
      <c r="M657" s="19" t="s">
        <v>2417</v>
      </c>
      <c r="N657" s="19" t="s">
        <v>2418</v>
      </c>
      <c r="O657" s="22">
        <f>IF(ISNUMBER(I657), EDATE(I657,36)-1, "")</f>
        <v>25569.375</v>
      </c>
      <c r="P657" s="9" t="s">
        <v>1070</v>
      </c>
      <c r="Q657" s="9" t="s">
        <v>166</v>
      </c>
      <c r="R657" s="9" t="s">
        <v>475</v>
      </c>
      <c r="S657" s="9"/>
      <c r="T657" s="9"/>
      <c r="U657" s="9"/>
      <c r="V657" s="9"/>
      <c r="W657" s="9"/>
      <c r="X657" s="9"/>
      <c r="Y657" s="9"/>
      <c r="Z657" s="9"/>
    </row>
    <row x14ac:dyDescent="0.25" r="658" customHeight="1" ht="18.75">
      <c r="A658" s="9"/>
      <c r="B658" s="18" t="s">
        <v>16</v>
      </c>
      <c r="C658" s="9"/>
      <c r="D658" s="9"/>
      <c r="E658" s="18" t="s">
        <v>2416</v>
      </c>
      <c r="F658" s="19">
        <v>10000000</v>
      </c>
      <c r="G658" s="20"/>
      <c r="H658" s="21">
        <v>46184</v>
      </c>
      <c r="I658" s="22">
        <f>IF(H658&gt;0,EDATE(H658,-2),"")</f>
        <v>25569.375</v>
      </c>
      <c r="J658" s="18" t="s">
        <v>168</v>
      </c>
      <c r="K658" s="18" t="s">
        <v>471</v>
      </c>
      <c r="L658" s="23">
        <f>IF(E658&gt;0,E658,"")</f>
      </c>
      <c r="M658" s="19" t="s">
        <v>2417</v>
      </c>
      <c r="N658" s="19">
        <v>73184544</v>
      </c>
      <c r="O658" s="22">
        <f>IF(ISNUMBER(I658), EDATE(I658,36)-1, "")</f>
        <v>25569.375</v>
      </c>
      <c r="P658" s="9"/>
      <c r="Q658" s="9"/>
      <c r="R658" s="31" t="s">
        <v>2299</v>
      </c>
      <c r="S658" s="9"/>
      <c r="T658" s="9"/>
      <c r="U658" s="9"/>
      <c r="V658" s="9"/>
      <c r="W658" s="9"/>
      <c r="X658" s="9"/>
      <c r="Y658" s="9"/>
      <c r="Z658" s="9"/>
    </row>
    <row x14ac:dyDescent="0.25" r="659" customHeight="1" ht="18.75">
      <c r="A659" s="9"/>
      <c r="B659" s="18" t="s">
        <v>16</v>
      </c>
      <c r="C659" s="9"/>
      <c r="D659" s="9"/>
      <c r="E659" s="18" t="s">
        <v>2419</v>
      </c>
      <c r="F659" s="19">
        <v>10000000</v>
      </c>
      <c r="G659" s="20">
        <v>800000</v>
      </c>
      <c r="H659" s="21">
        <v>46081</v>
      </c>
      <c r="I659" s="22">
        <f>IF(H659&gt;0,EDATE(H659,-2),"")</f>
        <v>25569.375</v>
      </c>
      <c r="J659" s="18" t="s">
        <v>234</v>
      </c>
      <c r="K659" s="18" t="s">
        <v>2420</v>
      </c>
      <c r="L659" s="23">
        <f>IF(E659&gt;0,E659,"")</f>
      </c>
      <c r="M659" s="19" t="s">
        <v>2421</v>
      </c>
      <c r="N659" s="19" t="s">
        <v>2422</v>
      </c>
      <c r="O659" s="22">
        <f>IF(ISNUMBER(I659), EDATE(I659,36)-1, "")</f>
        <v>25569.375</v>
      </c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x14ac:dyDescent="0.25" r="660" customHeight="1" ht="18.75">
      <c r="A660" s="9" t="s">
        <v>2423</v>
      </c>
      <c r="B660" s="18" t="s">
        <v>16</v>
      </c>
      <c r="C660" s="9"/>
      <c r="D660" s="9"/>
      <c r="E660" s="18" t="s">
        <v>111</v>
      </c>
      <c r="F660" s="19">
        <v>40000000</v>
      </c>
      <c r="G660" s="20">
        <v>2028000</v>
      </c>
      <c r="H660" s="21">
        <v>45974</v>
      </c>
      <c r="I660" s="22">
        <f>IF(H660&gt;0,EDATE(H660,-2),"")</f>
        <v>25569.375</v>
      </c>
      <c r="J660" s="18" t="s">
        <v>217</v>
      </c>
      <c r="K660" s="18" t="s">
        <v>2424</v>
      </c>
      <c r="L660" s="23">
        <f>IF(E660&gt;0,E660,"")</f>
      </c>
      <c r="M660" s="19" t="s">
        <v>2425</v>
      </c>
      <c r="N660" s="19" t="s">
        <v>2426</v>
      </c>
      <c r="O660" s="22">
        <f>IF(ISNUMBER(I660), EDATE(I660,36)-1, "")</f>
        <v>25569.375</v>
      </c>
      <c r="P660" s="9"/>
      <c r="Q660" s="9"/>
      <c r="R660" s="9" t="s">
        <v>2427</v>
      </c>
      <c r="S660" s="9"/>
      <c r="T660" s="9"/>
      <c r="U660" s="9"/>
      <c r="V660" s="9"/>
      <c r="W660" s="9"/>
      <c r="X660" s="9"/>
      <c r="Y660" s="9"/>
      <c r="Z660" s="9"/>
    </row>
    <row x14ac:dyDescent="0.25" r="661" customHeight="1" ht="18.75">
      <c r="A661" s="9" t="s">
        <v>2423</v>
      </c>
      <c r="B661" s="18" t="s">
        <v>16</v>
      </c>
      <c r="C661" s="9"/>
      <c r="D661" s="9"/>
      <c r="E661" s="18" t="s">
        <v>111</v>
      </c>
      <c r="F661" s="19">
        <v>10000000</v>
      </c>
      <c r="G661" s="20"/>
      <c r="H661" s="21">
        <v>46050</v>
      </c>
      <c r="I661" s="22">
        <f>IF(H661&gt;0,EDATE(H661,-2),"")</f>
        <v>25569.375</v>
      </c>
      <c r="J661" s="18" t="s">
        <v>217</v>
      </c>
      <c r="K661" s="18" t="s">
        <v>2424</v>
      </c>
      <c r="L661" s="23">
        <f>IF(E661&gt;0,E661,"")</f>
      </c>
      <c r="M661" s="19" t="s">
        <v>2425</v>
      </c>
      <c r="N661" s="19" t="s">
        <v>2426</v>
      </c>
      <c r="O661" s="22">
        <f>IF(ISNUMBER(I661), EDATE(I661,36)-1, "")</f>
        <v>25569.375</v>
      </c>
      <c r="P661" s="9"/>
      <c r="Q661" s="9"/>
      <c r="R661" s="9" t="s">
        <v>112</v>
      </c>
      <c r="S661" s="9"/>
      <c r="T661" s="9"/>
      <c r="U661" s="9"/>
      <c r="V661" s="9"/>
      <c r="W661" s="9"/>
      <c r="X661" s="9"/>
      <c r="Y661" s="9"/>
      <c r="Z661" s="9"/>
    </row>
    <row x14ac:dyDescent="0.25" r="662" customHeight="1" ht="18.75">
      <c r="A662" s="9"/>
      <c r="B662" s="18" t="s">
        <v>1527</v>
      </c>
      <c r="C662" s="9"/>
      <c r="D662" s="9"/>
      <c r="E662" s="18" t="s">
        <v>847</v>
      </c>
      <c r="F662" s="19">
        <v>30000000</v>
      </c>
      <c r="G662" s="20">
        <v>1500000</v>
      </c>
      <c r="H662" s="21">
        <v>45755</v>
      </c>
      <c r="I662" s="22">
        <f>IF(H662&gt;0,EDATE(H662,-2),"")</f>
        <v>25569.375</v>
      </c>
      <c r="J662" s="18" t="s">
        <v>182</v>
      </c>
      <c r="K662" s="18" t="s">
        <v>2428</v>
      </c>
      <c r="L662" s="23">
        <f>IF(E662&gt;0,E662,"")</f>
      </c>
      <c r="M662" s="19" t="s">
        <v>2429</v>
      </c>
      <c r="N662" s="19" t="s">
        <v>2430</v>
      </c>
      <c r="O662" s="22">
        <f>IF(ISNUMBER(I662), EDATE(I662,36)-1, "")</f>
        <v>25569.375</v>
      </c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x14ac:dyDescent="0.25" r="663" customHeight="1" ht="18.75">
      <c r="A663" s="9"/>
      <c r="B663" s="18" t="s">
        <v>16</v>
      </c>
      <c r="C663" s="9"/>
      <c r="D663" s="9"/>
      <c r="E663" s="18" t="s">
        <v>847</v>
      </c>
      <c r="F663" s="19">
        <v>30000000</v>
      </c>
      <c r="G663" s="20">
        <v>2400000</v>
      </c>
      <c r="H663" s="21">
        <v>45897</v>
      </c>
      <c r="I663" s="22">
        <f>IF(H663&gt;0,EDATE(H663,-2),"")</f>
        <v>25569.375</v>
      </c>
      <c r="J663" s="18" t="s">
        <v>182</v>
      </c>
      <c r="K663" s="18" t="s">
        <v>2431</v>
      </c>
      <c r="L663" s="23">
        <f>IF(E663&gt;0,E663,"")</f>
      </c>
      <c r="M663" s="19" t="s">
        <v>2429</v>
      </c>
      <c r="N663" s="19" t="s">
        <v>2432</v>
      </c>
      <c r="O663" s="22">
        <f>IF(ISNUMBER(I663), EDATE(I663,36)-1, "")</f>
        <v>25569.375</v>
      </c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x14ac:dyDescent="0.25" r="664" customHeight="1" ht="18.75">
      <c r="A664" s="9" t="s">
        <v>2433</v>
      </c>
      <c r="B664" s="18" t="s">
        <v>113</v>
      </c>
      <c r="C664" s="9"/>
      <c r="D664" s="9"/>
      <c r="E664" s="18" t="s">
        <v>18</v>
      </c>
      <c r="F664" s="19">
        <v>30000000</v>
      </c>
      <c r="G664" s="20">
        <v>2400000</v>
      </c>
      <c r="H664" s="21">
        <v>45636</v>
      </c>
      <c r="I664" s="22">
        <f>IF(H664&gt;0,EDATE(H664,-2),"")</f>
        <v>25569.375</v>
      </c>
      <c r="J664" s="18" t="s">
        <v>239</v>
      </c>
      <c r="K664" s="18" t="s">
        <v>2434</v>
      </c>
      <c r="L664" s="23">
        <f>IF(E664&gt;0,E664,"")</f>
      </c>
      <c r="M664" s="19" t="s">
        <v>2435</v>
      </c>
      <c r="N664" s="19" t="s">
        <v>2170</v>
      </c>
      <c r="O664" s="22">
        <f>IF(ISNUMBER(I664), EDATE(I664,36)-1, "")</f>
        <v>25569.375</v>
      </c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x14ac:dyDescent="0.25" r="665" customHeight="1" ht="18.75">
      <c r="A665" s="9" t="s">
        <v>2436</v>
      </c>
      <c r="B665" s="18" t="s">
        <v>113</v>
      </c>
      <c r="C665" s="9"/>
      <c r="D665" s="9"/>
      <c r="E665" s="18" t="s">
        <v>18</v>
      </c>
      <c r="F665" s="19">
        <v>30000000</v>
      </c>
      <c r="G665" s="20">
        <v>2400000</v>
      </c>
      <c r="H665" s="21">
        <v>45657</v>
      </c>
      <c r="I665" s="22">
        <f>IF(H665&gt;0,EDATE(H665,-2),"")</f>
        <v>25569.375</v>
      </c>
      <c r="J665" s="18" t="s">
        <v>217</v>
      </c>
      <c r="K665" s="18" t="s">
        <v>2168</v>
      </c>
      <c r="L665" s="23">
        <f>IF(E665&gt;0,E665,"")</f>
      </c>
      <c r="M665" s="19" t="s">
        <v>2435</v>
      </c>
      <c r="N665" s="19" t="s">
        <v>2170</v>
      </c>
      <c r="O665" s="22">
        <f>IF(ISNUMBER(I665), EDATE(I665,36)-1, "")</f>
        <v>25569.375</v>
      </c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x14ac:dyDescent="0.25" r="666" customHeight="1" ht="18.75">
      <c r="A666" s="9" t="s">
        <v>1133</v>
      </c>
      <c r="B666" s="18" t="s">
        <v>16</v>
      </c>
      <c r="C666" s="9"/>
      <c r="D666" s="9"/>
      <c r="E666" s="18" t="s">
        <v>18</v>
      </c>
      <c r="F666" s="26">
        <v>60000000</v>
      </c>
      <c r="G666" s="20">
        <v>4800000</v>
      </c>
      <c r="H666" s="21">
        <v>45901</v>
      </c>
      <c r="I666" s="22">
        <f>IF(H666&gt;0,EDATE(H666,-2),"")</f>
        <v>25569.375</v>
      </c>
      <c r="J666" s="18" t="s">
        <v>217</v>
      </c>
      <c r="K666" s="18" t="s">
        <v>2437</v>
      </c>
      <c r="L666" s="23">
        <f>IF(E666&gt;0,E666,"")</f>
      </c>
      <c r="M666" s="19" t="s">
        <v>2438</v>
      </c>
      <c r="N666" s="19" t="s">
        <v>2439</v>
      </c>
      <c r="O666" s="22">
        <f>IF(ISNUMBER(I666), EDATE(I666,36)-1, "")</f>
        <v>25569.375</v>
      </c>
      <c r="P666" s="9"/>
      <c r="Q666" s="9"/>
      <c r="R666" s="9" t="s">
        <v>2440</v>
      </c>
      <c r="S666" s="9"/>
      <c r="T666" s="9"/>
      <c r="U666" s="9"/>
      <c r="V666" s="9"/>
      <c r="W666" s="9"/>
      <c r="X666" s="9"/>
      <c r="Y666" s="9"/>
      <c r="Z666" s="9"/>
    </row>
    <row x14ac:dyDescent="0.25" r="667" customHeight="1" ht="18.75">
      <c r="A667" s="9"/>
      <c r="B667" s="18" t="s">
        <v>16</v>
      </c>
      <c r="C667" s="9"/>
      <c r="D667" s="9"/>
      <c r="E667" s="18" t="s">
        <v>2441</v>
      </c>
      <c r="F667" s="19">
        <v>10000000</v>
      </c>
      <c r="G667" s="20">
        <v>800000</v>
      </c>
      <c r="H667" s="21">
        <v>46081</v>
      </c>
      <c r="I667" s="22">
        <f>IF(H667&gt;0,EDATE(H667,-2),"")</f>
        <v>25569.375</v>
      </c>
      <c r="J667" s="18" t="s">
        <v>2442</v>
      </c>
      <c r="K667" s="18" t="s">
        <v>2443</v>
      </c>
      <c r="L667" s="23">
        <f>IF(E667&gt;0,E667,"")</f>
      </c>
      <c r="M667" s="19" t="s">
        <v>2444</v>
      </c>
      <c r="N667" s="19" t="s">
        <v>2445</v>
      </c>
      <c r="O667" s="22">
        <f>IF(ISNUMBER(I667), EDATE(I667,36)-1, "")</f>
        <v>25569.375</v>
      </c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x14ac:dyDescent="0.25" r="668" customHeight="1" ht="18.75">
      <c r="A668" s="9"/>
      <c r="B668" s="18" t="s">
        <v>16</v>
      </c>
      <c r="C668" s="9"/>
      <c r="D668" s="9"/>
      <c r="E668" s="18" t="s">
        <v>2446</v>
      </c>
      <c r="F668" s="19">
        <v>60000000</v>
      </c>
      <c r="G668" s="20">
        <v>3000000</v>
      </c>
      <c r="H668" s="21">
        <v>46188</v>
      </c>
      <c r="I668" s="22">
        <f>IF(H668&gt;0,EDATE(H668,-2),"")</f>
        <v>25569.375</v>
      </c>
      <c r="J668" s="18" t="s">
        <v>161</v>
      </c>
      <c r="K668" s="18" t="s">
        <v>2447</v>
      </c>
      <c r="L668" s="23">
        <f>IF(E668&gt;0,E668,"")</f>
      </c>
      <c r="M668" s="19" t="s">
        <v>2448</v>
      </c>
      <c r="N668" s="19" t="s">
        <v>2449</v>
      </c>
      <c r="O668" s="22">
        <f>IF(ISNUMBER(I668), EDATE(I668,36)-1, "")</f>
        <v>25569.375</v>
      </c>
      <c r="P668" s="9" t="s">
        <v>2450</v>
      </c>
      <c r="Q668" s="9" t="s">
        <v>166</v>
      </c>
      <c r="R668" s="9"/>
      <c r="S668" s="9"/>
      <c r="T668" s="9"/>
      <c r="U668" s="9"/>
      <c r="V668" s="9"/>
      <c r="W668" s="9"/>
      <c r="X668" s="9"/>
      <c r="Y668" s="9"/>
      <c r="Z668" s="9"/>
    </row>
    <row x14ac:dyDescent="0.25" r="669" customHeight="1" ht="18.75">
      <c r="A669" s="9"/>
      <c r="B669" s="18" t="s">
        <v>16</v>
      </c>
      <c r="C669" s="9"/>
      <c r="D669" s="9" t="s">
        <v>97</v>
      </c>
      <c r="E669" s="18" t="s">
        <v>2451</v>
      </c>
      <c r="F669" s="19">
        <v>10000000</v>
      </c>
      <c r="G669" s="20">
        <v>800000</v>
      </c>
      <c r="H669" s="21">
        <v>46152</v>
      </c>
      <c r="I669" s="22">
        <f>IF(H669&gt;0,EDATE(H669,-2),"")</f>
        <v>25569.375</v>
      </c>
      <c r="J669" s="18" t="s">
        <v>217</v>
      </c>
      <c r="K669" s="18" t="s">
        <v>2452</v>
      </c>
      <c r="L669" s="23">
        <f>IF(E669&gt;0,E669,"")</f>
      </c>
      <c r="M669" s="19" t="s">
        <v>2453</v>
      </c>
      <c r="N669" s="19" t="s">
        <v>2454</v>
      </c>
      <c r="O669" s="22">
        <f>IF(ISNUMBER(I669), EDATE(I669,36)-1, "")</f>
        <v>25569.375</v>
      </c>
      <c r="P669" s="9" t="s">
        <v>2455</v>
      </c>
      <c r="Q669" s="9" t="s">
        <v>166</v>
      </c>
      <c r="R669" s="9"/>
      <c r="S669" s="9"/>
      <c r="T669" s="9"/>
      <c r="U669" s="9"/>
      <c r="V669" s="9"/>
      <c r="W669" s="9"/>
      <c r="X669" s="9"/>
      <c r="Y669" s="9"/>
      <c r="Z669" s="9"/>
    </row>
    <row x14ac:dyDescent="0.25" r="670" customHeight="1" ht="18.75">
      <c r="A670" s="9" t="s">
        <v>152</v>
      </c>
      <c r="B670" s="18" t="s">
        <v>16</v>
      </c>
      <c r="C670" s="9" t="s">
        <v>410</v>
      </c>
      <c r="D670" s="9" t="s">
        <v>534</v>
      </c>
      <c r="E670" s="18" t="s">
        <v>2456</v>
      </c>
      <c r="F670" s="19">
        <v>10000000</v>
      </c>
      <c r="G670" s="20">
        <v>800000</v>
      </c>
      <c r="H670" s="21">
        <v>46081</v>
      </c>
      <c r="I670" s="22">
        <f>IF(H670&gt;0,EDATE(H670,-2),"")</f>
        <v>25569.375</v>
      </c>
      <c r="J670" s="18" t="s">
        <v>168</v>
      </c>
      <c r="K670" s="18" t="s">
        <v>2457</v>
      </c>
      <c r="L670" s="23">
        <f>IF(E670&gt;0,E670,"")</f>
      </c>
      <c r="M670" s="19" t="s">
        <v>2458</v>
      </c>
      <c r="N670" s="19" t="s">
        <v>2459</v>
      </c>
      <c r="O670" s="22">
        <f>IF(ISNUMBER(I670), EDATE(I670,36)-1, "")</f>
        <v>25569.375</v>
      </c>
      <c r="P670" s="9"/>
      <c r="Q670" s="9"/>
      <c r="R670" s="9" t="s">
        <v>2460</v>
      </c>
      <c r="S670" s="9"/>
      <c r="T670" s="9"/>
      <c r="U670" s="9"/>
      <c r="V670" s="9"/>
      <c r="W670" s="9"/>
      <c r="X670" s="9"/>
      <c r="Y670" s="9"/>
      <c r="Z670" s="9"/>
    </row>
    <row x14ac:dyDescent="0.25" r="671" customHeight="1" ht="18.75">
      <c r="A671" s="9"/>
      <c r="B671" s="18" t="s">
        <v>16</v>
      </c>
      <c r="C671" s="9"/>
      <c r="D671" s="9"/>
      <c r="E671" s="18" t="s">
        <v>2461</v>
      </c>
      <c r="F671" s="19">
        <v>10000000</v>
      </c>
      <c r="G671" s="20"/>
      <c r="H671" s="21">
        <v>46122</v>
      </c>
      <c r="I671" s="22">
        <f>IF(H671&gt;0,EDATE(H671,-2),"")</f>
        <v>25569.375</v>
      </c>
      <c r="J671" s="18" t="s">
        <v>570</v>
      </c>
      <c r="K671" s="18" t="s">
        <v>2462</v>
      </c>
      <c r="L671" s="23">
        <f>IF(E671&gt;0,E671,"")</f>
      </c>
      <c r="M671" s="19" t="s">
        <v>2463</v>
      </c>
      <c r="N671" s="19" t="s">
        <v>2464</v>
      </c>
      <c r="O671" s="22">
        <f>IF(ISNUMBER(I671), EDATE(I671,36)-1, "")</f>
        <v>25569.375</v>
      </c>
      <c r="P671" s="9"/>
      <c r="Q671" s="9" t="s">
        <v>166</v>
      </c>
      <c r="R671" s="9" t="s">
        <v>2465</v>
      </c>
      <c r="S671" s="9"/>
      <c r="T671" s="9"/>
      <c r="U671" s="9"/>
      <c r="V671" s="9"/>
      <c r="W671" s="9"/>
      <c r="X671" s="9"/>
      <c r="Y671" s="9"/>
      <c r="Z671" s="9"/>
    </row>
    <row x14ac:dyDescent="0.25" r="672" customHeight="1" ht="18.75">
      <c r="A672" s="9" t="s">
        <v>1239</v>
      </c>
      <c r="B672" s="18" t="s">
        <v>16</v>
      </c>
      <c r="C672" s="9" t="s">
        <v>627</v>
      </c>
      <c r="D672" s="9" t="s">
        <v>1978</v>
      </c>
      <c r="E672" s="18" t="s">
        <v>2461</v>
      </c>
      <c r="F672" s="19">
        <v>20000000</v>
      </c>
      <c r="G672" s="20">
        <v>1000000</v>
      </c>
      <c r="H672" s="21">
        <v>46197</v>
      </c>
      <c r="I672" s="22">
        <f>IF(H672&gt;0,EDATE(H672,-2),"")</f>
        <v>25569.375</v>
      </c>
      <c r="J672" s="18" t="s">
        <v>302</v>
      </c>
      <c r="K672" s="18" t="s">
        <v>2462</v>
      </c>
      <c r="L672" s="23">
        <f>IF(E672&gt;0,E672,"")</f>
      </c>
      <c r="M672" s="19" t="s">
        <v>2466</v>
      </c>
      <c r="N672" s="19">
        <v>73135240</v>
      </c>
      <c r="O672" s="22">
        <f>IF(ISNUMBER(I672), EDATE(I672,36)-1, "")</f>
        <v>25569.375</v>
      </c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x14ac:dyDescent="0.25" r="673" customHeight="1" ht="18.75">
      <c r="A673" s="9"/>
      <c r="B673" s="18" t="s">
        <v>16</v>
      </c>
      <c r="C673" s="9"/>
      <c r="D673" s="9"/>
      <c r="E673" s="18" t="s">
        <v>2467</v>
      </c>
      <c r="F673" s="19">
        <v>10000000</v>
      </c>
      <c r="G673" s="20">
        <v>800000</v>
      </c>
      <c r="H673" s="21">
        <v>46159</v>
      </c>
      <c r="I673" s="22">
        <f>IF(H673&gt;0,EDATE(H673,-2),"")</f>
        <v>25569.375</v>
      </c>
      <c r="J673" s="18" t="s">
        <v>205</v>
      </c>
      <c r="K673" s="18" t="s">
        <v>2468</v>
      </c>
      <c r="L673" s="23">
        <f>IF(E673&gt;0,E673,"")</f>
      </c>
      <c r="M673" s="19" t="s">
        <v>2469</v>
      </c>
      <c r="N673" s="19" t="s">
        <v>2470</v>
      </c>
      <c r="O673" s="22">
        <f>IF(ISNUMBER(I673), EDATE(I673,36)-1, "")</f>
        <v>25569.375</v>
      </c>
      <c r="P673" s="9" t="s">
        <v>2471</v>
      </c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x14ac:dyDescent="0.25" r="674" customHeight="1" ht="18.75">
      <c r="A674" s="9"/>
      <c r="B674" s="18" t="s">
        <v>16</v>
      </c>
      <c r="C674" s="9"/>
      <c r="D674" s="9"/>
      <c r="E674" s="18" t="s">
        <v>1958</v>
      </c>
      <c r="F674" s="19">
        <v>10000000</v>
      </c>
      <c r="G674" s="20">
        <v>800000</v>
      </c>
      <c r="H674" s="21">
        <v>46081</v>
      </c>
      <c r="I674" s="22">
        <f>IF(H674&gt;0,EDATE(H674,-2),"")</f>
        <v>25569.375</v>
      </c>
      <c r="J674" s="18" t="s">
        <v>155</v>
      </c>
      <c r="K674" s="18" t="s">
        <v>2472</v>
      </c>
      <c r="L674" s="23">
        <f>IF(E674&gt;0,E674,"")</f>
      </c>
      <c r="M674" s="19" t="s">
        <v>2473</v>
      </c>
      <c r="N674" s="19" t="s">
        <v>2474</v>
      </c>
      <c r="O674" s="22">
        <f>IF(ISNUMBER(I674), EDATE(I674,36)-1, "")</f>
        <v>25569.375</v>
      </c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x14ac:dyDescent="0.25" r="675" customHeight="1" ht="18.75">
      <c r="A675" s="9"/>
      <c r="B675" s="18" t="s">
        <v>16</v>
      </c>
      <c r="C675" s="9" t="s">
        <v>55</v>
      </c>
      <c r="D675" s="9" t="s">
        <v>56</v>
      </c>
      <c r="E675" s="18" t="s">
        <v>2475</v>
      </c>
      <c r="F675" s="19">
        <v>120000000</v>
      </c>
      <c r="G675" s="20">
        <v>9600000</v>
      </c>
      <c r="H675" s="21">
        <v>45979</v>
      </c>
      <c r="I675" s="22">
        <f>IF(H675&gt;0,EDATE(H675,-2),"")</f>
        <v>25569.375</v>
      </c>
      <c r="J675" s="18" t="s">
        <v>217</v>
      </c>
      <c r="K675" s="18" t="s">
        <v>2476</v>
      </c>
      <c r="L675" s="23">
        <f>IF(E675&gt;0,E675,"")</f>
      </c>
      <c r="M675" s="19" t="s">
        <v>2477</v>
      </c>
      <c r="N675" s="19" t="s">
        <v>2478</v>
      </c>
      <c r="O675" s="22">
        <f>IF(ISNUMBER(I675), EDATE(I675,36)-1, "")</f>
        <v>25569.375</v>
      </c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x14ac:dyDescent="0.25" r="676" customHeight="1" ht="18.75">
      <c r="A676" s="9"/>
      <c r="B676" s="18" t="s">
        <v>16</v>
      </c>
      <c r="C676" s="9"/>
      <c r="D676" s="9"/>
      <c r="E676" s="18" t="s">
        <v>2479</v>
      </c>
      <c r="F676" s="19">
        <v>10000000</v>
      </c>
      <c r="G676" s="20">
        <v>500000</v>
      </c>
      <c r="H676" s="21">
        <v>46187</v>
      </c>
      <c r="I676" s="22">
        <f>IF(H676&gt;0,EDATE(H676,-2),"")</f>
        <v>25569.375</v>
      </c>
      <c r="J676" s="18" t="s">
        <v>212</v>
      </c>
      <c r="K676" s="18" t="s">
        <v>2480</v>
      </c>
      <c r="L676" s="23">
        <f>IF(E676&gt;0,E676,"")</f>
      </c>
      <c r="M676" s="19" t="s">
        <v>2481</v>
      </c>
      <c r="N676" s="19" t="s">
        <v>2482</v>
      </c>
      <c r="O676" s="22">
        <f>IF(ISNUMBER(I676), EDATE(I676,36)-1, "")</f>
        <v>25569.375</v>
      </c>
      <c r="P676" s="9" t="s">
        <v>2483</v>
      </c>
      <c r="Q676" s="9" t="s">
        <v>179</v>
      </c>
      <c r="R676" s="9"/>
      <c r="S676" s="9"/>
      <c r="T676" s="9"/>
      <c r="U676" s="9"/>
      <c r="V676" s="9"/>
      <c r="W676" s="9"/>
      <c r="X676" s="9"/>
      <c r="Y676" s="9"/>
      <c r="Z676" s="9"/>
    </row>
    <row x14ac:dyDescent="0.25" r="677" customHeight="1" ht="18.75">
      <c r="A677" s="9"/>
      <c r="B677" s="18" t="s">
        <v>16</v>
      </c>
      <c r="C677" s="9"/>
      <c r="D677" s="9"/>
      <c r="E677" s="18" t="s">
        <v>2484</v>
      </c>
      <c r="F677" s="19">
        <v>20000000</v>
      </c>
      <c r="G677" s="20">
        <v>1528000</v>
      </c>
      <c r="H677" s="21">
        <v>46049</v>
      </c>
      <c r="I677" s="22">
        <f>IF(H677&gt;0,EDATE(H677,-2),"")</f>
        <v>25569.375</v>
      </c>
      <c r="J677" s="18" t="s">
        <v>168</v>
      </c>
      <c r="K677" s="18" t="s">
        <v>2485</v>
      </c>
      <c r="L677" s="23">
        <f>IF(E677&gt;0,E677,"")</f>
      </c>
      <c r="M677" s="19">
        <v>6910012255914</v>
      </c>
      <c r="N677" s="19">
        <v>24369849</v>
      </c>
      <c r="O677" s="22">
        <f>IF(ISNUMBER(I677), EDATE(I677,36)-1, "")</f>
        <v>25569.375</v>
      </c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x14ac:dyDescent="0.25" r="678" customHeight="1" ht="18.75">
      <c r="A678" s="9"/>
      <c r="B678" s="18" t="s">
        <v>16</v>
      </c>
      <c r="C678" s="9" t="s">
        <v>88</v>
      </c>
      <c r="D678" s="9" t="s">
        <v>14</v>
      </c>
      <c r="E678" s="18" t="s">
        <v>2486</v>
      </c>
      <c r="F678" s="19">
        <v>50000000</v>
      </c>
      <c r="G678" s="20">
        <v>3028000</v>
      </c>
      <c r="H678" s="21">
        <v>46185</v>
      </c>
      <c r="I678" s="22">
        <f>IF(H678&gt;0,EDATE(H678,-2),"")</f>
        <v>25569.375</v>
      </c>
      <c r="J678" s="18" t="s">
        <v>155</v>
      </c>
      <c r="K678" s="18" t="s">
        <v>2487</v>
      </c>
      <c r="L678" s="23">
        <f>IF(E678&gt;0,E678,"")</f>
      </c>
      <c r="M678" s="19" t="s">
        <v>2488</v>
      </c>
      <c r="N678" s="19" t="s">
        <v>2489</v>
      </c>
      <c r="O678" s="22">
        <f>IF(ISNUMBER(I678), EDATE(I678,36)-1, "")</f>
        <v>25569.375</v>
      </c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x14ac:dyDescent="0.25" r="679" customHeight="1" ht="18.75">
      <c r="A679" s="9"/>
      <c r="B679" s="18" t="s">
        <v>16</v>
      </c>
      <c r="C679" s="9"/>
      <c r="D679" s="9" t="s">
        <v>14</v>
      </c>
      <c r="E679" s="18" t="s">
        <v>2486</v>
      </c>
      <c r="F679" s="19">
        <v>30000000</v>
      </c>
      <c r="G679" s="20"/>
      <c r="H679" s="21">
        <v>46147</v>
      </c>
      <c r="I679" s="22">
        <f>IF(H679&gt;0,EDATE(H679,-2),"")</f>
        <v>25569.375</v>
      </c>
      <c r="J679" s="18" t="s">
        <v>161</v>
      </c>
      <c r="K679" s="18" t="s">
        <v>2490</v>
      </c>
      <c r="L679" s="23">
        <f>IF(E679&gt;0,E679,"")</f>
      </c>
      <c r="M679" s="19" t="s">
        <v>2488</v>
      </c>
      <c r="N679" s="19" t="s">
        <v>2489</v>
      </c>
      <c r="O679" s="22">
        <f>IF(ISNUMBER(I679), EDATE(I679,36)-1, "")</f>
        <v>25569.375</v>
      </c>
      <c r="P679" s="9"/>
      <c r="Q679" s="9" t="s">
        <v>166</v>
      </c>
      <c r="R679" s="9" t="s">
        <v>2491</v>
      </c>
      <c r="S679" s="9"/>
      <c r="T679" s="9"/>
      <c r="U679" s="9"/>
      <c r="V679" s="9"/>
      <c r="W679" s="9"/>
      <c r="X679" s="9"/>
      <c r="Y679" s="9"/>
      <c r="Z679" s="9"/>
    </row>
    <row x14ac:dyDescent="0.25" r="680" customHeight="1" ht="18.75">
      <c r="A680" s="9"/>
      <c r="B680" s="18" t="s">
        <v>16</v>
      </c>
      <c r="C680" s="9"/>
      <c r="D680" s="9" t="s">
        <v>114</v>
      </c>
      <c r="E680" s="18" t="s">
        <v>115</v>
      </c>
      <c r="F680" s="19">
        <v>1000000</v>
      </c>
      <c r="G680" s="20">
        <v>800000</v>
      </c>
      <c r="H680" s="21">
        <v>46064</v>
      </c>
      <c r="I680" s="22">
        <f>IF(H680&gt;0,EDATE(H680,-2),"")</f>
        <v>25569.375</v>
      </c>
      <c r="J680" s="18" t="s">
        <v>155</v>
      </c>
      <c r="K680" s="18" t="s">
        <v>1815</v>
      </c>
      <c r="L680" s="23">
        <f>IF(E680&gt;0,E680,"")</f>
      </c>
      <c r="M680" s="19" t="s">
        <v>2492</v>
      </c>
      <c r="N680" s="19" t="s">
        <v>2493</v>
      </c>
      <c r="O680" s="22">
        <f>IF(ISNUMBER(I680), EDATE(I680,36)-1, "")</f>
        <v>25569.375</v>
      </c>
      <c r="P680" s="9"/>
      <c r="Q680" s="9" t="s">
        <v>166</v>
      </c>
      <c r="R680" s="9"/>
      <c r="S680" s="9"/>
      <c r="T680" s="9"/>
      <c r="U680" s="9"/>
      <c r="V680" s="9"/>
      <c r="W680" s="9"/>
      <c r="X680" s="9"/>
      <c r="Y680" s="9"/>
      <c r="Z680" s="9"/>
    </row>
    <row x14ac:dyDescent="0.25" r="681" customHeight="1" ht="18.75">
      <c r="A681" s="9"/>
      <c r="B681" s="18" t="s">
        <v>16</v>
      </c>
      <c r="C681" s="9" t="s">
        <v>80</v>
      </c>
      <c r="D681" s="9" t="s">
        <v>596</v>
      </c>
      <c r="E681" s="18" t="s">
        <v>118</v>
      </c>
      <c r="F681" s="19">
        <v>10000000</v>
      </c>
      <c r="G681" s="8">
        <f>IF(F681&gt;0,_xludf.IFS(F681=10000000,800000,F681=20000000,1528000,F681=30000000,2028000,F681=60000000,4056000),"")</f>
      </c>
      <c r="H681" s="21">
        <v>46182</v>
      </c>
      <c r="I681" s="22">
        <f>IF(H681&gt;0,EDATE(H681,-2),"")</f>
        <v>25569.375</v>
      </c>
      <c r="J681" s="18" t="s">
        <v>239</v>
      </c>
      <c r="K681" s="18" t="s">
        <v>2494</v>
      </c>
      <c r="L681" s="23">
        <f>IF(E681&gt;0,E681,"")</f>
      </c>
      <c r="M681" s="19" t="s">
        <v>2495</v>
      </c>
      <c r="N681" s="19" t="s">
        <v>2496</v>
      </c>
      <c r="O681" s="22">
        <f>IF(ISNUMBER(I681), EDATE(I681,36)-1, "")</f>
        <v>25569.375</v>
      </c>
      <c r="P681" s="9" t="s">
        <v>2497</v>
      </c>
      <c r="Q681" s="9" t="s">
        <v>166</v>
      </c>
      <c r="R681" s="9"/>
      <c r="S681" s="9"/>
      <c r="T681" s="9"/>
      <c r="U681" s="9"/>
      <c r="V681" s="9"/>
      <c r="W681" s="9"/>
      <c r="X681" s="9"/>
      <c r="Y681" s="9"/>
      <c r="Z681" s="9"/>
    </row>
    <row x14ac:dyDescent="0.25" r="682" customHeight="1" ht="18.75">
      <c r="A682" s="9"/>
      <c r="B682" s="18" t="s">
        <v>16</v>
      </c>
      <c r="C682" s="9" t="s">
        <v>116</v>
      </c>
      <c r="D682" s="9" t="s">
        <v>117</v>
      </c>
      <c r="E682" s="18" t="s">
        <v>118</v>
      </c>
      <c r="F682" s="19">
        <v>10000000</v>
      </c>
      <c r="G682" s="20">
        <v>500000</v>
      </c>
      <c r="H682" s="21">
        <v>46114</v>
      </c>
      <c r="I682" s="22">
        <v>46056</v>
      </c>
      <c r="J682" s="18" t="s">
        <v>306</v>
      </c>
      <c r="K682" s="18" t="s">
        <v>2498</v>
      </c>
      <c r="L682" s="23">
        <f>IF(E682&gt;0,E682,"")</f>
      </c>
      <c r="M682" s="19" t="s">
        <v>2499</v>
      </c>
      <c r="N682" s="19" t="s">
        <v>2500</v>
      </c>
      <c r="O682" s="22">
        <f>IF(ISNUMBER(I682), EDATE(I682,36)-1, "")</f>
        <v>25569.375</v>
      </c>
      <c r="P682" s="9"/>
      <c r="Q682" s="9" t="s">
        <v>166</v>
      </c>
      <c r="R682" s="9"/>
      <c r="S682" s="9"/>
      <c r="T682" s="9"/>
      <c r="U682" s="9"/>
      <c r="V682" s="9"/>
      <c r="W682" s="9"/>
      <c r="X682" s="9"/>
      <c r="Y682" s="9"/>
      <c r="Z682" s="9"/>
    </row>
    <row x14ac:dyDescent="0.25" r="683" customHeight="1" ht="18.75">
      <c r="A683" s="9" t="s">
        <v>152</v>
      </c>
      <c r="B683" s="18" t="s">
        <v>16</v>
      </c>
      <c r="C683" s="9" t="s">
        <v>116</v>
      </c>
      <c r="D683" s="9" t="s">
        <v>117</v>
      </c>
      <c r="E683" s="18" t="s">
        <v>118</v>
      </c>
      <c r="F683" s="19">
        <v>10000000</v>
      </c>
      <c r="G683" s="20">
        <v>500000</v>
      </c>
      <c r="H683" s="21">
        <v>46154</v>
      </c>
      <c r="I683" s="22">
        <f>IF(H683&gt;0,EDATE(H683,-2),"")</f>
        <v>25569.375</v>
      </c>
      <c r="J683" s="18" t="s">
        <v>217</v>
      </c>
      <c r="K683" s="18" t="s">
        <v>2498</v>
      </c>
      <c r="L683" s="23">
        <f>IF(E683&gt;0,E683,"")</f>
      </c>
      <c r="M683" s="19" t="s">
        <v>2499</v>
      </c>
      <c r="N683" s="19">
        <v>52298439</v>
      </c>
      <c r="O683" s="22">
        <f>IF(ISNUMBER(I683), EDATE(I683,36)-1, "")</f>
        <v>25569.375</v>
      </c>
      <c r="P683" s="9"/>
      <c r="Q683" s="9"/>
      <c r="R683" s="9" t="s">
        <v>2501</v>
      </c>
      <c r="S683" s="9"/>
      <c r="T683" s="9"/>
      <c r="U683" s="9"/>
      <c r="V683" s="9"/>
      <c r="W683" s="9"/>
      <c r="X683" s="9"/>
      <c r="Y683" s="9"/>
      <c r="Z683" s="9"/>
    </row>
    <row x14ac:dyDescent="0.25" r="684" customHeight="1" ht="18.75">
      <c r="A684" s="9" t="s">
        <v>63</v>
      </c>
      <c r="B684" s="18" t="s">
        <v>16</v>
      </c>
      <c r="C684" s="9" t="s">
        <v>116</v>
      </c>
      <c r="D684" s="9" t="s">
        <v>117</v>
      </c>
      <c r="E684" s="18" t="s">
        <v>118</v>
      </c>
      <c r="F684" s="19">
        <v>10000000</v>
      </c>
      <c r="G684" s="20">
        <v>500000</v>
      </c>
      <c r="H684" s="21">
        <v>46188</v>
      </c>
      <c r="I684" s="22">
        <v>46120</v>
      </c>
      <c r="J684" s="18" t="s">
        <v>217</v>
      </c>
      <c r="K684" s="18" t="s">
        <v>2498</v>
      </c>
      <c r="L684" s="23">
        <f>IF(E684&gt;0,E684,"")</f>
      </c>
      <c r="M684" s="19" t="s">
        <v>2499</v>
      </c>
      <c r="N684" s="19" t="s">
        <v>2500</v>
      </c>
      <c r="O684" s="22">
        <f>IF(ISNUMBER(I684), EDATE(I684,36)-1, "")</f>
        <v>25569.375</v>
      </c>
      <c r="P684" s="9"/>
      <c r="Q684" s="9"/>
      <c r="R684" s="9" t="s">
        <v>2502</v>
      </c>
      <c r="S684" s="9"/>
      <c r="T684" s="9"/>
      <c r="U684" s="9"/>
      <c r="V684" s="9"/>
      <c r="W684" s="9"/>
      <c r="X684" s="9"/>
      <c r="Y684" s="9"/>
      <c r="Z684" s="9"/>
    </row>
    <row x14ac:dyDescent="0.25" r="685" customHeight="1" ht="18.75">
      <c r="A685" s="9"/>
      <c r="B685" s="18" t="s">
        <v>16</v>
      </c>
      <c r="C685" s="9"/>
      <c r="D685" s="9"/>
      <c r="E685" s="18" t="s">
        <v>119</v>
      </c>
      <c r="F685" s="19">
        <v>10000000</v>
      </c>
      <c r="G685" s="20">
        <v>500000</v>
      </c>
      <c r="H685" s="21">
        <v>45463</v>
      </c>
      <c r="I685" s="22">
        <f>IF(H685&gt;0,EDATE(H685,-2),"")</f>
        <v>25569.375</v>
      </c>
      <c r="J685" s="18" t="s">
        <v>161</v>
      </c>
      <c r="K685" s="18" t="s">
        <v>2503</v>
      </c>
      <c r="L685" s="23">
        <f>IF(E685&gt;0,E685,"")</f>
      </c>
      <c r="M685" s="19" t="s">
        <v>2504</v>
      </c>
      <c r="N685" s="19" t="s">
        <v>2505</v>
      </c>
      <c r="O685" s="22">
        <f>IF(ISNUMBER(I685), EDATE(I685,36)-1, "")</f>
        <v>25569.375</v>
      </c>
      <c r="P685" s="9" t="s">
        <v>120</v>
      </c>
      <c r="Q685" s="9" t="s">
        <v>166</v>
      </c>
      <c r="R685" s="9"/>
      <c r="S685" s="9"/>
      <c r="T685" s="9"/>
      <c r="U685" s="9"/>
      <c r="V685" s="9"/>
      <c r="W685" s="9"/>
      <c r="X685" s="9"/>
      <c r="Y685" s="9"/>
      <c r="Z685" s="9"/>
    </row>
    <row x14ac:dyDescent="0.25" r="686" customHeight="1" ht="18.75">
      <c r="A686" s="9"/>
      <c r="B686" s="18" t="s">
        <v>16</v>
      </c>
      <c r="C686" s="9"/>
      <c r="D686" s="9"/>
      <c r="E686" s="18" t="s">
        <v>2506</v>
      </c>
      <c r="F686" s="19">
        <v>30000000</v>
      </c>
      <c r="G686" s="20">
        <v>2028000</v>
      </c>
      <c r="H686" s="21">
        <v>46028</v>
      </c>
      <c r="I686" s="22">
        <f>IF(H686&gt;0,EDATE(H686,-2),"")</f>
        <v>25569.375</v>
      </c>
      <c r="J686" s="18" t="s">
        <v>302</v>
      </c>
      <c r="K686" s="18" t="s">
        <v>2507</v>
      </c>
      <c r="L686" s="23">
        <f>IF(E686&gt;0,E686,"")</f>
      </c>
      <c r="M686" s="19" t="s">
        <v>2508</v>
      </c>
      <c r="N686" s="19" t="s">
        <v>2509</v>
      </c>
      <c r="O686" s="22">
        <f>IF(ISNUMBER(I686), EDATE(I686,36)-1, "")</f>
        <v>25569.375</v>
      </c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x14ac:dyDescent="0.25" r="687" customHeight="1" ht="18.75">
      <c r="A687" s="9"/>
      <c r="B687" s="18" t="s">
        <v>16</v>
      </c>
      <c r="C687" s="9"/>
      <c r="D687" s="9"/>
      <c r="E687" s="18" t="s">
        <v>2510</v>
      </c>
      <c r="F687" s="19">
        <v>10000000</v>
      </c>
      <c r="G687" s="20">
        <v>800000</v>
      </c>
      <c r="H687" s="21">
        <v>46170</v>
      </c>
      <c r="I687" s="22">
        <f>IF(H687&gt;0,EDATE(H687,-2),"")</f>
        <v>25569.375</v>
      </c>
      <c r="J687" s="18" t="s">
        <v>212</v>
      </c>
      <c r="K687" s="18" t="s">
        <v>2511</v>
      </c>
      <c r="L687" s="23">
        <f>IF(E687&gt;0,E687,"")</f>
      </c>
      <c r="M687" s="19" t="s">
        <v>2512</v>
      </c>
      <c r="N687" s="19" t="s">
        <v>2513</v>
      </c>
      <c r="O687" s="22">
        <f>IF(ISNUMBER(I687), EDATE(I687,36)-1, "")</f>
        <v>25569.375</v>
      </c>
      <c r="P687" s="9" t="s">
        <v>2514</v>
      </c>
      <c r="Q687" s="9" t="s">
        <v>166</v>
      </c>
      <c r="R687" s="9"/>
      <c r="S687" s="9"/>
      <c r="T687" s="9"/>
      <c r="U687" s="9"/>
      <c r="V687" s="9"/>
      <c r="W687" s="9"/>
      <c r="X687" s="9"/>
      <c r="Y687" s="9"/>
      <c r="Z687" s="9"/>
    </row>
    <row x14ac:dyDescent="0.25" r="688" customHeight="1" ht="18.75">
      <c r="A688" s="9"/>
      <c r="B688" s="18" t="s">
        <v>16</v>
      </c>
      <c r="C688" s="9"/>
      <c r="D688" s="9" t="s">
        <v>318</v>
      </c>
      <c r="E688" s="18" t="s">
        <v>2515</v>
      </c>
      <c r="F688" s="19">
        <v>10000000</v>
      </c>
      <c r="G688" s="8">
        <f>IF(F688&gt;0,_xludf.IFS(F688=10000000,800000,F688=20000000,1528000,F688=30000000,2028000,F688=60000000,4056000),"")</f>
      </c>
      <c r="H688" s="21">
        <v>46167</v>
      </c>
      <c r="I688" s="22">
        <f>IF(H688&gt;0,EDATE(H688,-2),"")</f>
        <v>25569.375</v>
      </c>
      <c r="J688" s="18" t="s">
        <v>239</v>
      </c>
      <c r="K688" s="18" t="s">
        <v>2516</v>
      </c>
      <c r="L688" s="23">
        <f>IF(E688&gt;0,E688,"")</f>
      </c>
      <c r="M688" s="19" t="s">
        <v>2517</v>
      </c>
      <c r="N688" s="19">
        <v>37685870</v>
      </c>
      <c r="O688" s="22">
        <f>IF(ISNUMBER(I688), EDATE(I688,36)-1, "")</f>
        <v>25569.375</v>
      </c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x14ac:dyDescent="0.25" r="689" customHeight="1" ht="18.75">
      <c r="A689" s="9"/>
      <c r="B689" s="18" t="s">
        <v>16</v>
      </c>
      <c r="C689" s="18" t="s">
        <v>143</v>
      </c>
      <c r="D689" s="18" t="s">
        <v>14</v>
      </c>
      <c r="E689" s="18" t="s">
        <v>2518</v>
      </c>
      <c r="F689" s="20">
        <v>10000000</v>
      </c>
      <c r="G689" s="8">
        <f>IF(F689&gt;0,_xludf.IFS(F689=10000000,1200000,F689=20000000,1800000,F689=30000000,2400000,F689=60000000,4000000),"")</f>
      </c>
      <c r="H689" s="21">
        <v>46249</v>
      </c>
      <c r="I689" s="22">
        <f>IF(H689&gt;0,EDATE(H689,-2),"")</f>
        <v>25569.375</v>
      </c>
      <c r="J689" s="18" t="s">
        <v>205</v>
      </c>
      <c r="K689" s="18" t="s">
        <v>2519</v>
      </c>
      <c r="L689" s="23">
        <f>IF(E689&gt;0,E689,"")</f>
      </c>
      <c r="M689" s="19">
        <v>7602121051619</v>
      </c>
      <c r="N689" s="19">
        <v>28741864</v>
      </c>
      <c r="O689" s="22">
        <f>IF(ISNUMBER(I689), EDATE(I689,36)-1, "")</f>
        <v>25569.375</v>
      </c>
      <c r="P689" s="18"/>
      <c r="Q689" s="18"/>
      <c r="R689" s="9"/>
      <c r="S689" s="9"/>
      <c r="T689" s="9"/>
      <c r="U689" s="9"/>
      <c r="V689" s="9"/>
      <c r="W689" s="9"/>
      <c r="X689" s="9"/>
      <c r="Y689" s="9"/>
      <c r="Z689" s="9"/>
    </row>
    <row x14ac:dyDescent="0.25" r="690" customHeight="1" ht="18.75">
      <c r="A690" s="9"/>
      <c r="B690" s="18" t="s">
        <v>13</v>
      </c>
      <c r="C690" s="9"/>
      <c r="D690" s="9"/>
      <c r="E690" s="18" t="s">
        <v>121</v>
      </c>
      <c r="F690" s="19">
        <v>10000000</v>
      </c>
      <c r="G690" s="20"/>
      <c r="H690" s="21">
        <v>45782</v>
      </c>
      <c r="I690" s="22">
        <f>IF(H690&gt;0,EDATE(H690,-2),"")</f>
        <v>25569.375</v>
      </c>
      <c r="J690" s="18" t="s">
        <v>155</v>
      </c>
      <c r="K690" s="18" t="s">
        <v>2520</v>
      </c>
      <c r="L690" s="23">
        <f>IF(E690&gt;0,E690,"")</f>
      </c>
      <c r="M690" s="19" t="s">
        <v>2521</v>
      </c>
      <c r="N690" s="19" t="s">
        <v>2522</v>
      </c>
      <c r="O690" s="22">
        <f>IF(ISNUMBER(I690), EDATE(I690,36)-1, "")</f>
        <v>25569.375</v>
      </c>
      <c r="P690" s="9"/>
      <c r="Q690" s="9" t="s">
        <v>2523</v>
      </c>
      <c r="R690" s="9" t="s">
        <v>122</v>
      </c>
      <c r="S690" s="9"/>
      <c r="T690" s="9"/>
      <c r="U690" s="9"/>
      <c r="V690" s="9"/>
      <c r="W690" s="9"/>
      <c r="X690" s="9"/>
      <c r="Y690" s="9"/>
      <c r="Z690" s="9"/>
    </row>
    <row x14ac:dyDescent="0.25" r="691" customHeight="1" ht="18.75">
      <c r="A691" s="9"/>
      <c r="B691" s="18" t="s">
        <v>16</v>
      </c>
      <c r="C691" s="9"/>
      <c r="D691" s="9"/>
      <c r="E691" s="18" t="s">
        <v>121</v>
      </c>
      <c r="F691" s="19">
        <v>60000000</v>
      </c>
      <c r="G691" s="8">
        <f>IF(F691&gt;0,_xludf.IFS(F691=10000000,800000,F691=20000000,1528000,F691=30000000,2028000,F691=60000000,4056000),"")</f>
      </c>
      <c r="H691" s="21">
        <v>45903</v>
      </c>
      <c r="I691" s="22">
        <f>IF(H691&gt;0,EDATE(H691,-2),"")</f>
        <v>25569.375</v>
      </c>
      <c r="J691" s="18" t="s">
        <v>155</v>
      </c>
      <c r="K691" s="18" t="s">
        <v>2520</v>
      </c>
      <c r="L691" s="23">
        <f>IF(E691&gt;0,E691,"")</f>
      </c>
      <c r="M691" s="19" t="s">
        <v>2521</v>
      </c>
      <c r="N691" s="19" t="s">
        <v>2522</v>
      </c>
      <c r="O691" s="22">
        <f>IF(ISNUMBER(I691), EDATE(I691,36)-1, "")</f>
        <v>25569.375</v>
      </c>
      <c r="P691" s="9"/>
      <c r="Q691" s="9"/>
      <c r="R691" s="9" t="s">
        <v>123</v>
      </c>
      <c r="S691" s="9"/>
      <c r="T691" s="9"/>
      <c r="U691" s="9"/>
      <c r="V691" s="9"/>
      <c r="W691" s="9"/>
      <c r="X691" s="9"/>
      <c r="Y691" s="9"/>
      <c r="Z691" s="9"/>
    </row>
    <row x14ac:dyDescent="0.25" r="692" customHeight="1" ht="18.75">
      <c r="A692" s="9" t="s">
        <v>152</v>
      </c>
      <c r="B692" s="18" t="s">
        <v>16</v>
      </c>
      <c r="C692" s="9"/>
      <c r="D692" s="9"/>
      <c r="E692" s="18" t="s">
        <v>2524</v>
      </c>
      <c r="F692" s="19">
        <v>20000000</v>
      </c>
      <c r="G692" s="20"/>
      <c r="H692" s="21">
        <v>45876</v>
      </c>
      <c r="I692" s="22">
        <f>IF(H692&gt;0,EDATE(H692,-2),"")</f>
        <v>25569.375</v>
      </c>
      <c r="J692" s="18" t="s">
        <v>155</v>
      </c>
      <c r="K692" s="18" t="s">
        <v>1786</v>
      </c>
      <c r="L692" s="23">
        <f>IF(E692&gt;0,E692,"")</f>
      </c>
      <c r="M692" s="19" t="s">
        <v>1787</v>
      </c>
      <c r="N692" s="19" t="s">
        <v>1788</v>
      </c>
      <c r="O692" s="22">
        <f>IF(ISNUMBER(I692), EDATE(I692,36)-1, "")</f>
        <v>25569.375</v>
      </c>
      <c r="P692" s="9"/>
      <c r="Q692" s="9"/>
      <c r="R692" s="9" t="s">
        <v>2525</v>
      </c>
      <c r="S692" s="9"/>
      <c r="T692" s="9"/>
      <c r="U692" s="9"/>
      <c r="V692" s="9"/>
      <c r="W692" s="9"/>
      <c r="X692" s="9"/>
      <c r="Y692" s="9"/>
      <c r="Z692" s="9"/>
    </row>
    <row x14ac:dyDescent="0.25" r="693" customHeight="1" ht="18.75">
      <c r="A693" s="9"/>
      <c r="B693" s="18" t="s">
        <v>16</v>
      </c>
      <c r="C693" s="9"/>
      <c r="D693" s="9"/>
      <c r="E693" s="18" t="s">
        <v>2524</v>
      </c>
      <c r="F693" s="19">
        <v>60000000</v>
      </c>
      <c r="G693" s="20">
        <v>4800000</v>
      </c>
      <c r="H693" s="21">
        <v>45943</v>
      </c>
      <c r="I693" s="22">
        <f>IF(H693&gt;0,EDATE(H693,-2),"")</f>
        <v>25569.375</v>
      </c>
      <c r="J693" s="18" t="s">
        <v>239</v>
      </c>
      <c r="K693" s="18" t="s">
        <v>2526</v>
      </c>
      <c r="L693" s="23">
        <f>IF(E693&gt;0,E693,"")</f>
      </c>
      <c r="M693" s="19" t="s">
        <v>2527</v>
      </c>
      <c r="N693" s="19" t="s">
        <v>2528</v>
      </c>
      <c r="O693" s="22">
        <f>IF(ISNUMBER(I693), EDATE(I693,36)-1, "")</f>
        <v>25569.375</v>
      </c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x14ac:dyDescent="0.25" r="694" customHeight="1" ht="18.75">
      <c r="A694" s="9"/>
      <c r="B694" s="18" t="s">
        <v>16</v>
      </c>
      <c r="C694" s="9" t="s">
        <v>454</v>
      </c>
      <c r="D694" s="9" t="s">
        <v>455</v>
      </c>
      <c r="E694" s="18" t="s">
        <v>2529</v>
      </c>
      <c r="F694" s="19">
        <v>10000000</v>
      </c>
      <c r="G694" s="8">
        <f>IF(F694&gt;0,_xludf.IFS(F694=10000000,800000,F694=20000000,1528000,F694=30000000,2028000,F694=60000000,4056000),"")</f>
      </c>
      <c r="H694" s="21">
        <v>46154</v>
      </c>
      <c r="I694" s="22">
        <f>IF(H694&gt;0,EDATE(H694,-2),"")</f>
        <v>25569.375</v>
      </c>
      <c r="J694" s="18" t="s">
        <v>988</v>
      </c>
      <c r="K694" s="18" t="s">
        <v>2530</v>
      </c>
      <c r="L694" s="23">
        <f>IF(E694&gt;0,E694,"")</f>
      </c>
      <c r="M694" s="19" t="s">
        <v>2531</v>
      </c>
      <c r="N694" s="19">
        <v>51109116</v>
      </c>
      <c r="O694" s="22">
        <f>IF(ISNUMBER(I694), EDATE(I694,36)-1, "")</f>
        <v>25569.375</v>
      </c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x14ac:dyDescent="0.25" r="695" customHeight="1" ht="18.75">
      <c r="A695" s="9"/>
      <c r="B695" s="18" t="s">
        <v>16</v>
      </c>
      <c r="C695" s="9"/>
      <c r="D695" s="9"/>
      <c r="E695" s="18" t="s">
        <v>807</v>
      </c>
      <c r="F695" s="19">
        <v>10000000</v>
      </c>
      <c r="G695" s="8">
        <f>IF(F695&gt;0,_xludf.IFS(F695=10000000,800000,F695=20000000,1528000,F695=30000000,2028000,F695=60000000,4056000),"")</f>
      </c>
      <c r="H695" s="21">
        <v>46193</v>
      </c>
      <c r="I695" s="22">
        <f>IF(H695&gt;0,EDATE(H695,-2),"")</f>
        <v>25569.375</v>
      </c>
      <c r="J695" s="18" t="s">
        <v>217</v>
      </c>
      <c r="K695" s="18" t="s">
        <v>2532</v>
      </c>
      <c r="L695" s="23">
        <f>IF(E695&gt;0,E695,"")</f>
      </c>
      <c r="M695" s="19" t="s">
        <v>2533</v>
      </c>
      <c r="N695" s="19" t="s">
        <v>2534</v>
      </c>
      <c r="O695" s="22">
        <f>IF(ISNUMBER(I695), EDATE(I695,36)-1, "")</f>
        <v>25569.375</v>
      </c>
      <c r="P695" s="9" t="s">
        <v>2535</v>
      </c>
      <c r="Q695" s="9" t="s">
        <v>166</v>
      </c>
      <c r="R695" s="9"/>
      <c r="S695" s="9"/>
      <c r="T695" s="9"/>
      <c r="U695" s="9"/>
      <c r="V695" s="9"/>
      <c r="W695" s="9"/>
      <c r="X695" s="9"/>
      <c r="Y695" s="9"/>
      <c r="Z695" s="9"/>
    </row>
    <row x14ac:dyDescent="0.25" r="696" customHeight="1" ht="18.75">
      <c r="A696" s="9"/>
      <c r="B696" s="18" t="s">
        <v>16</v>
      </c>
      <c r="C696" s="9"/>
      <c r="D696" s="9" t="s">
        <v>1958</v>
      </c>
      <c r="E696" s="18" t="s">
        <v>2536</v>
      </c>
      <c r="F696" s="19">
        <v>10000000</v>
      </c>
      <c r="G696" s="20">
        <v>800000</v>
      </c>
      <c r="H696" s="21">
        <v>46089</v>
      </c>
      <c r="I696" s="22">
        <f>IF(H696&gt;0,EDATE(H696,-2),"")</f>
        <v>25569.375</v>
      </c>
      <c r="J696" s="18" t="s">
        <v>155</v>
      </c>
      <c r="K696" s="18" t="s">
        <v>2260</v>
      </c>
      <c r="L696" s="23">
        <f>IF(E696&gt;0,E696,"")</f>
      </c>
      <c r="M696" s="19" t="s">
        <v>2537</v>
      </c>
      <c r="N696" s="19" t="s">
        <v>2538</v>
      </c>
      <c r="O696" s="22">
        <f>IF(ISNUMBER(I696), EDATE(I696,36)-1, "")</f>
        <v>25569.375</v>
      </c>
      <c r="P696" s="9" t="s">
        <v>2539</v>
      </c>
      <c r="Q696" s="9" t="s">
        <v>166</v>
      </c>
      <c r="R696" s="9"/>
      <c r="S696" s="9"/>
      <c r="T696" s="9"/>
      <c r="U696" s="9"/>
      <c r="V696" s="9"/>
      <c r="W696" s="9"/>
      <c r="X696" s="9"/>
      <c r="Y696" s="9"/>
      <c r="Z696" s="9"/>
    </row>
    <row x14ac:dyDescent="0.25" r="697" customHeight="1" ht="18.75">
      <c r="A697" s="9"/>
      <c r="B697" s="18" t="s">
        <v>16</v>
      </c>
      <c r="C697" s="9" t="s">
        <v>48</v>
      </c>
      <c r="D697" s="9" t="s">
        <v>1044</v>
      </c>
      <c r="E697" s="18" t="s">
        <v>2540</v>
      </c>
      <c r="F697" s="19">
        <v>10000000</v>
      </c>
      <c r="G697" s="20">
        <v>800000</v>
      </c>
      <c r="H697" s="21">
        <v>46192</v>
      </c>
      <c r="I697" s="22">
        <f>IF(H697&gt;0,EDATE(H697,-2),"")</f>
        <v>25569.375</v>
      </c>
      <c r="J697" s="18" t="s">
        <v>302</v>
      </c>
      <c r="K697" s="18" t="s">
        <v>2541</v>
      </c>
      <c r="L697" s="23">
        <f>IF(E697&gt;0,E697,"")</f>
      </c>
      <c r="M697" s="19" t="s">
        <v>2542</v>
      </c>
      <c r="N697" s="19" t="s">
        <v>2543</v>
      </c>
      <c r="O697" s="22">
        <f>IF(ISNUMBER(I697), EDATE(I697,36)-1, "")</f>
        <v>25569.375</v>
      </c>
      <c r="P697" s="9" t="s">
        <v>2544</v>
      </c>
      <c r="Q697" s="9" t="s">
        <v>166</v>
      </c>
      <c r="R697" s="9"/>
      <c r="S697" s="9"/>
      <c r="T697" s="9"/>
      <c r="U697" s="9"/>
      <c r="V697" s="9"/>
      <c r="W697" s="9"/>
      <c r="X697" s="9"/>
      <c r="Y697" s="9"/>
      <c r="Z697" s="9"/>
    </row>
    <row x14ac:dyDescent="0.25" r="698" customHeight="1" ht="18.75">
      <c r="A698" s="9"/>
      <c r="B698" s="18" t="s">
        <v>16</v>
      </c>
      <c r="C698" s="9" t="s">
        <v>143</v>
      </c>
      <c r="D698" s="9" t="s">
        <v>14</v>
      </c>
      <c r="E698" s="18" t="s">
        <v>2545</v>
      </c>
      <c r="F698" s="19">
        <v>10000000</v>
      </c>
      <c r="G698" s="20">
        <v>1200000</v>
      </c>
      <c r="H698" s="21">
        <v>46202</v>
      </c>
      <c r="I698" s="22">
        <f>IF(H698&gt;0,EDATE(H698,-2),"")</f>
        <v>25569.375</v>
      </c>
      <c r="J698" s="18" t="s">
        <v>1688</v>
      </c>
      <c r="K698" s="18" t="s">
        <v>2546</v>
      </c>
      <c r="L698" s="23">
        <f>IF(E698&gt;0,E698,"")</f>
      </c>
      <c r="M698" s="19" t="s">
        <v>2547</v>
      </c>
      <c r="N698" s="19" t="s">
        <v>2548</v>
      </c>
      <c r="O698" s="22">
        <f>IF(ISNUMBER(I698), EDATE(I698,36)-1, "")</f>
        <v>25569.375</v>
      </c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x14ac:dyDescent="0.25" r="699" customHeight="1" ht="18.75">
      <c r="A699" s="9"/>
      <c r="B699" s="18" t="s">
        <v>16</v>
      </c>
      <c r="C699" s="9" t="s">
        <v>116</v>
      </c>
      <c r="D699" s="9" t="s">
        <v>117</v>
      </c>
      <c r="E699" s="18" t="s">
        <v>2549</v>
      </c>
      <c r="F699" s="19">
        <v>10000000</v>
      </c>
      <c r="G699" s="20">
        <v>800000</v>
      </c>
      <c r="H699" s="21">
        <v>46184</v>
      </c>
      <c r="I699" s="22">
        <f>IF(H699&gt;0,EDATE(H699,-2),"")</f>
        <v>25569.375</v>
      </c>
      <c r="J699" s="18" t="s">
        <v>234</v>
      </c>
      <c r="K699" s="18" t="s">
        <v>2550</v>
      </c>
      <c r="L699" s="23">
        <f>IF(E699&gt;0,E699,"")</f>
      </c>
      <c r="M699" s="19" t="s">
        <v>2551</v>
      </c>
      <c r="N699" s="19">
        <v>31508864</v>
      </c>
      <c r="O699" s="22">
        <f>IF(ISNUMBER(I699), EDATE(I699,36)-1, "")</f>
        <v>25569.375</v>
      </c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x14ac:dyDescent="0.25" r="700" customHeight="1" ht="18.75">
      <c r="A700" s="9"/>
      <c r="B700" s="18" t="s">
        <v>16</v>
      </c>
      <c r="C700" s="18" t="s">
        <v>737</v>
      </c>
      <c r="D700" s="18" t="s">
        <v>669</v>
      </c>
      <c r="E700" s="18" t="s">
        <v>2552</v>
      </c>
      <c r="F700" s="20">
        <v>60000000</v>
      </c>
      <c r="G700" s="20">
        <v>2400000</v>
      </c>
      <c r="H700" s="21">
        <v>46242</v>
      </c>
      <c r="I700" s="22">
        <f>IF(H700&gt;0,EDATE(H700,-2),"")</f>
        <v>25569.375</v>
      </c>
      <c r="J700" s="18" t="s">
        <v>302</v>
      </c>
      <c r="K700" s="18" t="s">
        <v>2553</v>
      </c>
      <c r="L700" s="23">
        <f>IF(E700&gt;0,E700,"")</f>
      </c>
      <c r="M700" s="19">
        <v>6103132018620</v>
      </c>
      <c r="N700" s="19">
        <v>40479774</v>
      </c>
      <c r="O700" s="22">
        <f>IF(ISNUMBER(I700), EDATE(I700,36)-1, "")</f>
        <v>25569.375</v>
      </c>
      <c r="P700" s="18"/>
      <c r="Q700" s="18"/>
      <c r="R700" s="9"/>
      <c r="S700" s="9"/>
      <c r="T700" s="9"/>
      <c r="U700" s="9"/>
      <c r="V700" s="9"/>
      <c r="W700" s="9"/>
      <c r="X700" s="9"/>
      <c r="Y700" s="9"/>
      <c r="Z700" s="9"/>
    </row>
    <row x14ac:dyDescent="0.25" r="701" customHeight="1" ht="18.75">
      <c r="A701" s="9" t="s">
        <v>275</v>
      </c>
      <c r="B701" s="18" t="s">
        <v>16</v>
      </c>
      <c r="C701" s="9"/>
      <c r="D701" s="9"/>
      <c r="E701" s="18" t="s">
        <v>2554</v>
      </c>
      <c r="F701" s="19">
        <v>30000000</v>
      </c>
      <c r="G701" s="20"/>
      <c r="H701" s="21">
        <v>46018</v>
      </c>
      <c r="I701" s="22">
        <f>IF(H701&gt;0,EDATE(H701,-2),"")</f>
        <v>25569.375</v>
      </c>
      <c r="J701" s="18" t="s">
        <v>212</v>
      </c>
      <c r="K701" s="18" t="s">
        <v>2555</v>
      </c>
      <c r="L701" s="23">
        <f>IF(E701&gt;0,E701,"")</f>
      </c>
      <c r="M701" s="19" t="s">
        <v>2556</v>
      </c>
      <c r="N701" s="19" t="s">
        <v>2557</v>
      </c>
      <c r="O701" s="22">
        <f>IF(ISNUMBER(I701), EDATE(I701,36)-1, "")</f>
        <v>25569.375</v>
      </c>
      <c r="P701" s="9"/>
      <c r="Q701" s="9"/>
      <c r="R701" s="9" t="s">
        <v>2558</v>
      </c>
      <c r="S701" s="9"/>
      <c r="T701" s="9"/>
      <c r="U701" s="9"/>
      <c r="V701" s="9"/>
      <c r="W701" s="9"/>
      <c r="X701" s="9"/>
      <c r="Y701" s="9"/>
      <c r="Z701" s="9"/>
    </row>
    <row x14ac:dyDescent="0.25" r="702" customHeight="1" ht="18.75">
      <c r="A702" s="24" t="s">
        <v>152</v>
      </c>
      <c r="B702" s="25" t="s">
        <v>16</v>
      </c>
      <c r="C702" s="24" t="s">
        <v>153</v>
      </c>
      <c r="D702" s="24" t="s">
        <v>276</v>
      </c>
      <c r="E702" s="25" t="s">
        <v>2559</v>
      </c>
      <c r="F702" s="26">
        <v>20000000</v>
      </c>
      <c r="G702" s="27"/>
      <c r="H702" s="28">
        <v>46170</v>
      </c>
      <c r="I702" s="29">
        <f>IF(H702&gt;0,EDATE(H702,-2),"")</f>
        <v>25569.375</v>
      </c>
      <c r="J702" s="25" t="s">
        <v>239</v>
      </c>
      <c r="K702" s="25" t="s">
        <v>278</v>
      </c>
      <c r="L702" s="30">
        <f>IF(E702&gt;0,E702,"")</f>
      </c>
      <c r="M702" s="26" t="s">
        <v>2560</v>
      </c>
      <c r="N702" s="26">
        <v>95803367</v>
      </c>
      <c r="O702" s="29">
        <f>IF(ISNUMBER(I702), EDATE(I702,36)-1, "")</f>
        <v>25569.375</v>
      </c>
      <c r="P702" s="24"/>
      <c r="Q702" s="24"/>
      <c r="R702" s="24" t="s">
        <v>2561</v>
      </c>
      <c r="S702" s="9"/>
      <c r="T702" s="9"/>
      <c r="U702" s="9"/>
      <c r="V702" s="9"/>
      <c r="W702" s="9"/>
      <c r="X702" s="9"/>
      <c r="Y702" s="9"/>
      <c r="Z702" s="9"/>
    </row>
    <row x14ac:dyDescent="0.25" r="703" customHeight="1" ht="18.75">
      <c r="A703" s="9"/>
      <c r="B703" s="18" t="s">
        <v>16</v>
      </c>
      <c r="C703" s="9" t="s">
        <v>454</v>
      </c>
      <c r="D703" s="9" t="s">
        <v>647</v>
      </c>
      <c r="E703" s="18" t="s">
        <v>1743</v>
      </c>
      <c r="F703" s="19">
        <v>10000000</v>
      </c>
      <c r="G703" s="8">
        <f>IF(F703&gt;0,_xludf.IFS(F703=10000000,800000,F703=20000000,1528000,F703=30000000,2028000,F703=60000000,4056000),"")</f>
      </c>
      <c r="H703" s="21">
        <v>46039</v>
      </c>
      <c r="I703" s="22">
        <f>IF(H703&gt;0,EDATE(H703,-2),"")</f>
        <v>25569.375</v>
      </c>
      <c r="J703" s="18" t="s">
        <v>302</v>
      </c>
      <c r="K703" s="18" t="s">
        <v>2562</v>
      </c>
      <c r="L703" s="23">
        <f>IF(E703&gt;0,E703,"")</f>
      </c>
      <c r="M703" s="19" t="s">
        <v>2563</v>
      </c>
      <c r="N703" s="19" t="s">
        <v>2564</v>
      </c>
      <c r="O703" s="22">
        <f>IF(ISNUMBER(I703), EDATE(I703,36)-1, "")</f>
        <v>25569.375</v>
      </c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x14ac:dyDescent="0.25" r="704" customHeight="1" ht="18.75">
      <c r="A704" s="9"/>
      <c r="B704" s="18" t="s">
        <v>16</v>
      </c>
      <c r="C704" s="9" t="s">
        <v>454</v>
      </c>
      <c r="D704" s="9" t="s">
        <v>647</v>
      </c>
      <c r="E704" s="18" t="s">
        <v>1743</v>
      </c>
      <c r="F704" s="19">
        <v>10000000</v>
      </c>
      <c r="G704" s="20">
        <v>1200000</v>
      </c>
      <c r="H704" s="21">
        <v>46207</v>
      </c>
      <c r="I704" s="22">
        <f>IF(H704&gt;0,EDATE(H704,-2),"")</f>
        <v>25569.375</v>
      </c>
      <c r="J704" s="18" t="s">
        <v>302</v>
      </c>
      <c r="K704" s="18" t="s">
        <v>2562</v>
      </c>
      <c r="L704" s="23">
        <f>IF(E704&gt;0,E704,"")</f>
      </c>
      <c r="M704" s="19" t="s">
        <v>2563</v>
      </c>
      <c r="N704" s="19" t="s">
        <v>2564</v>
      </c>
      <c r="O704" s="22">
        <f>IF(ISNUMBER(I704), EDATE(I704,36)-1, "")</f>
        <v>25569.375</v>
      </c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x14ac:dyDescent="0.25" r="705" customHeight="1" ht="18.75">
      <c r="A705" s="9"/>
      <c r="B705" s="18" t="s">
        <v>16</v>
      </c>
      <c r="C705" s="9"/>
      <c r="D705" s="9"/>
      <c r="E705" s="18" t="s">
        <v>2565</v>
      </c>
      <c r="F705" s="19">
        <v>10000000</v>
      </c>
      <c r="G705" s="20"/>
      <c r="H705" s="21">
        <v>46184</v>
      </c>
      <c r="I705" s="22">
        <f>IF(H705&gt;0,EDATE(H705,-2),"")</f>
        <v>25569.375</v>
      </c>
      <c r="J705" s="18" t="s">
        <v>168</v>
      </c>
      <c r="K705" s="18" t="s">
        <v>471</v>
      </c>
      <c r="L705" s="23">
        <f>IF(E705&gt;0,E705,"")</f>
      </c>
      <c r="M705" s="19" t="s">
        <v>2566</v>
      </c>
      <c r="N705" s="19" t="s">
        <v>2567</v>
      </c>
      <c r="O705" s="22">
        <f>IF(ISNUMBER(I705), EDATE(I705,36)-1, "")</f>
        <v>25569.375</v>
      </c>
      <c r="P705" s="9" t="s">
        <v>2568</v>
      </c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x14ac:dyDescent="0.25" r="706" customHeight="1" ht="18.75">
      <c r="A706" s="9" t="s">
        <v>275</v>
      </c>
      <c r="B706" s="18" t="s">
        <v>16</v>
      </c>
      <c r="C706" s="9"/>
      <c r="D706" s="9"/>
      <c r="E706" s="18" t="s">
        <v>2565</v>
      </c>
      <c r="F706" s="19">
        <v>10000000</v>
      </c>
      <c r="G706" s="20"/>
      <c r="H706" s="21">
        <v>46184</v>
      </c>
      <c r="I706" s="22">
        <f>IF(H706&gt;0,EDATE(H706,-2),"")</f>
        <v>25569.375</v>
      </c>
      <c r="J706" s="18" t="s">
        <v>168</v>
      </c>
      <c r="K706" s="18" t="s">
        <v>471</v>
      </c>
      <c r="L706" s="23">
        <f>IF(E706&gt;0,E706,"")</f>
      </c>
      <c r="M706" s="19" t="s">
        <v>2566</v>
      </c>
      <c r="N706" s="19">
        <v>83222587</v>
      </c>
      <c r="O706" s="22">
        <f>IF(ISNUMBER(I706), EDATE(I706,36)-1, "")</f>
        <v>25569.375</v>
      </c>
      <c r="P706" s="9"/>
      <c r="Q706" s="9"/>
      <c r="R706" s="9" t="s">
        <v>61</v>
      </c>
      <c r="S706" s="9"/>
      <c r="T706" s="9"/>
      <c r="U706" s="9"/>
      <c r="V706" s="9"/>
      <c r="W706" s="9"/>
      <c r="X706" s="9"/>
      <c r="Y706" s="9"/>
      <c r="Z706" s="9"/>
    </row>
    <row x14ac:dyDescent="0.25" r="707" customHeight="1" ht="18.75">
      <c r="A707" s="9"/>
      <c r="B707" s="18" t="s">
        <v>16</v>
      </c>
      <c r="C707" s="9"/>
      <c r="D707" s="9" t="s">
        <v>34</v>
      </c>
      <c r="E707" s="18" t="s">
        <v>2569</v>
      </c>
      <c r="F707" s="19">
        <v>60000000</v>
      </c>
      <c r="G707" s="8">
        <f>IF(F707&gt;0,_xludf.IFS(F707=10000000,800000,F707=20000000,1528000,F707=30000000,2028000,F707=60000000,4056000),"")</f>
      </c>
      <c r="H707" s="21">
        <v>46192</v>
      </c>
      <c r="I707" s="22">
        <f>IF(H707&gt;0,EDATE(H707,-2),"")</f>
        <v>25569.375</v>
      </c>
      <c r="J707" s="18" t="s">
        <v>302</v>
      </c>
      <c r="K707" s="18" t="s">
        <v>2570</v>
      </c>
      <c r="L707" s="23">
        <f>IF(E707&gt;0,E707,"")</f>
      </c>
      <c r="M707" s="19" t="s">
        <v>2571</v>
      </c>
      <c r="N707" s="19" t="s">
        <v>2572</v>
      </c>
      <c r="O707" s="22">
        <f>IF(ISNUMBER(I707), EDATE(I707,36)-1, "")</f>
        <v>25569.375</v>
      </c>
      <c r="P707" s="9" t="s">
        <v>2573</v>
      </c>
      <c r="Q707" s="9" t="s">
        <v>166</v>
      </c>
      <c r="R707" s="9"/>
      <c r="S707" s="9"/>
      <c r="T707" s="9"/>
      <c r="U707" s="9"/>
      <c r="V707" s="9"/>
      <c r="W707" s="9"/>
      <c r="X707" s="9"/>
      <c r="Y707" s="9"/>
      <c r="Z707" s="9"/>
    </row>
    <row x14ac:dyDescent="0.25" r="708" customHeight="1" ht="18.75">
      <c r="A708" s="9" t="s">
        <v>63</v>
      </c>
      <c r="B708" s="18" t="s">
        <v>16</v>
      </c>
      <c r="C708" s="9"/>
      <c r="D708" s="9"/>
      <c r="E708" s="18" t="s">
        <v>2574</v>
      </c>
      <c r="F708" s="19">
        <v>20000000</v>
      </c>
      <c r="G708" s="20">
        <v>1800000</v>
      </c>
      <c r="H708" s="21">
        <v>46230</v>
      </c>
      <c r="I708" s="22">
        <f>IF(H708&gt;0,EDATE(H708,-2),"")</f>
        <v>25569.375</v>
      </c>
      <c r="J708" s="18" t="s">
        <v>161</v>
      </c>
      <c r="K708" s="18" t="s">
        <v>2575</v>
      </c>
      <c r="L708" s="23">
        <f>IF(E708&gt;0,E708,"")</f>
      </c>
      <c r="M708" s="19" t="s">
        <v>2576</v>
      </c>
      <c r="N708" s="19" t="s">
        <v>2577</v>
      </c>
      <c r="O708" s="22">
        <f>IF(ISNUMBER(I708), EDATE(I708,36)-1, "")</f>
        <v>25569.375</v>
      </c>
      <c r="P708" s="9"/>
      <c r="Q708" s="9" t="s">
        <v>166</v>
      </c>
      <c r="R708" s="9" t="s">
        <v>2578</v>
      </c>
      <c r="S708" s="9"/>
      <c r="T708" s="9"/>
      <c r="U708" s="9"/>
      <c r="V708" s="9"/>
      <c r="W708" s="9"/>
      <c r="X708" s="9"/>
      <c r="Y708" s="9"/>
      <c r="Z708" s="9"/>
    </row>
    <row x14ac:dyDescent="0.25" r="709" customHeight="1" ht="18.75">
      <c r="A709" s="9"/>
      <c r="B709" s="18" t="s">
        <v>16</v>
      </c>
      <c r="C709" s="9"/>
      <c r="D709" s="9"/>
      <c r="E709" s="18" t="s">
        <v>2579</v>
      </c>
      <c r="F709" s="19">
        <v>10000000</v>
      </c>
      <c r="G709" s="20">
        <v>800000</v>
      </c>
      <c r="H709" s="21">
        <v>45910</v>
      </c>
      <c r="I709" s="22">
        <f>IF(H709&gt;0,EDATE(H709,-2),"")</f>
        <v>25569.375</v>
      </c>
      <c r="J709" s="18" t="s">
        <v>155</v>
      </c>
      <c r="K709" s="18" t="s">
        <v>2580</v>
      </c>
      <c r="L709" s="23">
        <f>IF(E709&gt;0,E709,"")</f>
      </c>
      <c r="M709" s="19" t="s">
        <v>2581</v>
      </c>
      <c r="N709" s="19" t="s">
        <v>2582</v>
      </c>
      <c r="O709" s="22">
        <f>IF(ISNUMBER(I709), EDATE(I709,36)-1, "")</f>
        <v>25569.375</v>
      </c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x14ac:dyDescent="0.25" r="710" customHeight="1" ht="18.75">
      <c r="A710" s="9" t="s">
        <v>2583</v>
      </c>
      <c r="B710" s="18" t="s">
        <v>16</v>
      </c>
      <c r="C710" s="9"/>
      <c r="D710" s="9"/>
      <c r="E710" s="18" t="s">
        <v>2584</v>
      </c>
      <c r="F710" s="19">
        <v>30000000</v>
      </c>
      <c r="G710" s="8">
        <f>IF(F710&gt;0,_xludf.IFS(F710=10000000,800000,F710=20000000,1528000,F710=30000000,2028000,F710=60000000,4056000),"")</f>
      </c>
      <c r="H710" s="21">
        <v>45899</v>
      </c>
      <c r="I710" s="22">
        <f>IF(H710&gt;0,EDATE(H710,-2),"")</f>
        <v>25569.375</v>
      </c>
      <c r="J710" s="18" t="s">
        <v>182</v>
      </c>
      <c r="K710" s="18" t="s">
        <v>2585</v>
      </c>
      <c r="L710" s="23">
        <f>IF(E710&gt;0,E710,"")</f>
      </c>
      <c r="M710" s="19" t="s">
        <v>2586</v>
      </c>
      <c r="N710" s="19" t="s">
        <v>2587</v>
      </c>
      <c r="O710" s="22">
        <f>IF(ISNUMBER(I710), EDATE(I710,36)-1, "")</f>
        <v>25569.375</v>
      </c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x14ac:dyDescent="0.25" r="711" customHeight="1" ht="18.75">
      <c r="A711" s="9" t="s">
        <v>152</v>
      </c>
      <c r="B711" s="18" t="s">
        <v>16</v>
      </c>
      <c r="C711" s="9" t="s">
        <v>143</v>
      </c>
      <c r="D711" s="9" t="s">
        <v>14</v>
      </c>
      <c r="E711" s="18" t="s">
        <v>2588</v>
      </c>
      <c r="F711" s="19">
        <v>20000000</v>
      </c>
      <c r="G711" s="20">
        <v>1800000</v>
      </c>
      <c r="H711" s="21">
        <v>46165</v>
      </c>
      <c r="I711" s="22">
        <f>IF(H711&gt;0,EDATE(H711,-2),"")</f>
        <v>25569.375</v>
      </c>
      <c r="J711" s="18" t="s">
        <v>155</v>
      </c>
      <c r="K711" s="18" t="s">
        <v>2589</v>
      </c>
      <c r="L711" s="23">
        <f>IF(E711&gt;0,E711,"")</f>
      </c>
      <c r="M711" s="19" t="s">
        <v>2590</v>
      </c>
      <c r="N711" s="19" t="s">
        <v>2591</v>
      </c>
      <c r="O711" s="22">
        <f>IF(ISNUMBER(I711), EDATE(I711,36)-1, "")</f>
        <v>25569.375</v>
      </c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x14ac:dyDescent="0.25" r="712" customHeight="1" ht="18.75">
      <c r="A712" s="9"/>
      <c r="B712" s="18" t="s">
        <v>16</v>
      </c>
      <c r="C712" s="9" t="s">
        <v>55</v>
      </c>
      <c r="D712" s="9" t="s">
        <v>56</v>
      </c>
      <c r="E712" s="18" t="s">
        <v>2592</v>
      </c>
      <c r="F712" s="19">
        <v>10000000</v>
      </c>
      <c r="G712" s="8">
        <f>IF(F712&gt;0,_xludf.IFS(F712=10000000,800000,F712=20000000,1528000,F712=30000000,2028000,F712=60000000,4056000),"")</f>
      </c>
      <c r="H712" s="21">
        <v>46223</v>
      </c>
      <c r="I712" s="22">
        <f>IF(H712&gt;0,EDATE(H712,-2),"")</f>
        <v>25569.375</v>
      </c>
      <c r="J712" s="18" t="s">
        <v>239</v>
      </c>
      <c r="K712" s="18" t="s">
        <v>2593</v>
      </c>
      <c r="L712" s="23">
        <f>IF(E712&gt;0,E712,"")</f>
      </c>
      <c r="M712" s="19">
        <v>8211202124212</v>
      </c>
      <c r="N712" s="19">
        <v>25169201</v>
      </c>
      <c r="O712" s="22">
        <f>IF(ISNUMBER(I712), EDATE(I712,36)-1, "")</f>
        <v>25569.375</v>
      </c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x14ac:dyDescent="0.25" r="713" customHeight="1" ht="18.75">
      <c r="A713" s="9"/>
      <c r="B713" s="18" t="s">
        <v>16</v>
      </c>
      <c r="C713" s="9"/>
      <c r="D713" s="9"/>
      <c r="E713" s="18" t="s">
        <v>2594</v>
      </c>
      <c r="F713" s="19">
        <v>10000000</v>
      </c>
      <c r="G713" s="8">
        <f>IF(F713&gt;0,_xludf.IFS(F713=10000000,800000,F713=20000000,1528000,F713=30000000,2028000,F713=60000000,4056000),"")</f>
      </c>
      <c r="H713" s="21">
        <v>46154</v>
      </c>
      <c r="I713" s="22">
        <f>IF(H713&gt;0,EDATE(H713,-2),"")</f>
        <v>25569.375</v>
      </c>
      <c r="J713" s="18" t="s">
        <v>217</v>
      </c>
      <c r="K713" s="18" t="s">
        <v>2595</v>
      </c>
      <c r="L713" s="23">
        <f>IF(E713&gt;0,E713,"")</f>
      </c>
      <c r="M713" s="19" t="s">
        <v>2596</v>
      </c>
      <c r="N713" s="19" t="s">
        <v>2597</v>
      </c>
      <c r="O713" s="22">
        <f>IF(ISNUMBER(I713), EDATE(I713,36)-1, "")</f>
        <v>25569.375</v>
      </c>
      <c r="P713" s="9" t="s">
        <v>2598</v>
      </c>
      <c r="Q713" s="9" t="s">
        <v>166</v>
      </c>
      <c r="R713" s="9"/>
      <c r="S713" s="9"/>
      <c r="T713" s="9"/>
      <c r="U713" s="9"/>
      <c r="V713" s="9"/>
      <c r="W713" s="9"/>
      <c r="X713" s="9"/>
      <c r="Y713" s="9"/>
      <c r="Z713" s="9"/>
    </row>
    <row x14ac:dyDescent="0.25" r="714" customHeight="1" ht="18.75">
      <c r="A714" s="9"/>
      <c r="B714" s="18" t="s">
        <v>16</v>
      </c>
      <c r="C714" s="9"/>
      <c r="D714" s="9" t="s">
        <v>22</v>
      </c>
      <c r="E714" s="18" t="s">
        <v>2599</v>
      </c>
      <c r="F714" s="19">
        <v>10000000</v>
      </c>
      <c r="G714" s="8">
        <f>IF(F714&gt;0,_xludf.IFS(F714=10000000,800000,F714=20000000,1528000,F714=30000000,2028000,F714=60000000,4056000),"")</f>
      </c>
      <c r="H714" s="21">
        <v>46176</v>
      </c>
      <c r="I714" s="22">
        <f>IF(H714&gt;0,EDATE(H714,-2),"")</f>
        <v>25569.375</v>
      </c>
      <c r="J714" s="18" t="s">
        <v>239</v>
      </c>
      <c r="K714" s="18" t="s">
        <v>2600</v>
      </c>
      <c r="L714" s="23">
        <f>IF(E714&gt;0,E714,"")</f>
      </c>
      <c r="M714" s="19" t="s">
        <v>2601</v>
      </c>
      <c r="N714" s="19" t="s">
        <v>2602</v>
      </c>
      <c r="O714" s="22">
        <f>IF(ISNUMBER(I714), EDATE(I714,36)-1, "")</f>
        <v>25569.375</v>
      </c>
      <c r="P714" s="9" t="s">
        <v>2603</v>
      </c>
      <c r="Q714" s="9" t="s">
        <v>166</v>
      </c>
      <c r="R714" s="9"/>
      <c r="S714" s="9"/>
      <c r="T714" s="9"/>
      <c r="U714" s="9"/>
      <c r="V714" s="9"/>
      <c r="W714" s="9"/>
      <c r="X714" s="9"/>
      <c r="Y714" s="9"/>
      <c r="Z714" s="9"/>
    </row>
    <row x14ac:dyDescent="0.25" r="715" customHeight="1" ht="18.75">
      <c r="A715" s="9"/>
      <c r="B715" s="18" t="s">
        <v>16</v>
      </c>
      <c r="C715" s="9"/>
      <c r="D715" s="9" t="s">
        <v>75</v>
      </c>
      <c r="E715" s="18" t="s">
        <v>124</v>
      </c>
      <c r="F715" s="19">
        <v>60000000</v>
      </c>
      <c r="G715" s="8">
        <f>IF(F715&gt;0,_xludf.IFS(F715=10000000,800000,F715=20000000,1528000,F715=30000000,2028000,F715=60000000,4056000),"")</f>
      </c>
      <c r="H715" s="21">
        <v>46140</v>
      </c>
      <c r="I715" s="22">
        <f>IF(H715&gt;0,EDATE(H715,-2),"")</f>
        <v>25569.375</v>
      </c>
      <c r="J715" s="18" t="s">
        <v>570</v>
      </c>
      <c r="K715" s="18" t="s">
        <v>2604</v>
      </c>
      <c r="L715" s="23">
        <f>IF(E715&gt;0,E715,"")</f>
      </c>
      <c r="M715" s="19" t="s">
        <v>2605</v>
      </c>
      <c r="N715" s="19" t="s">
        <v>2606</v>
      </c>
      <c r="O715" s="22">
        <f>IF(ISNUMBER(I715), EDATE(I715,36)-1, "")</f>
        <v>25569.375</v>
      </c>
      <c r="P715" s="9" t="s">
        <v>125</v>
      </c>
      <c r="Q715" s="9" t="s">
        <v>2607</v>
      </c>
      <c r="R715" s="9"/>
      <c r="S715" s="9"/>
      <c r="T715" s="9"/>
      <c r="U715" s="9"/>
      <c r="V715" s="9"/>
      <c r="W715" s="9"/>
      <c r="X715" s="9"/>
      <c r="Y715" s="9"/>
      <c r="Z715" s="9"/>
    </row>
    <row x14ac:dyDescent="0.25" r="716" customHeight="1" ht="18.75">
      <c r="A716" s="9"/>
      <c r="B716" s="18" t="s">
        <v>16</v>
      </c>
      <c r="C716" s="9"/>
      <c r="D716" s="9"/>
      <c r="E716" s="18" t="s">
        <v>2608</v>
      </c>
      <c r="F716" s="19">
        <v>30000000</v>
      </c>
      <c r="G716" s="8">
        <f>IF(F716&gt;0,_xludf.IFS(F716=10000000,800000,F716=20000000,1528000,F716=30000000,2028000,F716=60000000,4056000),"")</f>
      </c>
      <c r="H716" s="21">
        <v>46184</v>
      </c>
      <c r="I716" s="22">
        <f>IF(H716&gt;0,EDATE(H716,-2),"")</f>
        <v>25569.375</v>
      </c>
      <c r="J716" s="18" t="s">
        <v>2054</v>
      </c>
      <c r="K716" s="18" t="s">
        <v>2609</v>
      </c>
      <c r="L716" s="23">
        <f>IF(E716&gt;0,E716,"")</f>
      </c>
      <c r="M716" s="19" t="s">
        <v>2610</v>
      </c>
      <c r="N716" s="19" t="s">
        <v>2611</v>
      </c>
      <c r="O716" s="22">
        <f>IF(ISNUMBER(I716), EDATE(I716,36)-1, "")</f>
        <v>25569.375</v>
      </c>
      <c r="P716" s="9" t="s">
        <v>2612</v>
      </c>
      <c r="Q716" s="9" t="s">
        <v>166</v>
      </c>
      <c r="R716" s="9"/>
      <c r="S716" s="9"/>
      <c r="T716" s="9"/>
      <c r="U716" s="9"/>
      <c r="V716" s="9"/>
      <c r="W716" s="9"/>
      <c r="X716" s="9"/>
      <c r="Y716" s="9"/>
      <c r="Z716" s="9"/>
    </row>
    <row x14ac:dyDescent="0.25" r="717" customHeight="1" ht="18.75">
      <c r="A717" s="9"/>
      <c r="B717" s="18" t="s">
        <v>16</v>
      </c>
      <c r="C717" s="9"/>
      <c r="D717" s="9"/>
      <c r="E717" s="18" t="s">
        <v>420</v>
      </c>
      <c r="F717" s="19">
        <v>10000000</v>
      </c>
      <c r="G717" s="8">
        <f>IF(F717&gt;0,_xludf.IFS(F717=10000000,800000,F717=20000000,1528000,F717=30000000,2028000,F717=60000000,4056000),"")</f>
      </c>
      <c r="H717" s="21">
        <v>46091</v>
      </c>
      <c r="I717" s="22">
        <f>IF(H717&gt;0,EDATE(H717,-2),"")</f>
        <v>25569.375</v>
      </c>
      <c r="J717" s="18" t="s">
        <v>217</v>
      </c>
      <c r="K717" s="18" t="s">
        <v>2613</v>
      </c>
      <c r="L717" s="23">
        <f>IF(E717&gt;0,E717,"")</f>
      </c>
      <c r="M717" s="19" t="s">
        <v>2614</v>
      </c>
      <c r="N717" s="19" t="s">
        <v>424</v>
      </c>
      <c r="O717" s="22">
        <f>IF(ISNUMBER(I717), EDATE(I717,36)-1, "")</f>
        <v>25569.375</v>
      </c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x14ac:dyDescent="0.25" r="718" customHeight="1" ht="18.75">
      <c r="A718" s="9"/>
      <c r="B718" s="18" t="s">
        <v>16</v>
      </c>
      <c r="C718" s="9"/>
      <c r="D718" s="9"/>
      <c r="E718" s="18" t="s">
        <v>2615</v>
      </c>
      <c r="F718" s="19">
        <v>20000000</v>
      </c>
      <c r="G718" s="20">
        <v>1528000</v>
      </c>
      <c r="H718" s="21">
        <v>45976</v>
      </c>
      <c r="I718" s="22">
        <f>IF(H718&gt;0,EDATE(H718,-2),"")</f>
        <v>25569.375</v>
      </c>
      <c r="J718" s="18" t="s">
        <v>2616</v>
      </c>
      <c r="K718" s="18" t="s">
        <v>2617</v>
      </c>
      <c r="L718" s="23">
        <f>IF(E718&gt;0,E718,"")</f>
      </c>
      <c r="M718" s="19" t="s">
        <v>2618</v>
      </c>
      <c r="N718" s="19" t="s">
        <v>2619</v>
      </c>
      <c r="O718" s="22">
        <f>IF(ISNUMBER(I718), EDATE(I718,36)-1, "")</f>
        <v>25569.375</v>
      </c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x14ac:dyDescent="0.25" r="719" customHeight="1" ht="18.75">
      <c r="A719" s="9"/>
      <c r="B719" s="18" t="s">
        <v>16</v>
      </c>
      <c r="C719" s="9"/>
      <c r="D719" s="9" t="s">
        <v>357</v>
      </c>
      <c r="E719" s="18" t="s">
        <v>2620</v>
      </c>
      <c r="F719" s="19">
        <v>10000000</v>
      </c>
      <c r="G719" s="8">
        <f>IF(F719&gt;0,_xludf.IFS(F719=10000000,800000,F719=20000000,1528000,F719=30000000,2028000,F719=60000000,4056000),"")</f>
      </c>
      <c r="H719" s="21">
        <v>46194</v>
      </c>
      <c r="I719" s="22">
        <f>IF(H719&gt;0,EDATE(H719,-2),"")</f>
        <v>25569.375</v>
      </c>
      <c r="J719" s="18" t="s">
        <v>155</v>
      </c>
      <c r="K719" s="18" t="s">
        <v>2621</v>
      </c>
      <c r="L719" s="23">
        <f>IF(E719&gt;0,E719,"")</f>
      </c>
      <c r="M719" s="19" t="s">
        <v>2622</v>
      </c>
      <c r="N719" s="19">
        <v>24103548</v>
      </c>
      <c r="O719" s="22">
        <f>IF(ISNUMBER(I719), EDATE(I719,36)-1, "")</f>
        <v>25569.375</v>
      </c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x14ac:dyDescent="0.25" r="720" customHeight="1" ht="18.75">
      <c r="A720" s="9"/>
      <c r="B720" s="18" t="s">
        <v>16</v>
      </c>
      <c r="C720" s="9"/>
      <c r="D720" s="9"/>
      <c r="E720" s="18" t="s">
        <v>2623</v>
      </c>
      <c r="F720" s="19">
        <v>20000000</v>
      </c>
      <c r="G720" s="8">
        <f>IF(F720&gt;0,_xludf.IFS(F720=10000000,800000,F720=20000000,1528000,F720=30000000,2028000,F720=60000000,4056000),"")</f>
      </c>
      <c r="H720" s="21">
        <v>46064</v>
      </c>
      <c r="I720" s="22">
        <f>IF(H720&gt;0,EDATE(H720,-2),"")</f>
        <v>25569.375</v>
      </c>
      <c r="J720" s="18" t="s">
        <v>217</v>
      </c>
      <c r="K720" s="18" t="s">
        <v>2624</v>
      </c>
      <c r="L720" s="23">
        <f>IF(E720&gt;0,E720,"")</f>
      </c>
      <c r="M720" s="19" t="s">
        <v>2625</v>
      </c>
      <c r="N720" s="19" t="s">
        <v>2626</v>
      </c>
      <c r="O720" s="22">
        <f>IF(ISNUMBER(I720), EDATE(I720,36)-1, "")</f>
        <v>25569.375</v>
      </c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x14ac:dyDescent="0.25" r="721" customHeight="1" ht="18.75">
      <c r="A721" s="9"/>
      <c r="B721" s="18" t="s">
        <v>16</v>
      </c>
      <c r="C721" s="9"/>
      <c r="D721" s="9"/>
      <c r="E721" s="18" t="s">
        <v>2627</v>
      </c>
      <c r="F721" s="19">
        <v>120000000</v>
      </c>
      <c r="G721" s="20">
        <v>7056000</v>
      </c>
      <c r="H721" s="21">
        <v>46091</v>
      </c>
      <c r="I721" s="22">
        <f>IF(H721&gt;0,EDATE(H721,-2),"")</f>
        <v>25569.375</v>
      </c>
      <c r="J721" s="18" t="s">
        <v>174</v>
      </c>
      <c r="K721" s="18" t="s">
        <v>2628</v>
      </c>
      <c r="L721" s="23">
        <f>IF(E721&gt;0,E721,"")</f>
      </c>
      <c r="M721" s="19" t="s">
        <v>2629</v>
      </c>
      <c r="N721" s="19" t="s">
        <v>2630</v>
      </c>
      <c r="O721" s="22">
        <f>IF(ISNUMBER(I721), EDATE(I721,36)-1, "")</f>
        <v>25569.375</v>
      </c>
      <c r="P721" s="9" t="s">
        <v>2631</v>
      </c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x14ac:dyDescent="0.25" r="722" customHeight="1" ht="18.75">
      <c r="A722" s="9"/>
      <c r="B722" s="18" t="s">
        <v>2033</v>
      </c>
      <c r="C722" s="9"/>
      <c r="D722" s="9"/>
      <c r="E722" s="18" t="s">
        <v>2632</v>
      </c>
      <c r="F722" s="19">
        <v>10000000</v>
      </c>
      <c r="G722" s="20"/>
      <c r="H722" s="21">
        <v>45820</v>
      </c>
      <c r="I722" s="22">
        <f>IF(H722&gt;0,EDATE(H722,-2),"")</f>
        <v>25569.375</v>
      </c>
      <c r="J722" s="18" t="s">
        <v>168</v>
      </c>
      <c r="K722" s="18" t="s">
        <v>2633</v>
      </c>
      <c r="L722" s="23">
        <f>IF(E722&gt;0,E722,"")</f>
      </c>
      <c r="M722" s="19" t="s">
        <v>2634</v>
      </c>
      <c r="N722" s="19" t="s">
        <v>2635</v>
      </c>
      <c r="O722" s="22">
        <f>IF(ISNUMBER(I722), EDATE(I722,36)-1, "")</f>
        <v>25569.375</v>
      </c>
      <c r="P722" s="9"/>
      <c r="Q722" s="9"/>
      <c r="R722" s="9" t="s">
        <v>2636</v>
      </c>
      <c r="S722" s="9"/>
      <c r="T722" s="9"/>
      <c r="U722" s="9"/>
      <c r="V722" s="9"/>
      <c r="W722" s="9"/>
      <c r="X722" s="9"/>
      <c r="Y722" s="9"/>
      <c r="Z722" s="9"/>
    </row>
    <row x14ac:dyDescent="0.25" r="723" customHeight="1" ht="18.75">
      <c r="A723" s="9"/>
      <c r="B723" s="18" t="s">
        <v>16</v>
      </c>
      <c r="C723" s="9"/>
      <c r="D723" s="9"/>
      <c r="E723" s="18" t="s">
        <v>2632</v>
      </c>
      <c r="F723" s="19">
        <v>170000000</v>
      </c>
      <c r="G723" s="20">
        <v>13520000</v>
      </c>
      <c r="H723" s="21">
        <v>45912</v>
      </c>
      <c r="I723" s="22">
        <f>IF(H723&gt;0,EDATE(H723,-2),"")</f>
        <v>25569.375</v>
      </c>
      <c r="J723" s="18" t="s">
        <v>282</v>
      </c>
      <c r="K723" s="18" t="s">
        <v>2637</v>
      </c>
      <c r="L723" s="23">
        <f>IF(E723&gt;0,E723,"")</f>
      </c>
      <c r="M723" s="19" t="s">
        <v>2638</v>
      </c>
      <c r="N723" s="19" t="s">
        <v>2635</v>
      </c>
      <c r="O723" s="22">
        <f>IF(ISNUMBER(I723), EDATE(I723,36)-1, "")</f>
        <v>25569.375</v>
      </c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x14ac:dyDescent="0.25" r="724" customHeight="1" ht="18.75">
      <c r="A724" s="9"/>
      <c r="B724" s="18" t="s">
        <v>16</v>
      </c>
      <c r="C724" s="18" t="s">
        <v>454</v>
      </c>
      <c r="D724" s="18" t="s">
        <v>538</v>
      </c>
      <c r="E724" s="18" t="s">
        <v>2639</v>
      </c>
      <c r="F724" s="20">
        <v>10000000</v>
      </c>
      <c r="G724" s="8">
        <f>IF(F724&gt;0,_xludf.IFS(F724=10000000,1200000,F724=20000000,1800000,F724=30000000,2400000,F724=60000000,4000000),"")</f>
      </c>
      <c r="H724" s="21">
        <v>46246</v>
      </c>
      <c r="I724" s="22">
        <f>IF(H724&gt;0,EDATE(H724,-2),"")</f>
        <v>25569.375</v>
      </c>
      <c r="J724" s="18" t="s">
        <v>155</v>
      </c>
      <c r="K724" s="18" t="s">
        <v>2640</v>
      </c>
      <c r="L724" s="23">
        <f>IF(E724&gt;0,E724,"")</f>
      </c>
      <c r="M724" s="19">
        <v>7508232917014</v>
      </c>
      <c r="N724" s="19">
        <v>45472007</v>
      </c>
      <c r="O724" s="22">
        <f>IF(ISNUMBER(I724), EDATE(I724,36)-1, "")</f>
        <v>25569.375</v>
      </c>
      <c r="P724" s="18"/>
      <c r="Q724" s="18"/>
      <c r="R724" s="9"/>
      <c r="S724" s="9"/>
      <c r="T724" s="9"/>
      <c r="U724" s="9"/>
      <c r="V724" s="9"/>
      <c r="W724" s="9"/>
      <c r="X724" s="9"/>
      <c r="Y724" s="9"/>
      <c r="Z724" s="9"/>
    </row>
    <row x14ac:dyDescent="0.25" r="725" customHeight="1" ht="18.75">
      <c r="A725" s="9"/>
      <c r="B725" s="18" t="s">
        <v>16</v>
      </c>
      <c r="C725" s="9" t="s">
        <v>454</v>
      </c>
      <c r="D725" s="9" t="s">
        <v>647</v>
      </c>
      <c r="E725" s="18" t="s">
        <v>2641</v>
      </c>
      <c r="F725" s="19">
        <v>10000000</v>
      </c>
      <c r="G725" s="20">
        <v>800000</v>
      </c>
      <c r="H725" s="21">
        <v>46148</v>
      </c>
      <c r="I725" s="22">
        <f>IF(H725&gt;0,EDATE(H725,-2),"")</f>
        <v>25569.375</v>
      </c>
      <c r="J725" s="18" t="s">
        <v>155</v>
      </c>
      <c r="K725" s="18" t="s">
        <v>2642</v>
      </c>
      <c r="L725" s="23">
        <f>IF(E725&gt;0,E725,"")</f>
      </c>
      <c r="M725" s="19" t="s">
        <v>2643</v>
      </c>
      <c r="N725" s="19">
        <v>87417489</v>
      </c>
      <c r="O725" s="22">
        <f>IF(ISNUMBER(I725), EDATE(I725,36)-1, "")</f>
        <v>25569.375</v>
      </c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x14ac:dyDescent="0.25" r="726" customHeight="1" ht="18.75">
      <c r="A726" s="9"/>
      <c r="B726" s="18" t="s">
        <v>16</v>
      </c>
      <c r="C726" s="9"/>
      <c r="D726" s="9"/>
      <c r="E726" s="18" t="s">
        <v>2644</v>
      </c>
      <c r="F726" s="19">
        <v>60000000</v>
      </c>
      <c r="G726" s="8">
        <f>IF(F726&gt;0,_xludf.IFS(F726=10000000,800000,F726=20000000,1528000,F726=30000000,2028000,F726=60000000,4056000),"")</f>
      </c>
      <c r="H726" s="21">
        <v>45994</v>
      </c>
      <c r="I726" s="22">
        <f>IF(H726&gt;0,EDATE(H726,-2),"")</f>
        <v>25569.375</v>
      </c>
      <c r="J726" s="18" t="s">
        <v>302</v>
      </c>
      <c r="K726" s="18" t="s">
        <v>2645</v>
      </c>
      <c r="L726" s="23">
        <f>IF(E726&gt;0,E726,"")</f>
      </c>
      <c r="M726" s="19" t="s">
        <v>2646</v>
      </c>
      <c r="N726" s="19" t="s">
        <v>2647</v>
      </c>
      <c r="O726" s="22">
        <f>IF(ISNUMBER(I726), EDATE(I726,36)-1, "")</f>
        <v>25569.375</v>
      </c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x14ac:dyDescent="0.25" r="727" customHeight="1" ht="18.75">
      <c r="A727" s="9" t="s">
        <v>2433</v>
      </c>
      <c r="B727" s="18" t="s">
        <v>113</v>
      </c>
      <c r="C727" s="9"/>
      <c r="D727" s="9"/>
      <c r="E727" s="18" t="s">
        <v>126</v>
      </c>
      <c r="F727" s="19">
        <v>60000000</v>
      </c>
      <c r="G727" s="20">
        <v>4800000</v>
      </c>
      <c r="H727" s="21">
        <v>45593</v>
      </c>
      <c r="I727" s="22">
        <f>IF(H727&gt;0,EDATE(H727,-2),"")</f>
        <v>25569.375</v>
      </c>
      <c r="J727" s="18" t="s">
        <v>205</v>
      </c>
      <c r="K727" s="18" t="s">
        <v>2648</v>
      </c>
      <c r="L727" s="23">
        <f>IF(E727&gt;0,E727,"")</f>
      </c>
      <c r="M727" s="19" t="s">
        <v>2649</v>
      </c>
      <c r="N727" s="19" t="s">
        <v>2650</v>
      </c>
      <c r="O727" s="22">
        <f>IF(ISNUMBER(I727), EDATE(I727,36)-1, "")</f>
        <v>25569.375</v>
      </c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x14ac:dyDescent="0.25" r="728" customHeight="1" ht="18.75">
      <c r="A728" s="9"/>
      <c r="B728" s="18" t="s">
        <v>16</v>
      </c>
      <c r="C728" s="9"/>
      <c r="D728" s="9"/>
      <c r="E728" s="18" t="s">
        <v>126</v>
      </c>
      <c r="F728" s="19">
        <v>60000000</v>
      </c>
      <c r="G728" s="20">
        <v>4800000</v>
      </c>
      <c r="H728" s="21">
        <v>45966</v>
      </c>
      <c r="I728" s="22">
        <f>IF(H728&gt;0,EDATE(H728,-2),"")</f>
        <v>25569.375</v>
      </c>
      <c r="J728" s="18" t="s">
        <v>205</v>
      </c>
      <c r="K728" s="18" t="s">
        <v>2651</v>
      </c>
      <c r="L728" s="23">
        <f>IF(E728&gt;0,E728,"")</f>
      </c>
      <c r="M728" s="19" t="s">
        <v>2649</v>
      </c>
      <c r="N728" s="19" t="s">
        <v>2650</v>
      </c>
      <c r="O728" s="22">
        <f>IF(ISNUMBER(I728), EDATE(I728,36)-1, "")</f>
        <v>25569.375</v>
      </c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x14ac:dyDescent="0.25" r="729" customHeight="1" ht="18.75">
      <c r="A729" s="9"/>
      <c r="B729" s="18" t="s">
        <v>16</v>
      </c>
      <c r="C729" s="9"/>
      <c r="D729" s="9"/>
      <c r="E729" s="18" t="s">
        <v>2652</v>
      </c>
      <c r="F729" s="19">
        <v>10000000</v>
      </c>
      <c r="G729" s="20">
        <v>800000</v>
      </c>
      <c r="H729" s="21">
        <v>46183</v>
      </c>
      <c r="I729" s="22">
        <f>IF(H729&gt;0,EDATE(H729,-2),"")</f>
        <v>25569.375</v>
      </c>
      <c r="J729" s="18" t="s">
        <v>2653</v>
      </c>
      <c r="K729" s="18" t="s">
        <v>2654</v>
      </c>
      <c r="L729" s="23">
        <f>IF(E729&gt;0,E729,"")</f>
      </c>
      <c r="M729" s="19" t="s">
        <v>2655</v>
      </c>
      <c r="N729" s="19" t="s">
        <v>2656</v>
      </c>
      <c r="O729" s="22">
        <f>IF(ISNUMBER(I729), EDATE(I729,36)-1, "")</f>
        <v>25569.375</v>
      </c>
      <c r="P729" s="9" t="s">
        <v>2657</v>
      </c>
      <c r="Q729" s="9" t="s">
        <v>179</v>
      </c>
      <c r="R729" s="9"/>
      <c r="S729" s="9"/>
      <c r="T729" s="9"/>
      <c r="U729" s="9"/>
      <c r="V729" s="9"/>
      <c r="W729" s="9"/>
      <c r="X729" s="9"/>
      <c r="Y729" s="9"/>
      <c r="Z729" s="9"/>
    </row>
    <row x14ac:dyDescent="0.25" r="730" customHeight="1" ht="18.75">
      <c r="A730" s="9"/>
      <c r="B730" s="18" t="s">
        <v>16</v>
      </c>
      <c r="C730" s="9"/>
      <c r="D730" s="9" t="s">
        <v>596</v>
      </c>
      <c r="E730" s="18" t="s">
        <v>172</v>
      </c>
      <c r="F730" s="19">
        <v>10000000</v>
      </c>
      <c r="G730" s="20">
        <v>800000</v>
      </c>
      <c r="H730" s="21">
        <v>46131</v>
      </c>
      <c r="I730" s="22">
        <f>IF(H730&gt;0,EDATE(H730,-2),"")</f>
        <v>25569.375</v>
      </c>
      <c r="J730" s="18" t="s">
        <v>155</v>
      </c>
      <c r="K730" s="18" t="s">
        <v>2658</v>
      </c>
      <c r="L730" s="23">
        <f>IF(E730&gt;0,E730,"")</f>
      </c>
      <c r="M730" s="19" t="s">
        <v>2659</v>
      </c>
      <c r="N730" s="19" t="s">
        <v>2660</v>
      </c>
      <c r="O730" s="22">
        <f>IF(ISNUMBER(I730), EDATE(I730,36)-1, "")</f>
        <v>25569.375</v>
      </c>
      <c r="P730" s="9" t="s">
        <v>2661</v>
      </c>
      <c r="Q730" s="9" t="s">
        <v>166</v>
      </c>
      <c r="R730" s="9"/>
      <c r="S730" s="9"/>
      <c r="T730" s="9"/>
      <c r="U730" s="9"/>
      <c r="V730" s="9"/>
      <c r="W730" s="9"/>
      <c r="X730" s="9"/>
      <c r="Y730" s="9"/>
      <c r="Z730" s="9"/>
    </row>
    <row x14ac:dyDescent="0.25" r="731" customHeight="1" ht="18.75">
      <c r="A731" s="9"/>
      <c r="B731" s="18" t="s">
        <v>16</v>
      </c>
      <c r="C731" s="9"/>
      <c r="D731" s="9"/>
      <c r="E731" s="18" t="s">
        <v>2662</v>
      </c>
      <c r="F731" s="19">
        <v>30000000</v>
      </c>
      <c r="G731" s="8">
        <f>IF(F731&gt;0,_xludf.IFS(F731=10000000,800000,F731=20000000,1528000,F731=30000000,2028000,F731=60000000,4056000),"")</f>
      </c>
      <c r="H731" s="21">
        <v>45914</v>
      </c>
      <c r="I731" s="22">
        <f>IF(H731&gt;0,EDATE(H731,-2),"")</f>
        <v>25569.375</v>
      </c>
      <c r="J731" s="18" t="s">
        <v>282</v>
      </c>
      <c r="K731" s="18" t="s">
        <v>2663</v>
      </c>
      <c r="L731" s="23">
        <f>IF(E731&gt;0,E731,"")</f>
      </c>
      <c r="M731" s="19" t="s">
        <v>2664</v>
      </c>
      <c r="N731" s="19" t="s">
        <v>2665</v>
      </c>
      <c r="O731" s="22">
        <f>IF(ISNUMBER(I731), EDATE(I731,36)-1, "")</f>
        <v>25569.375</v>
      </c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x14ac:dyDescent="0.25" r="732" customHeight="1" ht="18.75">
      <c r="A732" s="9"/>
      <c r="B732" s="18" t="s">
        <v>16</v>
      </c>
      <c r="C732" s="9"/>
      <c r="D732" s="9"/>
      <c r="E732" s="18" t="s">
        <v>2666</v>
      </c>
      <c r="F732" s="19">
        <v>20000000</v>
      </c>
      <c r="G732" s="8">
        <f>IF(F732&gt;0,_xludf.IFS(F732=10000000,800000,F732=20000000,1528000,F732=30000000,2028000,F732=60000000,4056000),"")</f>
      </c>
      <c r="H732" s="21">
        <v>45980</v>
      </c>
      <c r="I732" s="22">
        <f>IF(H732&gt;0,EDATE(H732,-2),"")</f>
        <v>25569.375</v>
      </c>
      <c r="J732" s="18" t="s">
        <v>155</v>
      </c>
      <c r="K732" s="18" t="s">
        <v>2667</v>
      </c>
      <c r="L732" s="23">
        <f>IF(E732&gt;0,E732,"")</f>
      </c>
      <c r="M732" s="19" t="s">
        <v>2668</v>
      </c>
      <c r="N732" s="19" t="s">
        <v>2669</v>
      </c>
      <c r="O732" s="22">
        <f>IF(ISNUMBER(I732), EDATE(I732,36)-1, "")</f>
        <v>25569.375</v>
      </c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x14ac:dyDescent="0.25" r="733" customHeight="1" ht="18.75">
      <c r="A733" s="9"/>
      <c r="B733" s="18" t="s">
        <v>16</v>
      </c>
      <c r="C733" s="9" t="s">
        <v>48</v>
      </c>
      <c r="D733" s="9" t="s">
        <v>117</v>
      </c>
      <c r="E733" s="18" t="s">
        <v>2670</v>
      </c>
      <c r="F733" s="19">
        <v>10000000</v>
      </c>
      <c r="G733" s="20">
        <v>1200000</v>
      </c>
      <c r="H733" s="21">
        <v>46203</v>
      </c>
      <c r="I733" s="22">
        <f>IF(H733&gt;0,EDATE(H733,-2),"")</f>
        <v>25569.375</v>
      </c>
      <c r="J733" s="18" t="s">
        <v>239</v>
      </c>
      <c r="K733" s="18" t="s">
        <v>2671</v>
      </c>
      <c r="L733" s="23">
        <f>IF(E733&gt;0,E733,"")</f>
      </c>
      <c r="M733" s="19" t="s">
        <v>2672</v>
      </c>
      <c r="N733" s="19">
        <v>85168758</v>
      </c>
      <c r="O733" s="22">
        <f>IF(ISNUMBER(I733), EDATE(I733,36)-1, "")</f>
        <v>25569.375</v>
      </c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x14ac:dyDescent="0.25" r="734" customHeight="1" ht="18.75">
      <c r="A734" s="9"/>
      <c r="B734" s="18" t="s">
        <v>16</v>
      </c>
      <c r="C734" s="9" t="s">
        <v>48</v>
      </c>
      <c r="D734" s="9" t="s">
        <v>1958</v>
      </c>
      <c r="E734" s="18" t="s">
        <v>2673</v>
      </c>
      <c r="F734" s="19">
        <v>10000000</v>
      </c>
      <c r="G734" s="20">
        <v>500000</v>
      </c>
      <c r="H734" s="21">
        <v>46186</v>
      </c>
      <c r="I734" s="22">
        <f>IF(H734&gt;0,EDATE(H734,-2),"")</f>
        <v>25569.375</v>
      </c>
      <c r="J734" s="18" t="s">
        <v>239</v>
      </c>
      <c r="K734" s="18" t="s">
        <v>2674</v>
      </c>
      <c r="L734" s="23">
        <f>IF(E734&gt;0,E734,"")</f>
      </c>
      <c r="M734" s="19" t="s">
        <v>2675</v>
      </c>
      <c r="N734" s="19" t="s">
        <v>2676</v>
      </c>
      <c r="O734" s="22">
        <f>IF(ISNUMBER(I734), EDATE(I734,36)-1, "")</f>
        <v>25569.375</v>
      </c>
      <c r="P734" s="9" t="s">
        <v>2677</v>
      </c>
      <c r="Q734" s="9" t="s">
        <v>166</v>
      </c>
      <c r="R734" s="9"/>
      <c r="S734" s="9"/>
      <c r="T734" s="9"/>
      <c r="U734" s="9"/>
      <c r="V734" s="9"/>
      <c r="W734" s="9"/>
      <c r="X734" s="9"/>
      <c r="Y734" s="9"/>
      <c r="Z734" s="9"/>
    </row>
    <row x14ac:dyDescent="0.25" r="735" customHeight="1" ht="18.75">
      <c r="A735" s="9"/>
      <c r="B735" s="18" t="s">
        <v>16</v>
      </c>
      <c r="C735" s="9" t="s">
        <v>454</v>
      </c>
      <c r="D735" s="9" t="s">
        <v>2506</v>
      </c>
      <c r="E735" s="18" t="s">
        <v>2678</v>
      </c>
      <c r="F735" s="19">
        <v>10000000</v>
      </c>
      <c r="G735" s="8">
        <f>IF(F735&gt;0,_xludf.IFS(F735=10000000,800000,F735=20000000,1528000,F735=30000000,2028000,F735=60000000,4056000),"")</f>
      </c>
      <c r="H735" s="21">
        <v>46192</v>
      </c>
      <c r="I735" s="22">
        <f>IF(H735&gt;0,EDATE(H735,-2),"")</f>
        <v>25569.375</v>
      </c>
      <c r="J735" s="18" t="s">
        <v>217</v>
      </c>
      <c r="K735" s="18" t="s">
        <v>2679</v>
      </c>
      <c r="L735" s="23">
        <f>IF(E735&gt;0,E735,"")</f>
      </c>
      <c r="M735" s="19" t="s">
        <v>2680</v>
      </c>
      <c r="N735" s="19">
        <v>39397081</v>
      </c>
      <c r="O735" s="22">
        <f>IF(ISNUMBER(I735), EDATE(I735,36)-1, "")</f>
        <v>25569.375</v>
      </c>
      <c r="P735" s="9"/>
      <c r="Q735" s="9"/>
      <c r="R735" s="9" t="s">
        <v>2681</v>
      </c>
      <c r="S735" s="9"/>
      <c r="T735" s="9"/>
      <c r="U735" s="9"/>
      <c r="V735" s="9"/>
      <c r="W735" s="9"/>
      <c r="X735" s="9"/>
      <c r="Y735" s="9"/>
      <c r="Z735" s="9"/>
    </row>
    <row x14ac:dyDescent="0.25" r="736" customHeight="1" ht="18.75">
      <c r="A736" s="9" t="s">
        <v>275</v>
      </c>
      <c r="B736" s="18" t="s">
        <v>16</v>
      </c>
      <c r="C736" s="9"/>
      <c r="D736" s="9"/>
      <c r="E736" s="18" t="s">
        <v>2682</v>
      </c>
      <c r="F736" s="19">
        <v>10000000</v>
      </c>
      <c r="G736" s="20"/>
      <c r="H736" s="21">
        <v>46031</v>
      </c>
      <c r="I736" s="22">
        <f>IF(H736&gt;0,EDATE(H736,-2),"")</f>
        <v>25569.375</v>
      </c>
      <c r="J736" s="18" t="s">
        <v>168</v>
      </c>
      <c r="K736" s="18" t="s">
        <v>2683</v>
      </c>
      <c r="L736" s="23">
        <f>IF(E736&gt;0,E736,"")</f>
      </c>
      <c r="M736" s="19" t="s">
        <v>2684</v>
      </c>
      <c r="N736" s="19">
        <v>32404004</v>
      </c>
      <c r="O736" s="22">
        <f>IF(ISNUMBER(I736), EDATE(I736,36)-1, "")</f>
        <v>25569.375</v>
      </c>
      <c r="P736" s="9"/>
      <c r="Q736" s="9"/>
      <c r="R736" s="9" t="s">
        <v>2685</v>
      </c>
      <c r="S736" s="9"/>
      <c r="T736" s="9"/>
      <c r="U736" s="9"/>
      <c r="V736" s="9"/>
      <c r="W736" s="9"/>
      <c r="X736" s="9"/>
      <c r="Y736" s="9"/>
      <c r="Z736" s="9"/>
    </row>
    <row x14ac:dyDescent="0.25" r="737" customHeight="1" ht="18.75">
      <c r="A737" s="9"/>
      <c r="B737" s="18" t="s">
        <v>16</v>
      </c>
      <c r="C737" s="18" t="s">
        <v>143</v>
      </c>
      <c r="D737" s="18" t="s">
        <v>14</v>
      </c>
      <c r="E737" s="18" t="s">
        <v>2686</v>
      </c>
      <c r="F737" s="20">
        <v>10000000</v>
      </c>
      <c r="G737" s="8">
        <f>IF(F737&gt;0,_xludf.IFS(F737=10000000,1200000,F737=20000000,1800000,F737=30000000,2400000,F737=60000000,4000000),"")</f>
      </c>
      <c r="H737" s="21">
        <v>46239</v>
      </c>
      <c r="I737" s="22">
        <f>IF(H737&gt;0,EDATE(H737,-2),"")</f>
        <v>25569.375</v>
      </c>
      <c r="J737" s="18" t="s">
        <v>168</v>
      </c>
      <c r="K737" s="18" t="s">
        <v>2687</v>
      </c>
      <c r="L737" s="23">
        <f>IF(E737&gt;0,E737,"")</f>
      </c>
      <c r="M737" s="19">
        <v>5210151067814</v>
      </c>
      <c r="N737" s="19">
        <v>30452065</v>
      </c>
      <c r="O737" s="22">
        <f>IF(ISNUMBER(I737), EDATE(I737,36)-1, "")</f>
        <v>25569.375</v>
      </c>
      <c r="P737" s="18"/>
      <c r="Q737" s="18"/>
      <c r="R737" s="9"/>
      <c r="S737" s="9"/>
      <c r="T737" s="9"/>
      <c r="U737" s="9"/>
      <c r="V737" s="9"/>
      <c r="W737" s="9"/>
      <c r="X737" s="9"/>
      <c r="Y737" s="9"/>
      <c r="Z737" s="9"/>
    </row>
    <row x14ac:dyDescent="0.25" r="738" customHeight="1" ht="18.75">
      <c r="A738" s="9"/>
      <c r="B738" s="18" t="s">
        <v>16</v>
      </c>
      <c r="C738" s="9" t="s">
        <v>48</v>
      </c>
      <c r="D738" s="9" t="s">
        <v>1044</v>
      </c>
      <c r="E738" s="18" t="s">
        <v>2688</v>
      </c>
      <c r="F738" s="19">
        <v>10000000</v>
      </c>
      <c r="G738" s="20">
        <v>800000</v>
      </c>
      <c r="H738" s="21">
        <v>46191</v>
      </c>
      <c r="I738" s="22">
        <f>IF(H738&gt;0,EDATE(H738,-2),"")</f>
        <v>25569.375</v>
      </c>
      <c r="J738" s="18" t="s">
        <v>168</v>
      </c>
      <c r="K738" s="18" t="s">
        <v>2689</v>
      </c>
      <c r="L738" s="23">
        <f>IF(E738&gt;0,E738,"")</f>
      </c>
      <c r="M738" s="19" t="s">
        <v>2690</v>
      </c>
      <c r="N738" s="19" t="s">
        <v>2691</v>
      </c>
      <c r="O738" s="22">
        <f>IF(ISNUMBER(I738), EDATE(I738,36)-1, "")</f>
        <v>25569.375</v>
      </c>
      <c r="P738" s="9" t="s">
        <v>2692</v>
      </c>
      <c r="Q738" s="9" t="s">
        <v>166</v>
      </c>
      <c r="R738" s="9"/>
      <c r="S738" s="9"/>
      <c r="T738" s="9"/>
      <c r="U738" s="9"/>
      <c r="V738" s="9"/>
      <c r="W738" s="9"/>
      <c r="X738" s="9"/>
      <c r="Y738" s="9"/>
      <c r="Z738" s="9"/>
    </row>
    <row x14ac:dyDescent="0.25" r="739" customHeight="1" ht="18.75">
      <c r="A739" s="9"/>
      <c r="B739" s="18" t="s">
        <v>16</v>
      </c>
      <c r="C739" s="9" t="s">
        <v>2693</v>
      </c>
      <c r="D739" s="9" t="s">
        <v>111</v>
      </c>
      <c r="E739" s="18" t="s">
        <v>2694</v>
      </c>
      <c r="F739" s="19">
        <v>10000000</v>
      </c>
      <c r="G739" s="20">
        <v>800000</v>
      </c>
      <c r="H739" s="21">
        <v>46111</v>
      </c>
      <c r="I739" s="22">
        <f>IF(H739&gt;0,EDATE(H739,-2),"")</f>
        <v>25569.375</v>
      </c>
      <c r="J739" s="18" t="s">
        <v>570</v>
      </c>
      <c r="K739" s="18" t="s">
        <v>2695</v>
      </c>
      <c r="L739" s="23">
        <f>IF(E739&gt;0,E739,"")</f>
      </c>
      <c r="M739" s="19" t="s">
        <v>2696</v>
      </c>
      <c r="N739" s="19" t="s">
        <v>2697</v>
      </c>
      <c r="O739" s="22">
        <f>IF(ISNUMBER(I739), EDATE(I739,36)-1, "")</f>
        <v>25569.375</v>
      </c>
      <c r="P739" s="9" t="s">
        <v>2698</v>
      </c>
      <c r="Q739" s="9" t="s">
        <v>166</v>
      </c>
      <c r="R739" s="9"/>
      <c r="S739" s="9"/>
      <c r="T739" s="9"/>
      <c r="U739" s="9"/>
      <c r="V739" s="9"/>
      <c r="W739" s="9"/>
      <c r="X739" s="9"/>
      <c r="Y739" s="9"/>
      <c r="Z739" s="9"/>
    </row>
    <row x14ac:dyDescent="0.25" r="740" customHeight="1" ht="18.75">
      <c r="A740" s="9" t="s">
        <v>152</v>
      </c>
      <c r="B740" s="18" t="s">
        <v>16</v>
      </c>
      <c r="C740" s="9"/>
      <c r="D740" s="9"/>
      <c r="E740" s="18" t="s">
        <v>2699</v>
      </c>
      <c r="F740" s="19">
        <v>20000000</v>
      </c>
      <c r="G740" s="20">
        <v>1528000</v>
      </c>
      <c r="H740" s="21">
        <v>45981</v>
      </c>
      <c r="I740" s="22">
        <f>IF(H740&gt;0,EDATE(H740,-2),"")</f>
        <v>25569.375</v>
      </c>
      <c r="J740" s="18" t="s">
        <v>306</v>
      </c>
      <c r="K740" s="18" t="s">
        <v>1568</v>
      </c>
      <c r="L740" s="23">
        <f>IF(E740&gt;0,E740,"")</f>
      </c>
      <c r="M740" s="19" t="s">
        <v>2700</v>
      </c>
      <c r="N740" s="19" t="s">
        <v>2701</v>
      </c>
      <c r="O740" s="22">
        <f>IF(ISNUMBER(I740), EDATE(I740,36)-1, "")</f>
        <v>25569.375</v>
      </c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x14ac:dyDescent="0.25" r="741" customHeight="1" ht="18.75">
      <c r="A741" s="9"/>
      <c r="B741" s="18" t="s">
        <v>16</v>
      </c>
      <c r="C741" s="9"/>
      <c r="D741" s="9"/>
      <c r="E741" s="18" t="s">
        <v>2702</v>
      </c>
      <c r="F741" s="19">
        <v>10000000</v>
      </c>
      <c r="G741" s="20">
        <v>800000</v>
      </c>
      <c r="H741" s="21">
        <v>46196</v>
      </c>
      <c r="I741" s="22">
        <f>IF(H741&gt;0,EDATE(H741,-2),"")</f>
        <v>25569.375</v>
      </c>
      <c r="J741" s="18" t="s">
        <v>168</v>
      </c>
      <c r="K741" s="18" t="s">
        <v>2703</v>
      </c>
      <c r="L741" s="23">
        <f>IF(E741&gt;0,E741,"")</f>
      </c>
      <c r="M741" s="19" t="s">
        <v>2704</v>
      </c>
      <c r="N741" s="19" t="s">
        <v>2705</v>
      </c>
      <c r="O741" s="22">
        <f>IF(ISNUMBER(I741), EDATE(I741,36)-1, "")</f>
        <v>25569.375</v>
      </c>
      <c r="P741" s="9" t="s">
        <v>2706</v>
      </c>
      <c r="Q741" s="9" t="s">
        <v>166</v>
      </c>
      <c r="R741" s="9"/>
      <c r="S741" s="9"/>
      <c r="T741" s="9"/>
      <c r="U741" s="9"/>
      <c r="V741" s="9"/>
      <c r="W741" s="9"/>
      <c r="X741" s="9"/>
      <c r="Y741" s="9"/>
      <c r="Z741" s="9"/>
    </row>
    <row x14ac:dyDescent="0.25" r="742" customHeight="1" ht="18.75">
      <c r="A742" s="9"/>
      <c r="B742" s="18" t="s">
        <v>16</v>
      </c>
      <c r="C742" s="9" t="s">
        <v>454</v>
      </c>
      <c r="D742" s="9"/>
      <c r="E742" s="18" t="s">
        <v>2707</v>
      </c>
      <c r="F742" s="19">
        <v>10000000</v>
      </c>
      <c r="G742" s="20">
        <v>800000</v>
      </c>
      <c r="H742" s="21">
        <v>46154</v>
      </c>
      <c r="I742" s="22">
        <f>IF(H742&gt;0,EDATE(H742,-2),"")</f>
        <v>25569.375</v>
      </c>
      <c r="J742" s="18" t="s">
        <v>282</v>
      </c>
      <c r="K742" s="18" t="s">
        <v>2708</v>
      </c>
      <c r="L742" s="23">
        <f>IF(E742&gt;0,E742,"")</f>
      </c>
      <c r="M742" s="19" t="s">
        <v>2709</v>
      </c>
      <c r="N742" s="19" t="s">
        <v>2710</v>
      </c>
      <c r="O742" s="22">
        <f>IF(ISNUMBER(I742), EDATE(I742,36)-1, "")</f>
        <v>25569.375</v>
      </c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x14ac:dyDescent="0.25" r="743" customHeight="1" ht="18.75">
      <c r="A743" s="9"/>
      <c r="B743" s="18" t="s">
        <v>16</v>
      </c>
      <c r="C743" s="9"/>
      <c r="D743" s="9"/>
      <c r="E743" s="18" t="s">
        <v>2711</v>
      </c>
      <c r="F743" s="19">
        <v>10000000</v>
      </c>
      <c r="G743" s="20">
        <v>800000</v>
      </c>
      <c r="H743" s="21">
        <v>46192</v>
      </c>
      <c r="I743" s="22">
        <f>IF(H743&gt;0,EDATE(H743,-2),"")</f>
        <v>25569.375</v>
      </c>
      <c r="J743" s="18" t="s">
        <v>161</v>
      </c>
      <c r="K743" s="18" t="s">
        <v>2712</v>
      </c>
      <c r="L743" s="23">
        <f>IF(E743&gt;0,E743,"")</f>
      </c>
      <c r="M743" s="19" t="s">
        <v>2713</v>
      </c>
      <c r="N743" s="19" t="s">
        <v>2714</v>
      </c>
      <c r="O743" s="22">
        <f>IF(ISNUMBER(I743), EDATE(I743,36)-1, "")</f>
        <v>25569.375</v>
      </c>
      <c r="P743" s="9" t="s">
        <v>2715</v>
      </c>
      <c r="Q743" s="9" t="s">
        <v>166</v>
      </c>
      <c r="R743" s="9"/>
      <c r="S743" s="9"/>
      <c r="T743" s="9"/>
      <c r="U743" s="9"/>
      <c r="V743" s="9"/>
      <c r="W743" s="9"/>
      <c r="X743" s="9"/>
      <c r="Y743" s="9"/>
      <c r="Z743" s="9"/>
    </row>
    <row x14ac:dyDescent="0.25" r="744" customHeight="1" ht="18.75">
      <c r="A744" s="9" t="s">
        <v>152</v>
      </c>
      <c r="B744" s="18" t="s">
        <v>16</v>
      </c>
      <c r="C744" s="9" t="s">
        <v>55</v>
      </c>
      <c r="D744" s="9" t="s">
        <v>726</v>
      </c>
      <c r="E744" s="18" t="s">
        <v>2716</v>
      </c>
      <c r="F744" s="19">
        <v>30000000</v>
      </c>
      <c r="G744" s="20">
        <v>1500000</v>
      </c>
      <c r="H744" s="21">
        <v>46173</v>
      </c>
      <c r="I744" s="22">
        <f>IF(H744&gt;0,EDATE(H744,-2),"")</f>
        <v>25569.375</v>
      </c>
      <c r="J744" s="18" t="s">
        <v>217</v>
      </c>
      <c r="K744" s="18" t="s">
        <v>802</v>
      </c>
      <c r="L744" s="23">
        <f>IF(E744&gt;0,E744,"")</f>
      </c>
      <c r="M744" s="19" t="s">
        <v>2717</v>
      </c>
      <c r="N744" s="19" t="s">
        <v>804</v>
      </c>
      <c r="O744" s="22">
        <f>IF(ISNUMBER(I744), EDATE(I744,36)-1, "")</f>
        <v>25569.375</v>
      </c>
      <c r="P744" s="9" t="s">
        <v>2718</v>
      </c>
      <c r="Q744" s="9" t="s">
        <v>166</v>
      </c>
      <c r="R744" s="9" t="s">
        <v>2719</v>
      </c>
      <c r="S744" s="9"/>
      <c r="T744" s="9"/>
      <c r="U744" s="9"/>
      <c r="V744" s="9"/>
      <c r="W744" s="9"/>
      <c r="X744" s="9"/>
      <c r="Y744" s="9"/>
      <c r="Z744" s="9"/>
    </row>
    <row x14ac:dyDescent="0.25" r="745" customHeight="1" ht="18.75">
      <c r="A745" s="24" t="s">
        <v>152</v>
      </c>
      <c r="B745" s="25" t="s">
        <v>16</v>
      </c>
      <c r="C745" s="24" t="s">
        <v>816</v>
      </c>
      <c r="D745" s="24" t="s">
        <v>2203</v>
      </c>
      <c r="E745" s="25" t="s">
        <v>2720</v>
      </c>
      <c r="F745" s="26">
        <v>60000000</v>
      </c>
      <c r="G745" s="27"/>
      <c r="H745" s="28">
        <v>46161</v>
      </c>
      <c r="I745" s="29">
        <f>IF(H745&gt;0,EDATE(H745,-2),"")</f>
        <v>25569.375</v>
      </c>
      <c r="J745" s="25" t="s">
        <v>212</v>
      </c>
      <c r="K745" s="25" t="s">
        <v>2721</v>
      </c>
      <c r="L745" s="30">
        <f>IF(E745&gt;0,E745,"")</f>
      </c>
      <c r="M745" s="26" t="s">
        <v>2722</v>
      </c>
      <c r="N745" s="26">
        <v>50637844</v>
      </c>
      <c r="O745" s="29">
        <f>IF(ISNUMBER(I745), EDATE(I745,36)-1, "")</f>
        <v>25569.375</v>
      </c>
      <c r="P745" s="24"/>
      <c r="Q745" s="24"/>
      <c r="R745" s="24" t="s">
        <v>2723</v>
      </c>
      <c r="S745" s="9"/>
      <c r="T745" s="9"/>
      <c r="U745" s="9"/>
      <c r="V745" s="9"/>
      <c r="W745" s="9"/>
      <c r="X745" s="9"/>
      <c r="Y745" s="9"/>
      <c r="Z745" s="9"/>
    </row>
    <row x14ac:dyDescent="0.25" r="746" customHeight="1" ht="18.75">
      <c r="A746" s="9"/>
      <c r="B746" s="18" t="s">
        <v>16</v>
      </c>
      <c r="C746" s="9"/>
      <c r="D746" s="9"/>
      <c r="E746" s="18" t="s">
        <v>2724</v>
      </c>
      <c r="F746" s="19">
        <v>10000000</v>
      </c>
      <c r="G746" s="20">
        <v>800000</v>
      </c>
      <c r="H746" s="21">
        <v>46184</v>
      </c>
      <c r="I746" s="22">
        <f>IF(H746&gt;0,EDATE(H746,-2),"")</f>
        <v>25569.375</v>
      </c>
      <c r="J746" s="18" t="s">
        <v>2054</v>
      </c>
      <c r="K746" s="18" t="s">
        <v>2725</v>
      </c>
      <c r="L746" s="23">
        <f>IF(E746&gt;0,E746,"")</f>
      </c>
      <c r="M746" s="19" t="s">
        <v>2726</v>
      </c>
      <c r="N746" s="19" t="s">
        <v>2727</v>
      </c>
      <c r="O746" s="22">
        <f>IF(ISNUMBER(I746), EDATE(I746,36)-1, "")</f>
        <v>25569.375</v>
      </c>
      <c r="P746" s="9" t="s">
        <v>2728</v>
      </c>
      <c r="Q746" s="9" t="s">
        <v>166</v>
      </c>
      <c r="R746" s="9"/>
      <c r="S746" s="9"/>
      <c r="T746" s="9"/>
      <c r="U746" s="9"/>
      <c r="V746" s="9"/>
      <c r="W746" s="9"/>
      <c r="X746" s="9"/>
      <c r="Y746" s="9"/>
      <c r="Z746" s="9"/>
    </row>
    <row x14ac:dyDescent="0.25" r="747" customHeight="1" ht="18.75">
      <c r="A747" s="9"/>
      <c r="B747" s="18" t="s">
        <v>16</v>
      </c>
      <c r="C747" s="9"/>
      <c r="D747" s="9"/>
      <c r="E747" s="18" t="s">
        <v>2729</v>
      </c>
      <c r="F747" s="19">
        <v>10000000</v>
      </c>
      <c r="G747" s="8">
        <f>IF(F747&gt;0,_xludf.IFS(F747=10000000,800000,F747=20000000,1528000,F747=30000000,2028000,F747=60000000,4056000),"")</f>
      </c>
      <c r="H747" s="21">
        <v>46081</v>
      </c>
      <c r="I747" s="22">
        <f>IF(H747&gt;0,EDATE(H747,-2),"")</f>
        <v>25569.375</v>
      </c>
      <c r="J747" s="18" t="s">
        <v>1487</v>
      </c>
      <c r="K747" s="18" t="s">
        <v>2730</v>
      </c>
      <c r="L747" s="23">
        <f>IF(E747&gt;0,E747,"")</f>
      </c>
      <c r="M747" s="19">
        <v>7502272247824</v>
      </c>
      <c r="N747" s="19">
        <v>33495943</v>
      </c>
      <c r="O747" s="22">
        <f>IF(ISNUMBER(I747), EDATE(I747,36)-1, "")</f>
        <v>25569.375</v>
      </c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x14ac:dyDescent="0.25" r="748" customHeight="1" ht="18.75">
      <c r="A748" s="9"/>
      <c r="B748" s="18" t="s">
        <v>16</v>
      </c>
      <c r="C748" s="9"/>
      <c r="D748" s="9"/>
      <c r="E748" s="18" t="s">
        <v>2731</v>
      </c>
      <c r="F748" s="19">
        <v>10000000</v>
      </c>
      <c r="G748" s="8">
        <f>IF(F748&gt;0,_xludf.IFS(F748=10000000,800000,F748=20000000,1528000,F748=30000000,2028000,F748=60000000,4056000),"")</f>
      </c>
      <c r="H748" s="21">
        <v>46094</v>
      </c>
      <c r="I748" s="22">
        <f>IF(H748&gt;0,EDATE(H748,-2),"")</f>
        <v>25569.375</v>
      </c>
      <c r="J748" s="18" t="s">
        <v>940</v>
      </c>
      <c r="K748" s="18" t="s">
        <v>2732</v>
      </c>
      <c r="L748" s="23">
        <f>IF(E748&gt;0,E748,"")</f>
      </c>
      <c r="M748" s="19" t="s">
        <v>2733</v>
      </c>
      <c r="N748" s="19" t="s">
        <v>2734</v>
      </c>
      <c r="O748" s="22">
        <f>IF(ISNUMBER(I748), EDATE(I748,36)-1, "")</f>
        <v>25569.375</v>
      </c>
      <c r="P748" s="9"/>
      <c r="Q748" s="9" t="s">
        <v>166</v>
      </c>
      <c r="R748" s="9"/>
      <c r="S748" s="9"/>
      <c r="T748" s="9"/>
      <c r="U748" s="9"/>
      <c r="V748" s="9"/>
      <c r="W748" s="9"/>
      <c r="X748" s="9"/>
      <c r="Y748" s="9"/>
      <c r="Z748" s="9"/>
    </row>
    <row x14ac:dyDescent="0.25" r="749" customHeight="1" ht="18.75">
      <c r="A749" s="9"/>
      <c r="B749" s="18" t="s">
        <v>16</v>
      </c>
      <c r="C749" s="9"/>
      <c r="D749" s="9"/>
      <c r="E749" s="18" t="s">
        <v>2735</v>
      </c>
      <c r="F749" s="19">
        <v>30000000</v>
      </c>
      <c r="G749" s="20">
        <v>2400000</v>
      </c>
      <c r="H749" s="21">
        <v>45869</v>
      </c>
      <c r="I749" s="22">
        <f>IF(H749&gt;0,EDATE(H749,-2),"")</f>
        <v>25569.375</v>
      </c>
      <c r="J749" s="18" t="s">
        <v>212</v>
      </c>
      <c r="K749" s="18" t="s">
        <v>2736</v>
      </c>
      <c r="L749" s="23">
        <f>IF(E749&gt;0,E749,"")</f>
      </c>
      <c r="M749" s="19" t="s">
        <v>2737</v>
      </c>
      <c r="N749" s="19" t="s">
        <v>2738</v>
      </c>
      <c r="O749" s="22">
        <f>IF(ISNUMBER(I749), EDATE(I749,36)-1, "")</f>
        <v>25569.375</v>
      </c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x14ac:dyDescent="0.25" r="750" customHeight="1" ht="18.75">
      <c r="A750" s="9"/>
      <c r="B750" s="18" t="s">
        <v>16</v>
      </c>
      <c r="C750" s="9"/>
      <c r="D750" s="9"/>
      <c r="E750" s="18" t="s">
        <v>2735</v>
      </c>
      <c r="F750" s="19">
        <v>30000000</v>
      </c>
      <c r="G750" s="20">
        <v>2400000</v>
      </c>
      <c r="H750" s="21">
        <v>45879</v>
      </c>
      <c r="I750" s="22">
        <f>IF(H750&gt;0,EDATE(H750,-2),"")</f>
        <v>25569.375</v>
      </c>
      <c r="J750" s="18" t="s">
        <v>212</v>
      </c>
      <c r="K750" s="18" t="s">
        <v>2736</v>
      </c>
      <c r="L750" s="23">
        <f>IF(E750&gt;0,E750,"")</f>
      </c>
      <c r="M750" s="19" t="s">
        <v>2737</v>
      </c>
      <c r="N750" s="19" t="s">
        <v>2738</v>
      </c>
      <c r="O750" s="22">
        <f>IF(ISNUMBER(I750), EDATE(I750,36)-1, "")</f>
        <v>25569.375</v>
      </c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x14ac:dyDescent="0.25" r="751" customHeight="1" ht="18.75">
      <c r="A751" s="9"/>
      <c r="B751" s="18" t="s">
        <v>16</v>
      </c>
      <c r="C751" s="9"/>
      <c r="D751" s="9"/>
      <c r="E751" s="18" t="s">
        <v>2739</v>
      </c>
      <c r="F751" s="19">
        <v>10000000</v>
      </c>
      <c r="G751" s="20"/>
      <c r="H751" s="21">
        <v>45887</v>
      </c>
      <c r="I751" s="22">
        <v>45835</v>
      </c>
      <c r="J751" s="18" t="s">
        <v>212</v>
      </c>
      <c r="K751" s="18" t="s">
        <v>2740</v>
      </c>
      <c r="L751" s="23">
        <f>IF(E751&gt;0,E751,"")</f>
      </c>
      <c r="M751" s="19" t="s">
        <v>2741</v>
      </c>
      <c r="N751" s="19" t="s">
        <v>1542</v>
      </c>
      <c r="O751" s="22">
        <v>46921</v>
      </c>
      <c r="P751" s="9"/>
      <c r="Q751" s="9"/>
      <c r="R751" s="9" t="s">
        <v>2742</v>
      </c>
      <c r="S751" s="9"/>
      <c r="T751" s="9"/>
      <c r="U751" s="9"/>
      <c r="V751" s="9"/>
      <c r="W751" s="9"/>
      <c r="X751" s="9"/>
      <c r="Y751" s="9"/>
      <c r="Z751" s="9"/>
    </row>
    <row x14ac:dyDescent="0.25" r="752" customHeight="1" ht="18.75">
      <c r="A752" s="9"/>
      <c r="B752" s="18" t="s">
        <v>16</v>
      </c>
      <c r="C752" s="9"/>
      <c r="D752" s="9"/>
      <c r="E752" s="18" t="s">
        <v>2739</v>
      </c>
      <c r="F752" s="19">
        <v>60000000</v>
      </c>
      <c r="G752" s="20">
        <v>4800000</v>
      </c>
      <c r="H752" s="21" t="s">
        <v>2743</v>
      </c>
      <c r="I752" s="22">
        <v>45848</v>
      </c>
      <c r="J752" s="18" t="s">
        <v>306</v>
      </c>
      <c r="K752" s="18" t="s">
        <v>2744</v>
      </c>
      <c r="L752" s="23">
        <f>IF(E752&gt;0,E752,"")</f>
      </c>
      <c r="M752" s="19" t="s">
        <v>2741</v>
      </c>
      <c r="N752" s="19" t="s">
        <v>1542</v>
      </c>
      <c r="O752" s="22">
        <f>IF(ISNUMBER(I752), EDATE(I752,36)-1, "")</f>
        <v>25569.375</v>
      </c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x14ac:dyDescent="0.25" r="753" customHeight="1" ht="18.75">
      <c r="A753" s="9"/>
      <c r="B753" s="18" t="s">
        <v>16</v>
      </c>
      <c r="C753" s="9"/>
      <c r="D753" s="9"/>
      <c r="E753" s="18" t="s">
        <v>2745</v>
      </c>
      <c r="F753" s="19">
        <v>10000000</v>
      </c>
      <c r="G753" s="8">
        <f>IF(F753&gt;0,_xludf.IFS(F753=10000000,800000,F753=20000000,1528000,F753=30000000,2028000,F753=60000000,4056000),"")</f>
      </c>
      <c r="H753" s="21">
        <v>45993</v>
      </c>
      <c r="I753" s="22">
        <f>IF(H753&gt;0,EDATE(H753,-2),"")</f>
        <v>25569.375</v>
      </c>
      <c r="J753" s="18" t="s">
        <v>306</v>
      </c>
      <c r="K753" s="18" t="s">
        <v>2746</v>
      </c>
      <c r="L753" s="23">
        <f>IF(E753&gt;0,E753,"")</f>
      </c>
      <c r="M753" s="19" t="s">
        <v>2747</v>
      </c>
      <c r="N753" s="19" t="s">
        <v>2748</v>
      </c>
      <c r="O753" s="22">
        <f>IF(ISNUMBER(I753), EDATE(I753,36)-1, "")</f>
        <v>25569.375</v>
      </c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x14ac:dyDescent="0.25" r="754" customHeight="1" ht="18.75">
      <c r="A754" s="9"/>
      <c r="B754" s="18" t="s">
        <v>16</v>
      </c>
      <c r="C754" s="9"/>
      <c r="D754" s="9" t="s">
        <v>97</v>
      </c>
      <c r="E754" s="18" t="s">
        <v>2749</v>
      </c>
      <c r="F754" s="19">
        <v>10000000</v>
      </c>
      <c r="G754" s="8">
        <f>IF(F754&gt;0,_xludf.IFS(F754=10000000,800000,F754=20000000,1528000,F754=30000000,2028000,F754=60000000,4056000),"")</f>
      </c>
      <c r="H754" s="21">
        <v>46137</v>
      </c>
      <c r="I754" s="22">
        <f>IF(H754&gt;0,EDATE(H754,-2),"")</f>
        <v>25569.375</v>
      </c>
      <c r="J754" s="18" t="s">
        <v>212</v>
      </c>
      <c r="K754" s="18" t="s">
        <v>2750</v>
      </c>
      <c r="L754" s="23">
        <f>IF(E754&gt;0,E754,"")</f>
      </c>
      <c r="M754" s="19" t="s">
        <v>2751</v>
      </c>
      <c r="N754" s="19" t="s">
        <v>2752</v>
      </c>
      <c r="O754" s="22">
        <f>IF(ISNUMBER(I754), EDATE(I754,36)-1, "")</f>
        <v>25569.375</v>
      </c>
      <c r="P754" s="9" t="s">
        <v>2753</v>
      </c>
      <c r="Q754" s="9" t="s">
        <v>166</v>
      </c>
      <c r="R754" s="9"/>
      <c r="S754" s="9"/>
      <c r="T754" s="9"/>
      <c r="U754" s="9"/>
      <c r="V754" s="9"/>
      <c r="W754" s="9"/>
      <c r="X754" s="9"/>
      <c r="Y754" s="9"/>
      <c r="Z754" s="9"/>
    </row>
    <row x14ac:dyDescent="0.25" r="755" customHeight="1" ht="18.75">
      <c r="A755" s="9"/>
      <c r="B755" s="18" t="s">
        <v>16</v>
      </c>
      <c r="C755" s="9"/>
      <c r="D755" s="9" t="s">
        <v>574</v>
      </c>
      <c r="E755" s="18" t="s">
        <v>2754</v>
      </c>
      <c r="F755" s="19">
        <v>10000000</v>
      </c>
      <c r="G755" s="8">
        <f>IF(F755&gt;0,_xludf.IFS(F755=10000000,800000,F755=20000000,1528000,F755=30000000,2028000,F755=60000000,4056000),"")</f>
      </c>
      <c r="H755" s="21">
        <v>46123</v>
      </c>
      <c r="I755" s="22">
        <f>IF(H755&gt;0,EDATE(H755,-2),"")</f>
        <v>25569.375</v>
      </c>
      <c r="J755" s="18" t="s">
        <v>155</v>
      </c>
      <c r="K755" s="18" t="s">
        <v>789</v>
      </c>
      <c r="L755" s="23">
        <f>IF(E755&gt;0,E755,"")</f>
      </c>
      <c r="M755" s="19" t="s">
        <v>2755</v>
      </c>
      <c r="N755" s="19" t="s">
        <v>2756</v>
      </c>
      <c r="O755" s="22">
        <f>IF(ISNUMBER(I755), EDATE(I755,36)-1, "")</f>
        <v>25569.375</v>
      </c>
      <c r="P755" s="9" t="s">
        <v>2757</v>
      </c>
      <c r="Q755" s="9" t="s">
        <v>166</v>
      </c>
      <c r="R755" s="9"/>
      <c r="S755" s="9"/>
      <c r="T755" s="9"/>
      <c r="U755" s="9"/>
      <c r="V755" s="9"/>
      <c r="W755" s="9"/>
      <c r="X755" s="9"/>
      <c r="Y755" s="9"/>
      <c r="Z755" s="9"/>
    </row>
    <row x14ac:dyDescent="0.25" r="756" customHeight="1" ht="18.75">
      <c r="A756" s="9"/>
      <c r="B756" s="18" t="s">
        <v>16</v>
      </c>
      <c r="C756" s="9"/>
      <c r="D756" s="9" t="s">
        <v>574</v>
      </c>
      <c r="E756" s="18" t="s">
        <v>2758</v>
      </c>
      <c r="F756" s="19">
        <v>10000000</v>
      </c>
      <c r="G756" s="8">
        <f>IF(F756&gt;0,_xludf.IFS(F756=10000000,800000,F756=20000000,1528000,F756=30000000,2028000,F756=60000000,4056000),"")</f>
      </c>
      <c r="H756" s="21">
        <v>46123</v>
      </c>
      <c r="I756" s="22">
        <f>IF(H756&gt;0,EDATE(H756,-2),"")</f>
        <v>25569.375</v>
      </c>
      <c r="J756" s="18" t="s">
        <v>155</v>
      </c>
      <c r="K756" s="18" t="s">
        <v>789</v>
      </c>
      <c r="L756" s="23">
        <f>IF(E756&gt;0,E756,"")</f>
      </c>
      <c r="M756" s="19" t="s">
        <v>2759</v>
      </c>
      <c r="N756" s="19" t="s">
        <v>2760</v>
      </c>
      <c r="O756" s="22">
        <f>IF(ISNUMBER(I756), EDATE(I756,36)-1, "")</f>
        <v>25569.375</v>
      </c>
      <c r="P756" s="9" t="s">
        <v>2761</v>
      </c>
      <c r="Q756" s="9" t="s">
        <v>166</v>
      </c>
      <c r="R756" s="9"/>
      <c r="S756" s="9"/>
      <c r="T756" s="9"/>
      <c r="U756" s="9"/>
      <c r="V756" s="9"/>
      <c r="W756" s="9"/>
      <c r="X756" s="9"/>
      <c r="Y756" s="9"/>
      <c r="Z756" s="9"/>
    </row>
    <row x14ac:dyDescent="0.25" r="757" customHeight="1" ht="18.75">
      <c r="A757" s="9"/>
      <c r="B757" s="18" t="s">
        <v>16</v>
      </c>
      <c r="C757" s="9"/>
      <c r="D757" s="9" t="s">
        <v>1121</v>
      </c>
      <c r="E757" s="18" t="s">
        <v>2762</v>
      </c>
      <c r="F757" s="19">
        <v>10000000</v>
      </c>
      <c r="G757" s="20">
        <v>800000</v>
      </c>
      <c r="H757" s="21">
        <v>46139</v>
      </c>
      <c r="I757" s="22">
        <f>IF(H757&gt;0,EDATE(H757,-2),"")</f>
        <v>25569.375</v>
      </c>
      <c r="J757" s="18" t="s">
        <v>182</v>
      </c>
      <c r="K757" s="18" t="s">
        <v>2763</v>
      </c>
      <c r="L757" s="23">
        <f>IF(E757&gt;0,E757,"")</f>
      </c>
      <c r="M757" s="19" t="s">
        <v>2764</v>
      </c>
      <c r="N757" s="19" t="s">
        <v>2765</v>
      </c>
      <c r="O757" s="22">
        <f>IF(ISNUMBER(I757), EDATE(I757,36)-1, "")</f>
        <v>25569.375</v>
      </c>
      <c r="P757" s="9" t="s">
        <v>2766</v>
      </c>
      <c r="Q757" s="9" t="s">
        <v>166</v>
      </c>
      <c r="R757" s="9"/>
      <c r="S757" s="9"/>
      <c r="T757" s="9"/>
      <c r="U757" s="9"/>
      <c r="V757" s="9"/>
      <c r="W757" s="9"/>
      <c r="X757" s="9"/>
      <c r="Y757" s="9"/>
      <c r="Z757" s="9"/>
    </row>
    <row x14ac:dyDescent="0.25" r="758" customHeight="1" ht="18.75">
      <c r="A758" s="9"/>
      <c r="B758" s="18" t="s">
        <v>16</v>
      </c>
      <c r="C758" s="9"/>
      <c r="D758" s="9" t="s">
        <v>203</v>
      </c>
      <c r="E758" s="18" t="s">
        <v>2767</v>
      </c>
      <c r="F758" s="19">
        <v>10000000</v>
      </c>
      <c r="G758" s="20">
        <v>800000</v>
      </c>
      <c r="H758" s="21">
        <v>46187</v>
      </c>
      <c r="I758" s="22">
        <f>IF(H758&gt;0,EDATE(H758,-2),"")</f>
        <v>25569.375</v>
      </c>
      <c r="J758" s="18" t="s">
        <v>168</v>
      </c>
      <c r="K758" s="18" t="s">
        <v>2768</v>
      </c>
      <c r="L758" s="23">
        <f>IF(E758&gt;0,E758,"")</f>
      </c>
      <c r="M758" s="19" t="s">
        <v>2769</v>
      </c>
      <c r="N758" s="19">
        <v>55904781</v>
      </c>
      <c r="O758" s="22">
        <f>IF(ISNUMBER(I758), EDATE(I758,36)-1, "")</f>
        <v>25569.375</v>
      </c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x14ac:dyDescent="0.25" r="759" customHeight="1" ht="18.75">
      <c r="A759" s="9"/>
      <c r="B759" s="18" t="s">
        <v>16</v>
      </c>
      <c r="C759" s="9"/>
      <c r="D759" s="9" t="s">
        <v>1547</v>
      </c>
      <c r="E759" s="18" t="s">
        <v>2770</v>
      </c>
      <c r="F759" s="19">
        <v>10000000</v>
      </c>
      <c r="G759" s="20">
        <v>800000</v>
      </c>
      <c r="H759" s="21">
        <v>46126</v>
      </c>
      <c r="I759" s="22">
        <f>IF(H759&gt;0,EDATE(H759,-2),"")</f>
        <v>25569.375</v>
      </c>
      <c r="J759" s="18" t="s">
        <v>234</v>
      </c>
      <c r="K759" s="18" t="s">
        <v>2771</v>
      </c>
      <c r="L759" s="23">
        <f>IF(E759&gt;0,E759,"")</f>
      </c>
      <c r="M759" s="19" t="s">
        <v>2772</v>
      </c>
      <c r="N759" s="19" t="s">
        <v>2773</v>
      </c>
      <c r="O759" s="22">
        <f>IF(ISNUMBER(I759), EDATE(I759,36)-1, "")</f>
        <v>25569.375</v>
      </c>
      <c r="P759" s="9" t="s">
        <v>2774</v>
      </c>
      <c r="Q759" s="9" t="s">
        <v>151</v>
      </c>
      <c r="R759" s="9"/>
      <c r="S759" s="9"/>
      <c r="T759" s="9"/>
      <c r="U759" s="9"/>
      <c r="V759" s="9"/>
      <c r="W759" s="9"/>
      <c r="X759" s="9"/>
      <c r="Y759" s="9"/>
      <c r="Z759" s="9"/>
    </row>
    <row x14ac:dyDescent="0.25" r="760" customHeight="1" ht="18.75">
      <c r="A760" s="9"/>
      <c r="B760" s="18" t="s">
        <v>16</v>
      </c>
      <c r="C760" s="9"/>
      <c r="D760" s="9" t="s">
        <v>357</v>
      </c>
      <c r="E760" s="18" t="s">
        <v>2775</v>
      </c>
      <c r="F760" s="19">
        <v>10000000</v>
      </c>
      <c r="G760" s="20">
        <v>1200000</v>
      </c>
      <c r="H760" s="21">
        <v>46205</v>
      </c>
      <c r="I760" s="22">
        <f>IF(H760&gt;0,EDATE(H760,-2),"")</f>
        <v>25569.375</v>
      </c>
      <c r="J760" s="18" t="s">
        <v>379</v>
      </c>
      <c r="K760" s="18" t="s">
        <v>2776</v>
      </c>
      <c r="L760" s="23">
        <f>IF(E760&gt;0,E760,"")</f>
      </c>
      <c r="M760" s="19" t="s">
        <v>2777</v>
      </c>
      <c r="N760" s="19">
        <v>84279989</v>
      </c>
      <c r="O760" s="22">
        <f>IF(ISNUMBER(I760), EDATE(I760,36)-1, "")</f>
        <v>25569.375</v>
      </c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x14ac:dyDescent="0.25" r="761" customHeight="1" ht="18.75">
      <c r="A761" s="9"/>
      <c r="B761" s="18" t="s">
        <v>16</v>
      </c>
      <c r="C761" s="9"/>
      <c r="D761" s="9"/>
      <c r="E761" s="18" t="s">
        <v>2778</v>
      </c>
      <c r="F761" s="19">
        <v>30000000</v>
      </c>
      <c r="G761" s="20">
        <v>2028000</v>
      </c>
      <c r="H761" s="21">
        <v>46107</v>
      </c>
      <c r="I761" s="22">
        <f>IF(H761&gt;0,EDATE(H761,-2),"")</f>
        <v>25569.375</v>
      </c>
      <c r="J761" s="18" t="s">
        <v>155</v>
      </c>
      <c r="K761" s="18" t="s">
        <v>2779</v>
      </c>
      <c r="L761" s="23">
        <f>IF(E761&gt;0,E761,"")</f>
      </c>
      <c r="M761" s="19" t="s">
        <v>2780</v>
      </c>
      <c r="N761" s="19" t="s">
        <v>2781</v>
      </c>
      <c r="O761" s="22">
        <f>IF(ISNUMBER(I761), EDATE(I761,36)-1, "")</f>
        <v>25569.375</v>
      </c>
      <c r="P761" s="9" t="s">
        <v>2782</v>
      </c>
      <c r="Q761" s="9" t="s">
        <v>2783</v>
      </c>
      <c r="R761" s="9"/>
      <c r="S761" s="9"/>
      <c r="T761" s="9"/>
      <c r="U761" s="9"/>
      <c r="V761" s="9"/>
      <c r="W761" s="9"/>
      <c r="X761" s="9"/>
      <c r="Y761" s="9"/>
      <c r="Z761" s="9"/>
    </row>
    <row x14ac:dyDescent="0.25" r="762" customHeight="1" ht="18.75">
      <c r="A762" s="9"/>
      <c r="B762" s="18" t="s">
        <v>16</v>
      </c>
      <c r="C762" s="9" t="s">
        <v>55</v>
      </c>
      <c r="D762" s="9" t="s">
        <v>726</v>
      </c>
      <c r="E762" s="18" t="s">
        <v>2784</v>
      </c>
      <c r="F762" s="19">
        <v>30000000</v>
      </c>
      <c r="G762" s="20">
        <v>2400000</v>
      </c>
      <c r="H762" s="21">
        <v>46228</v>
      </c>
      <c r="I762" s="22">
        <f>IF(H762&gt;0,EDATE(H762,-2),"")</f>
        <v>25569.375</v>
      </c>
      <c r="J762" s="18" t="s">
        <v>580</v>
      </c>
      <c r="K762" s="18" t="s">
        <v>2785</v>
      </c>
      <c r="L762" s="23">
        <f>IF(E762&gt;0,E762,"")</f>
      </c>
      <c r="M762" s="19">
        <v>9804211185030</v>
      </c>
      <c r="N762" s="19">
        <v>90540583</v>
      </c>
      <c r="O762" s="22">
        <f>IF(ISNUMBER(I762), EDATE(I762,36)-1, "")</f>
        <v>25569.375</v>
      </c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x14ac:dyDescent="0.25" r="763" customHeight="1" ht="18.75">
      <c r="A763" s="9" t="s">
        <v>152</v>
      </c>
      <c r="B763" s="18" t="s">
        <v>16</v>
      </c>
      <c r="C763" s="9" t="s">
        <v>153</v>
      </c>
      <c r="D763" s="9" t="s">
        <v>318</v>
      </c>
      <c r="E763" s="18" t="s">
        <v>2786</v>
      </c>
      <c r="F763" s="19">
        <v>10000000</v>
      </c>
      <c r="G763" s="20">
        <v>800000</v>
      </c>
      <c r="H763" s="21">
        <v>46152</v>
      </c>
      <c r="I763" s="22">
        <f>IF(H763&gt;0,EDATE(H763,-2),"")</f>
        <v>25569.375</v>
      </c>
      <c r="J763" s="18" t="s">
        <v>217</v>
      </c>
      <c r="K763" s="18" t="s">
        <v>2787</v>
      </c>
      <c r="L763" s="23">
        <f>IF(E763&gt;0,E763,"")</f>
      </c>
      <c r="M763" s="19" t="s">
        <v>2788</v>
      </c>
      <c r="N763" s="19">
        <v>75422510</v>
      </c>
      <c r="O763" s="22">
        <f>IF(ISNUMBER(I763), EDATE(I763,36)-1, "")</f>
        <v>25569.375</v>
      </c>
      <c r="P763" s="9"/>
      <c r="Q763" s="9"/>
      <c r="R763" s="9" t="s">
        <v>2789</v>
      </c>
      <c r="S763" s="9"/>
      <c r="T763" s="9"/>
      <c r="U763" s="9"/>
      <c r="V763" s="9"/>
      <c r="W763" s="9"/>
      <c r="X763" s="9"/>
      <c r="Y763" s="9"/>
      <c r="Z763" s="9"/>
    </row>
    <row x14ac:dyDescent="0.25" r="764" customHeight="1" ht="18.75">
      <c r="A764" s="9"/>
      <c r="B764" s="18" t="s">
        <v>16</v>
      </c>
      <c r="C764" s="9"/>
      <c r="D764" s="9"/>
      <c r="E764" s="18" t="s">
        <v>2790</v>
      </c>
      <c r="F764" s="19">
        <v>30000000</v>
      </c>
      <c r="G764" s="8">
        <f>IF(F764&gt;0,_xludf.IFS(F764=10000000,800000,F764=20000000,1528000,F764=30000000,2028000,F764=60000000,4056000),"")</f>
      </c>
      <c r="H764" s="21">
        <v>46193</v>
      </c>
      <c r="I764" s="22">
        <f>IF(H764&gt;0,EDATE(H764,-2),"")</f>
        <v>25569.375</v>
      </c>
      <c r="J764" s="18" t="s">
        <v>161</v>
      </c>
      <c r="K764" s="18" t="s">
        <v>2791</v>
      </c>
      <c r="L764" s="23">
        <f>IF(E764&gt;0,E764,"")</f>
      </c>
      <c r="M764" s="19" t="s">
        <v>2792</v>
      </c>
      <c r="N764" s="19" t="s">
        <v>2793</v>
      </c>
      <c r="O764" s="22">
        <f>IF(ISNUMBER(I764), EDATE(I764,36)-1, "")</f>
        <v>25569.375</v>
      </c>
      <c r="P764" s="9" t="s">
        <v>2794</v>
      </c>
      <c r="Q764" s="9" t="s">
        <v>166</v>
      </c>
      <c r="R764" s="9"/>
      <c r="S764" s="9"/>
      <c r="T764" s="9"/>
      <c r="U764" s="9"/>
      <c r="V764" s="9"/>
      <c r="W764" s="9"/>
      <c r="X764" s="9"/>
      <c r="Y764" s="9"/>
      <c r="Z764" s="9"/>
    </row>
    <row x14ac:dyDescent="0.25" r="765" customHeight="1" ht="18.75">
      <c r="A765" s="9"/>
      <c r="B765" s="18" t="s">
        <v>16</v>
      </c>
      <c r="C765" s="9" t="s">
        <v>143</v>
      </c>
      <c r="D765" s="9" t="s">
        <v>1335</v>
      </c>
      <c r="E765" s="18" t="s">
        <v>2795</v>
      </c>
      <c r="F765" s="19">
        <v>10000000</v>
      </c>
      <c r="G765" s="20">
        <v>1200000</v>
      </c>
      <c r="H765" s="21">
        <v>46184</v>
      </c>
      <c r="I765" s="22">
        <f>IF(H765&gt;0,EDATE(H765,-2),"")</f>
        <v>25569.375</v>
      </c>
      <c r="J765" s="18" t="s">
        <v>699</v>
      </c>
      <c r="K765" s="18" t="s">
        <v>2796</v>
      </c>
      <c r="L765" s="23">
        <f>IF(E765&gt;0,E765,"")</f>
      </c>
      <c r="M765" s="19" t="s">
        <v>2797</v>
      </c>
      <c r="N765" s="19" t="s">
        <v>2798</v>
      </c>
      <c r="O765" s="22">
        <f>IF(ISNUMBER(I765), EDATE(I765,36)-1, "")</f>
        <v>25569.375</v>
      </c>
      <c r="P765" s="9" t="s">
        <v>2799</v>
      </c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x14ac:dyDescent="0.25" r="766" customHeight="1" ht="18.75">
      <c r="A766" s="9"/>
      <c r="B766" s="18" t="s">
        <v>16</v>
      </c>
      <c r="C766" s="9" t="s">
        <v>55</v>
      </c>
      <c r="D766" s="9" t="s">
        <v>56</v>
      </c>
      <c r="E766" s="18" t="s">
        <v>127</v>
      </c>
      <c r="F766" s="19">
        <v>20000000</v>
      </c>
      <c r="G766" s="20">
        <v>1528000</v>
      </c>
      <c r="H766" s="21">
        <v>46205</v>
      </c>
      <c r="I766" s="22">
        <f>IF(H766&gt;0,EDATE(H766,-2),"")</f>
        <v>25569.375</v>
      </c>
      <c r="J766" s="18" t="s">
        <v>217</v>
      </c>
      <c r="K766" s="18" t="s">
        <v>2380</v>
      </c>
      <c r="L766" s="23">
        <f>IF(E766&gt;0,E766,"")</f>
      </c>
      <c r="M766" s="19" t="s">
        <v>2800</v>
      </c>
      <c r="N766" s="19" t="s">
        <v>2801</v>
      </c>
      <c r="O766" s="22">
        <f>IF(ISNUMBER(I766), EDATE(I766,36)-1, "")</f>
        <v>25569.375</v>
      </c>
      <c r="P766" s="9" t="s">
        <v>2802</v>
      </c>
      <c r="Q766" s="9"/>
      <c r="R766" s="9" t="s">
        <v>2803</v>
      </c>
      <c r="S766" s="9"/>
      <c r="T766" s="9"/>
      <c r="U766" s="9"/>
      <c r="V766" s="9"/>
      <c r="W766" s="9"/>
      <c r="X766" s="9"/>
      <c r="Y766" s="9"/>
      <c r="Z766" s="9"/>
    </row>
    <row x14ac:dyDescent="0.25" r="767" customHeight="1" ht="18.75">
      <c r="A767" s="9" t="s">
        <v>252</v>
      </c>
      <c r="B767" s="18" t="s">
        <v>16</v>
      </c>
      <c r="C767" s="9" t="s">
        <v>55</v>
      </c>
      <c r="D767" s="9" t="s">
        <v>56</v>
      </c>
      <c r="E767" s="18" t="s">
        <v>127</v>
      </c>
      <c r="F767" s="19"/>
      <c r="G767" s="20"/>
      <c r="H767" s="21"/>
      <c r="I767" s="22">
        <f>IF(H767&gt;0,EDATE(H767,-2),"")</f>
        <v>25569.375</v>
      </c>
      <c r="J767" s="18" t="s">
        <v>217</v>
      </c>
      <c r="K767" s="18" t="s">
        <v>2380</v>
      </c>
      <c r="L767" s="23">
        <f>IF(E767&gt;0,E767,"")</f>
      </c>
      <c r="M767" s="19" t="s">
        <v>2804</v>
      </c>
      <c r="N767" s="19">
        <v>85958623</v>
      </c>
      <c r="O767" s="22">
        <f>IF(ISNUMBER(I767), EDATE(I767,36)-1, "")</f>
        <v>25569.375</v>
      </c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x14ac:dyDescent="0.25" r="768" customHeight="1" ht="18.75">
      <c r="A768" s="9" t="s">
        <v>275</v>
      </c>
      <c r="B768" s="18" t="s">
        <v>113</v>
      </c>
      <c r="C768" s="9"/>
      <c r="D768" s="9"/>
      <c r="E768" s="18" t="s">
        <v>2805</v>
      </c>
      <c r="F768" s="19">
        <v>30000000</v>
      </c>
      <c r="G768" s="8">
        <f>IF(F768&gt;0,_xludf.IFS(F768=10000000,800000,F768=20000000,1528000,F768=30000000,2028000,F768=60000000,4056000),"")</f>
      </c>
      <c r="H768" s="21">
        <v>45626</v>
      </c>
      <c r="I768" s="22">
        <f>IF(H768&gt;0,EDATE(H768,-2),"")</f>
        <v>25569.375</v>
      </c>
      <c r="J768" s="18" t="s">
        <v>168</v>
      </c>
      <c r="K768" s="18" t="s">
        <v>2806</v>
      </c>
      <c r="L768" s="23">
        <f>IF(E768&gt;0,E768,"")</f>
      </c>
      <c r="M768" s="19" t="s">
        <v>2807</v>
      </c>
      <c r="N768" s="19">
        <v>72390903</v>
      </c>
      <c r="O768" s="22">
        <f>IF(ISNUMBER(I768), EDATE(I768,36)-1, "")</f>
        <v>25569.375</v>
      </c>
      <c r="P768" s="9"/>
      <c r="Q768" s="9"/>
      <c r="R768" s="9" t="s">
        <v>2028</v>
      </c>
      <c r="S768" s="9"/>
      <c r="T768" s="9"/>
      <c r="U768" s="9"/>
      <c r="V768" s="9"/>
      <c r="W768" s="9"/>
      <c r="X768" s="9"/>
      <c r="Y768" s="9"/>
      <c r="Z768" s="9"/>
    </row>
    <row x14ac:dyDescent="0.25" r="769" customHeight="1" ht="18.75">
      <c r="A769" s="9"/>
      <c r="B769" s="18" t="s">
        <v>16</v>
      </c>
      <c r="C769" s="9" t="s">
        <v>642</v>
      </c>
      <c r="D769" s="9" t="s">
        <v>327</v>
      </c>
      <c r="E769" s="18" t="s">
        <v>2808</v>
      </c>
      <c r="F769" s="19">
        <v>60000000</v>
      </c>
      <c r="G769" s="20">
        <v>4056000</v>
      </c>
      <c r="H769" s="21">
        <v>46002</v>
      </c>
      <c r="I769" s="22">
        <f>IF(H769&gt;0,EDATE(H769,-2),"")</f>
        <v>25569.375</v>
      </c>
      <c r="J769" s="18" t="s">
        <v>168</v>
      </c>
      <c r="K769" s="18" t="s">
        <v>2809</v>
      </c>
      <c r="L769" s="23">
        <f>IF(E769&gt;0,E769,"")</f>
      </c>
      <c r="M769" s="19" t="s">
        <v>2810</v>
      </c>
      <c r="N769" s="19" t="s">
        <v>2811</v>
      </c>
      <c r="O769" s="22">
        <f>IF(ISNUMBER(I769), EDATE(I769,36)-1, "")</f>
        <v>25569.375</v>
      </c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x14ac:dyDescent="0.25" r="770" customHeight="1" ht="18.75">
      <c r="A770" s="9"/>
      <c r="B770" s="18" t="s">
        <v>16</v>
      </c>
      <c r="C770" s="9" t="s">
        <v>2210</v>
      </c>
      <c r="D770" s="9" t="s">
        <v>596</v>
      </c>
      <c r="E770" s="18" t="s">
        <v>2808</v>
      </c>
      <c r="F770" s="19">
        <v>10000000</v>
      </c>
      <c r="G770" s="20">
        <v>1200000</v>
      </c>
      <c r="H770" s="21">
        <v>46174</v>
      </c>
      <c r="I770" s="22">
        <f>IF(H770&gt;0,EDATE(H770,-2),"")</f>
        <v>25569.375</v>
      </c>
      <c r="J770" s="18" t="s">
        <v>161</v>
      </c>
      <c r="K770" s="18" t="s">
        <v>2812</v>
      </c>
      <c r="L770" s="23">
        <f>IF(E770&gt;0,E770,"")</f>
      </c>
      <c r="M770" s="19" t="s">
        <v>2813</v>
      </c>
      <c r="N770" s="19" t="s">
        <v>2814</v>
      </c>
      <c r="O770" s="22">
        <f>IF(ISNUMBER(I770), EDATE(I770,36)-1, "")</f>
        <v>25569.375</v>
      </c>
      <c r="P770" s="9" t="s">
        <v>2815</v>
      </c>
      <c r="Q770" s="9" t="s">
        <v>166</v>
      </c>
      <c r="R770" s="9"/>
      <c r="S770" s="9"/>
      <c r="T770" s="9"/>
      <c r="U770" s="9"/>
      <c r="V770" s="9"/>
      <c r="W770" s="9"/>
      <c r="X770" s="9"/>
      <c r="Y770" s="9"/>
      <c r="Z770" s="9"/>
    </row>
    <row x14ac:dyDescent="0.25" r="771" customHeight="1" ht="18.75">
      <c r="A771" s="9"/>
      <c r="B771" s="18" t="s">
        <v>16</v>
      </c>
      <c r="C771" s="9"/>
      <c r="D771" s="9"/>
      <c r="E771" s="18" t="s">
        <v>2816</v>
      </c>
      <c r="F771" s="19">
        <v>30000000</v>
      </c>
      <c r="G771" s="20">
        <v>2400000</v>
      </c>
      <c r="H771" s="21">
        <v>45896</v>
      </c>
      <c r="I771" s="22">
        <f>IF(H771&gt;0,EDATE(H771,-2),"")</f>
        <v>25569.375</v>
      </c>
      <c r="J771" s="18" t="s">
        <v>155</v>
      </c>
      <c r="K771" s="18" t="s">
        <v>2817</v>
      </c>
      <c r="L771" s="23">
        <f>IF(E771&gt;0,E771,"")</f>
      </c>
      <c r="M771" s="19" t="s">
        <v>2780</v>
      </c>
      <c r="N771" s="19" t="s">
        <v>2781</v>
      </c>
      <c r="O771" s="22">
        <f>IF(ISNUMBER(I771), EDATE(I771,36)-1, "")</f>
        <v>25569.375</v>
      </c>
      <c r="P771" s="9"/>
      <c r="Q771" s="9" t="s">
        <v>2818</v>
      </c>
      <c r="R771" s="9"/>
      <c r="S771" s="9"/>
      <c r="T771" s="9"/>
      <c r="U771" s="9"/>
      <c r="V771" s="9"/>
      <c r="W771" s="9"/>
      <c r="X771" s="9"/>
      <c r="Y771" s="9"/>
      <c r="Z771" s="9"/>
    </row>
    <row x14ac:dyDescent="0.25" r="772" customHeight="1" ht="18.75">
      <c r="A772" s="9"/>
      <c r="B772" s="18" t="s">
        <v>16</v>
      </c>
      <c r="C772" s="9"/>
      <c r="D772" s="9" t="s">
        <v>276</v>
      </c>
      <c r="E772" s="18" t="s">
        <v>2819</v>
      </c>
      <c r="F772" s="19">
        <v>10000000</v>
      </c>
      <c r="G772" s="20">
        <v>800000</v>
      </c>
      <c r="H772" s="21">
        <v>46128</v>
      </c>
      <c r="I772" s="22">
        <f>IF(H772&gt;0,EDATE(H772,-2),"")</f>
        <v>25569.375</v>
      </c>
      <c r="J772" s="18" t="s">
        <v>182</v>
      </c>
      <c r="K772" s="18" t="s">
        <v>907</v>
      </c>
      <c r="L772" s="23">
        <f>IF(E772&gt;0,E772,"")</f>
      </c>
      <c r="M772" s="19" t="s">
        <v>2820</v>
      </c>
      <c r="N772" s="19" t="s">
        <v>985</v>
      </c>
      <c r="O772" s="22">
        <f>IF(ISNUMBER(I772), EDATE(I772,36)-1, "")</f>
        <v>25569.375</v>
      </c>
      <c r="P772" s="9" t="s">
        <v>2821</v>
      </c>
      <c r="Q772" s="9" t="s">
        <v>2822</v>
      </c>
      <c r="R772" s="9"/>
      <c r="S772" s="9"/>
      <c r="T772" s="9"/>
      <c r="U772" s="9"/>
      <c r="V772" s="9"/>
      <c r="W772" s="9"/>
      <c r="X772" s="9"/>
      <c r="Y772" s="9"/>
      <c r="Z772" s="9"/>
    </row>
    <row x14ac:dyDescent="0.25" r="773" customHeight="1" ht="18.75">
      <c r="A773" s="9"/>
      <c r="B773" s="18" t="s">
        <v>16</v>
      </c>
      <c r="C773" s="9" t="s">
        <v>900</v>
      </c>
      <c r="D773" s="9" t="s">
        <v>1121</v>
      </c>
      <c r="E773" s="18" t="s">
        <v>2823</v>
      </c>
      <c r="F773" s="19">
        <v>10000000</v>
      </c>
      <c r="G773" s="8">
        <f>IF(F773&gt;0,_xludf.IFS(F773=10000000,800000,F773=20000000,1528000,F773=30000000,2028000,F773=60000000,4056000),"")</f>
      </c>
      <c r="H773" s="21">
        <v>46208</v>
      </c>
      <c r="I773" s="22">
        <f>IF(H773&gt;0,EDATE(H773,-2),"")</f>
        <v>25569.375</v>
      </c>
      <c r="J773" s="18" t="s">
        <v>168</v>
      </c>
      <c r="K773" s="18" t="s">
        <v>2824</v>
      </c>
      <c r="L773" s="23">
        <f>IF(E773&gt;0,E773,"")</f>
      </c>
      <c r="M773" s="19" t="s">
        <v>2825</v>
      </c>
      <c r="N773" s="19">
        <v>46221190</v>
      </c>
      <c r="O773" s="22">
        <f>IF(ISNUMBER(I773), EDATE(I773,36)-1, "")</f>
        <v>25569.375</v>
      </c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x14ac:dyDescent="0.25" r="774" customHeight="1" ht="18.75">
      <c r="A774" s="9"/>
      <c r="B774" s="18" t="s">
        <v>16</v>
      </c>
      <c r="C774" s="9"/>
      <c r="D774" s="9"/>
      <c r="E774" s="18" t="s">
        <v>2826</v>
      </c>
      <c r="F774" s="19">
        <v>30000000</v>
      </c>
      <c r="G774" s="20">
        <v>2028000</v>
      </c>
      <c r="H774" s="21">
        <v>46132</v>
      </c>
      <c r="I774" s="22">
        <f>IF(H774&gt;0,EDATE(H774,-2),"")</f>
        <v>25569.375</v>
      </c>
      <c r="J774" s="18" t="s">
        <v>699</v>
      </c>
      <c r="K774" s="18" t="s">
        <v>2827</v>
      </c>
      <c r="L774" s="23">
        <f>IF(E774&gt;0,E774,"")</f>
      </c>
      <c r="M774" s="19" t="s">
        <v>2828</v>
      </c>
      <c r="N774" s="19" t="s">
        <v>2829</v>
      </c>
      <c r="O774" s="22">
        <f>IF(ISNUMBER(I774), EDATE(I774,36)-1, "")</f>
        <v>25569.375</v>
      </c>
      <c r="P774" s="9"/>
      <c r="Q774" s="9" t="s">
        <v>2830</v>
      </c>
      <c r="R774" s="9"/>
      <c r="S774" s="9"/>
      <c r="T774" s="9"/>
      <c r="U774" s="9"/>
      <c r="V774" s="9"/>
      <c r="W774" s="9"/>
      <c r="X774" s="9"/>
      <c r="Y774" s="9"/>
      <c r="Z774" s="9"/>
    </row>
    <row x14ac:dyDescent="0.25" r="775" customHeight="1" ht="18.75">
      <c r="A775" s="9"/>
      <c r="B775" s="18" t="s">
        <v>16</v>
      </c>
      <c r="C775" s="9" t="s">
        <v>67</v>
      </c>
      <c r="D775" s="9" t="s">
        <v>68</v>
      </c>
      <c r="E775" s="18" t="s">
        <v>2831</v>
      </c>
      <c r="F775" s="19">
        <v>60000000</v>
      </c>
      <c r="G775" s="8">
        <f>IF(F775&gt;0,_xludf.IFS(F775=10000000,800000,F775=20000000,1528000,F775=30000000,2028000,F775=60000000,4056000),"")</f>
      </c>
      <c r="H775" s="21">
        <v>45934</v>
      </c>
      <c r="I775" s="22">
        <f>IF(H775&gt;0,EDATE(H775,-2),"")</f>
        <v>25569.375</v>
      </c>
      <c r="J775" s="18" t="s">
        <v>168</v>
      </c>
      <c r="K775" s="18" t="s">
        <v>2041</v>
      </c>
      <c r="L775" s="23">
        <f>IF(E775&gt;0,E775,"")</f>
      </c>
      <c r="M775" s="19" t="s">
        <v>2832</v>
      </c>
      <c r="N775" s="19" t="s">
        <v>2043</v>
      </c>
      <c r="O775" s="22">
        <f>IF(ISNUMBER(I775), EDATE(I775,36)-1, "")</f>
        <v>25569.375</v>
      </c>
      <c r="P775" s="9"/>
      <c r="Q775" s="9"/>
      <c r="R775" s="9" t="s">
        <v>2833</v>
      </c>
      <c r="S775" s="9"/>
      <c r="T775" s="9"/>
      <c r="U775" s="9"/>
      <c r="V775" s="9"/>
      <c r="W775" s="9"/>
      <c r="X775" s="9"/>
      <c r="Y775" s="9"/>
      <c r="Z775" s="9"/>
    </row>
    <row x14ac:dyDescent="0.25" r="776" customHeight="1" ht="18.75">
      <c r="A776" s="9" t="s">
        <v>152</v>
      </c>
      <c r="B776" s="18" t="s">
        <v>16</v>
      </c>
      <c r="C776" s="9" t="s">
        <v>67</v>
      </c>
      <c r="D776" s="9" t="s">
        <v>68</v>
      </c>
      <c r="E776" s="18" t="s">
        <v>2831</v>
      </c>
      <c r="F776" s="19">
        <v>60000000</v>
      </c>
      <c r="G776" s="8">
        <f>IF(F776&gt;0,_xludf.IFS(F776=10000000,800000,F776=20000000,1528000,F776=30000000,2028000,F776=60000000,4056000),"")</f>
      </c>
      <c r="H776" s="21">
        <v>45992</v>
      </c>
      <c r="I776" s="22">
        <f>IF(H776&gt;0,EDATE(H776,-2),"")</f>
        <v>25569.375</v>
      </c>
      <c r="J776" s="18" t="s">
        <v>168</v>
      </c>
      <c r="K776" s="18" t="s">
        <v>2041</v>
      </c>
      <c r="L776" s="23">
        <f>IF(E776&gt;0,E776,"")</f>
      </c>
      <c r="M776" s="19" t="s">
        <v>2832</v>
      </c>
      <c r="N776" s="19" t="s">
        <v>2043</v>
      </c>
      <c r="O776" s="22">
        <f>IF(ISNUMBER(I776), EDATE(I776,36)-1, "")</f>
        <v>25569.375</v>
      </c>
      <c r="P776" s="9"/>
      <c r="Q776" s="9"/>
      <c r="R776" s="9" t="s">
        <v>2834</v>
      </c>
      <c r="S776" s="9"/>
      <c r="T776" s="9"/>
      <c r="U776" s="9"/>
      <c r="V776" s="9"/>
      <c r="W776" s="9"/>
      <c r="X776" s="9"/>
      <c r="Y776" s="9"/>
      <c r="Z776" s="9"/>
    </row>
    <row x14ac:dyDescent="0.25" r="777" customHeight="1" ht="18.75">
      <c r="A777" s="9"/>
      <c r="B777" s="18" t="s">
        <v>16</v>
      </c>
      <c r="C777" s="9"/>
      <c r="D777" s="9"/>
      <c r="E777" s="18" t="s">
        <v>2835</v>
      </c>
      <c r="F777" s="19">
        <v>10000000</v>
      </c>
      <c r="G777" s="8">
        <f>IF(F777&gt;0,_xludf.IFS(F777=10000000,800000,F777=20000000,1528000,F777=30000000,2028000,F777=60000000,4056000),"")</f>
      </c>
      <c r="H777" s="21">
        <v>45959</v>
      </c>
      <c r="I777" s="22">
        <f>IF(H777&gt;0,EDATE(H777,-2),"")</f>
        <v>25569.375</v>
      </c>
      <c r="J777" s="18" t="s">
        <v>239</v>
      </c>
      <c r="K777" s="18" t="s">
        <v>2836</v>
      </c>
      <c r="L777" s="23">
        <f>IF(E777&gt;0,E777,"")</f>
      </c>
      <c r="M777" s="19" t="s">
        <v>2837</v>
      </c>
      <c r="N777" s="19" t="s">
        <v>2838</v>
      </c>
      <c r="O777" s="22">
        <f>IF(ISNUMBER(I777), EDATE(I777,36)-1, "")</f>
        <v>25569.375</v>
      </c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x14ac:dyDescent="0.25" r="778" customHeight="1" ht="18.75">
      <c r="A778" s="9"/>
      <c r="B778" s="18" t="s">
        <v>16</v>
      </c>
      <c r="C778" s="9"/>
      <c r="D778" s="9"/>
      <c r="E778" s="18" t="s">
        <v>2839</v>
      </c>
      <c r="F778" s="19">
        <v>10000000</v>
      </c>
      <c r="G778" s="8">
        <f>IF(F778&gt;0,_xludf.IFS(F778=10000000,800000,F778=20000000,1528000,F778=30000000,2028000,F778=60000000,4056000),"")</f>
      </c>
      <c r="H778" s="21">
        <v>46089</v>
      </c>
      <c r="I778" s="22">
        <f>IF(H778&gt;0,EDATE(H778,-2),"")</f>
        <v>25569.375</v>
      </c>
      <c r="J778" s="18" t="s">
        <v>217</v>
      </c>
      <c r="K778" s="18" t="s">
        <v>2840</v>
      </c>
      <c r="L778" s="23">
        <f>IF(E778&gt;0,E778,"")</f>
      </c>
      <c r="M778" s="19" t="s">
        <v>2841</v>
      </c>
      <c r="N778" s="19" t="s">
        <v>2842</v>
      </c>
      <c r="O778" s="22">
        <f>IF(ISNUMBER(I778), EDATE(I778,36)-1, "")</f>
        <v>25569.375</v>
      </c>
      <c r="P778" s="9"/>
      <c r="Q778" s="9" t="s">
        <v>2843</v>
      </c>
      <c r="R778" s="9"/>
      <c r="S778" s="9"/>
      <c r="T778" s="9"/>
      <c r="U778" s="9"/>
      <c r="V778" s="9"/>
      <c r="W778" s="9"/>
      <c r="X778" s="9"/>
      <c r="Y778" s="9"/>
      <c r="Z778" s="9"/>
    </row>
    <row x14ac:dyDescent="0.25" r="779" customHeight="1" ht="18.75">
      <c r="A779" s="9"/>
      <c r="B779" s="18" t="s">
        <v>16</v>
      </c>
      <c r="C779" s="9" t="s">
        <v>642</v>
      </c>
      <c r="D779" s="9" t="s">
        <v>327</v>
      </c>
      <c r="E779" s="18" t="s">
        <v>2844</v>
      </c>
      <c r="F779" s="19">
        <v>10000000</v>
      </c>
      <c r="G779" s="20">
        <v>500000</v>
      </c>
      <c r="H779" s="21">
        <v>46091</v>
      </c>
      <c r="I779" s="22">
        <f>IF(H779&gt;0,EDATE(H779,-2),"")</f>
        <v>25569.375</v>
      </c>
      <c r="J779" s="18" t="s">
        <v>302</v>
      </c>
      <c r="K779" s="18" t="s">
        <v>2845</v>
      </c>
      <c r="L779" s="23">
        <f>IF(E779&gt;0,E779,"")</f>
      </c>
      <c r="M779" s="19" t="s">
        <v>2846</v>
      </c>
      <c r="N779" s="19">
        <v>45065645</v>
      </c>
      <c r="O779" s="22">
        <f>IF(ISNUMBER(I779), EDATE(I779,36)-1, "")</f>
        <v>25569.375</v>
      </c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x14ac:dyDescent="0.25" r="780" customHeight="1" ht="18.75">
      <c r="A780" s="9"/>
      <c r="B780" s="18" t="s">
        <v>16</v>
      </c>
      <c r="C780" s="9"/>
      <c r="D780" s="9"/>
      <c r="E780" s="18" t="s">
        <v>2847</v>
      </c>
      <c r="F780" s="19">
        <v>20000000</v>
      </c>
      <c r="G780" s="8">
        <f>IF(F780&gt;0,_xludf.IFS(F780=10000000,800000,F780=20000000,1528000,F780=30000000,2028000,F780=60000000,4056000),"")</f>
      </c>
      <c r="H780" s="21">
        <v>45993</v>
      </c>
      <c r="I780" s="22">
        <f>IF(H780&gt;0,EDATE(H780,-2),"")</f>
        <v>25569.375</v>
      </c>
      <c r="J780" s="18" t="s">
        <v>155</v>
      </c>
      <c r="K780" s="18" t="s">
        <v>2848</v>
      </c>
      <c r="L780" s="23">
        <f>IF(E780&gt;0,E780,"")</f>
      </c>
      <c r="M780" s="19" t="s">
        <v>2849</v>
      </c>
      <c r="N780" s="19" t="s">
        <v>2850</v>
      </c>
      <c r="O780" s="22">
        <f>IF(ISNUMBER(I780), EDATE(I780,36)-1, "")</f>
        <v>25569.375</v>
      </c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x14ac:dyDescent="0.25" r="781" customHeight="1" ht="18.75">
      <c r="A781" s="9"/>
      <c r="B781" s="18" t="s">
        <v>16</v>
      </c>
      <c r="C781" s="9"/>
      <c r="D781" s="9"/>
      <c r="E781" s="18" t="s">
        <v>2851</v>
      </c>
      <c r="F781" s="19">
        <v>30000000</v>
      </c>
      <c r="G781" s="8">
        <f>IF(F781&gt;0,_xludf.IFS(F781=10000000,800000,F781=20000000,1528000,F781=30000000,2028000,F781=60000000,4056000),"")</f>
      </c>
      <c r="H781" s="21">
        <v>46023</v>
      </c>
      <c r="I781" s="22">
        <f>IF(H781&gt;0,EDATE(H781,-2),"")</f>
        <v>25569.375</v>
      </c>
      <c r="J781" s="18" t="s">
        <v>155</v>
      </c>
      <c r="K781" s="18" t="s">
        <v>1875</v>
      </c>
      <c r="L781" s="23">
        <f>IF(E781&gt;0,E781,"")</f>
      </c>
      <c r="M781" s="19" t="s">
        <v>2852</v>
      </c>
      <c r="N781" s="19" t="s">
        <v>2853</v>
      </c>
      <c r="O781" s="22">
        <f>IF(ISNUMBER(I781), EDATE(I781,36)-1, "")</f>
        <v>25569.375</v>
      </c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x14ac:dyDescent="0.25" r="782" customHeight="1" ht="18.75">
      <c r="A782" s="9"/>
      <c r="B782" s="18" t="s">
        <v>16</v>
      </c>
      <c r="C782" s="9"/>
      <c r="D782" s="9"/>
      <c r="E782" s="18" t="s">
        <v>2854</v>
      </c>
      <c r="F782" s="19">
        <v>30000000</v>
      </c>
      <c r="G782" s="8">
        <f>IF(F782&gt;0,_xludf.IFS(F782=10000000,800000,F782=20000000,1528000,F782=30000000,2028000,F782=60000000,4056000),"")</f>
      </c>
      <c r="H782" s="21">
        <v>46011</v>
      </c>
      <c r="I782" s="22">
        <f>IF(H782&gt;0,EDATE(H782,-2),"")</f>
        <v>25569.375</v>
      </c>
      <c r="J782" s="18" t="s">
        <v>302</v>
      </c>
      <c r="K782" s="18" t="s">
        <v>2855</v>
      </c>
      <c r="L782" s="23">
        <f>IF(E782&gt;0,E782,"")</f>
      </c>
      <c r="M782" s="19" t="s">
        <v>2856</v>
      </c>
      <c r="N782" s="19" t="s">
        <v>2857</v>
      </c>
      <c r="O782" s="22">
        <f>IF(ISNUMBER(I782), EDATE(I782,36)-1, "")</f>
        <v>25569.375</v>
      </c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x14ac:dyDescent="0.25" r="783" customHeight="1" ht="18.75">
      <c r="A783" s="9"/>
      <c r="B783" s="18" t="s">
        <v>16</v>
      </c>
      <c r="C783" s="9"/>
      <c r="D783" s="9"/>
      <c r="E783" s="18" t="s">
        <v>128</v>
      </c>
      <c r="F783" s="19">
        <v>20000000</v>
      </c>
      <c r="G783" s="8">
        <f>IF(F783&gt;0,_xludf.IFS(F783=10000000,800000,F783=20000000,1528000,F783=30000000,2028000,F783=60000000,4056000),"")</f>
      </c>
      <c r="H783" s="21">
        <v>46002</v>
      </c>
      <c r="I783" s="22">
        <f>IF(H783&gt;0,EDATE(H783,-2),"")</f>
        <v>25569.375</v>
      </c>
      <c r="J783" s="18" t="s">
        <v>306</v>
      </c>
      <c r="K783" s="18" t="s">
        <v>2858</v>
      </c>
      <c r="L783" s="23">
        <f>IF(E783&gt;0,E783,"")</f>
      </c>
      <c r="M783" s="19" t="s">
        <v>2859</v>
      </c>
      <c r="N783" s="19" t="s">
        <v>2860</v>
      </c>
      <c r="O783" s="22">
        <f>IF(ISNUMBER(I783), EDATE(I783,36)-1, "")</f>
        <v>25569.375</v>
      </c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x14ac:dyDescent="0.25" r="784" customHeight="1" ht="18.75">
      <c r="A784" s="9"/>
      <c r="B784" s="18" t="s">
        <v>16</v>
      </c>
      <c r="C784" s="9" t="s">
        <v>143</v>
      </c>
      <c r="D784" s="9" t="s">
        <v>14</v>
      </c>
      <c r="E784" s="18" t="s">
        <v>2861</v>
      </c>
      <c r="F784" s="19">
        <v>10000000</v>
      </c>
      <c r="G784" s="8">
        <f>IF(F784&gt;0,_xludf.IFS(F784=10000000,800000,F784=20000000,1528000,F784=30000000,2028000,F784=60000000,4056000),"")</f>
      </c>
      <c r="H784" s="21">
        <v>46214</v>
      </c>
      <c r="I784" s="22">
        <f>IF(H784&gt;0,EDATE(H784,-2),"")</f>
        <v>25569.375</v>
      </c>
      <c r="J784" s="18" t="s">
        <v>234</v>
      </c>
      <c r="K784" s="18" t="s">
        <v>2862</v>
      </c>
      <c r="L784" s="23">
        <f>IF(E784&gt;0,E784,"")</f>
      </c>
      <c r="M784" s="19" t="s">
        <v>2863</v>
      </c>
      <c r="N784" s="19" t="s">
        <v>2864</v>
      </c>
      <c r="O784" s="22">
        <f>IF(ISNUMBER(I784), EDATE(I784,36)-1, "")</f>
        <v>25569.375</v>
      </c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x14ac:dyDescent="0.25" r="785" customHeight="1" ht="18.75">
      <c r="A785" s="9"/>
      <c r="B785" s="18" t="s">
        <v>16</v>
      </c>
      <c r="C785" s="9"/>
      <c r="D785" s="9"/>
      <c r="E785" s="18" t="s">
        <v>2865</v>
      </c>
      <c r="F785" s="19">
        <v>30000000</v>
      </c>
      <c r="G785" s="8">
        <f>IF(F785&gt;0,_xludf.IFS(F785=10000000,800000,F785=20000000,1528000,F785=30000000,2028000,F785=60000000,4056000),"")</f>
      </c>
      <c r="H785" s="21">
        <v>46081</v>
      </c>
      <c r="I785" s="22">
        <f>IF(H785&gt;0,EDATE(H785,-2),"")</f>
        <v>25569.375</v>
      </c>
      <c r="J785" s="18" t="s">
        <v>168</v>
      </c>
      <c r="K785" s="18" t="s">
        <v>2866</v>
      </c>
      <c r="L785" s="23">
        <f>IF(E785&gt;0,E785,"")</f>
      </c>
      <c r="M785" s="19" t="s">
        <v>2867</v>
      </c>
      <c r="N785" s="19" t="s">
        <v>2868</v>
      </c>
      <c r="O785" s="22">
        <f>IF(ISNUMBER(I785), EDATE(I785,36)-1, "")</f>
        <v>25569.375</v>
      </c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x14ac:dyDescent="0.25" r="786" customHeight="1" ht="18.75">
      <c r="A786" s="9"/>
      <c r="B786" s="18" t="s">
        <v>16</v>
      </c>
      <c r="C786" s="9"/>
      <c r="D786" s="9" t="s">
        <v>22</v>
      </c>
      <c r="E786" s="18" t="s">
        <v>2869</v>
      </c>
      <c r="F786" s="19">
        <v>10000000</v>
      </c>
      <c r="G786" s="8">
        <f>IF(F786&gt;0,_xludf.IFS(F786=10000000,800000,F786=20000000,1528000,F786=30000000,2028000,F786=60000000,4056000),"")</f>
      </c>
      <c r="H786" s="21">
        <v>46180</v>
      </c>
      <c r="I786" s="22">
        <f>IF(H786&gt;0,EDATE(H786,-2),"")</f>
        <v>25569.375</v>
      </c>
      <c r="J786" s="18" t="s">
        <v>1688</v>
      </c>
      <c r="K786" s="18" t="s">
        <v>2870</v>
      </c>
      <c r="L786" s="23">
        <f>IF(E786&gt;0,E786,"")</f>
      </c>
      <c r="M786" s="19" t="s">
        <v>2871</v>
      </c>
      <c r="N786" s="19" t="s">
        <v>2872</v>
      </c>
      <c r="O786" s="22">
        <f>IF(ISNUMBER(I786), EDATE(I786,36)-1, "")</f>
        <v>25569.375</v>
      </c>
      <c r="P786" s="9" t="s">
        <v>2873</v>
      </c>
      <c r="Q786" s="9" t="s">
        <v>166</v>
      </c>
      <c r="R786" s="9"/>
      <c r="S786" s="9"/>
      <c r="T786" s="9"/>
      <c r="U786" s="9"/>
      <c r="V786" s="9"/>
      <c r="W786" s="9"/>
      <c r="X786" s="9"/>
      <c r="Y786" s="9"/>
      <c r="Z786" s="9"/>
    </row>
    <row x14ac:dyDescent="0.25" r="787" customHeight="1" ht="18.75">
      <c r="A787" s="9"/>
      <c r="B787" s="18" t="s">
        <v>16</v>
      </c>
      <c r="C787" s="9"/>
      <c r="D787" s="9"/>
      <c r="E787" s="18" t="s">
        <v>131</v>
      </c>
      <c r="F787" s="19">
        <v>60000000</v>
      </c>
      <c r="G787" s="20">
        <v>4800000</v>
      </c>
      <c r="H787" s="21">
        <v>46034</v>
      </c>
      <c r="I787" s="22">
        <f>IF(H787&gt;0,EDATE(H787,-2),"")</f>
        <v>25569.375</v>
      </c>
      <c r="J787" s="18" t="s">
        <v>580</v>
      </c>
      <c r="K787" s="18" t="s">
        <v>2874</v>
      </c>
      <c r="L787" s="23">
        <f>IF(E787&gt;0,E787,"")</f>
      </c>
      <c r="M787" s="19" t="s">
        <v>2875</v>
      </c>
      <c r="N787" s="19" t="s">
        <v>2876</v>
      </c>
      <c r="O787" s="22">
        <f>IF(ISNUMBER(I787), EDATE(I787,36)-1, "")</f>
        <v>25569.375</v>
      </c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x14ac:dyDescent="0.25" r="788" customHeight="1" ht="18.75">
      <c r="A788" s="9"/>
      <c r="B788" s="18" t="s">
        <v>16</v>
      </c>
      <c r="C788" s="9" t="s">
        <v>129</v>
      </c>
      <c r="D788" s="9" t="s">
        <v>130</v>
      </c>
      <c r="E788" s="18" t="s">
        <v>131</v>
      </c>
      <c r="F788" s="19">
        <v>40000000</v>
      </c>
      <c r="G788" s="20">
        <v>2900000</v>
      </c>
      <c r="H788" s="21">
        <v>46235</v>
      </c>
      <c r="I788" s="22">
        <f>IF(H788&gt;0,EDATE(H788,-2),"")</f>
        <v>25569.375</v>
      </c>
      <c r="J788" s="18" t="s">
        <v>155</v>
      </c>
      <c r="K788" s="18" t="s">
        <v>2877</v>
      </c>
      <c r="L788" s="23">
        <f>IF(E788&gt;0,E788,"")</f>
      </c>
      <c r="M788" s="19">
        <v>7501181329414</v>
      </c>
      <c r="N788" s="19">
        <v>24379067</v>
      </c>
      <c r="O788" s="22">
        <f>IF(ISNUMBER(I788), EDATE(I788,36)-1, "")</f>
        <v>25569.375</v>
      </c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x14ac:dyDescent="0.25" r="789" customHeight="1" ht="18.75">
      <c r="A789" s="9"/>
      <c r="B789" s="18" t="s">
        <v>16</v>
      </c>
      <c r="C789" s="9"/>
      <c r="D789" s="9"/>
      <c r="E789" s="18" t="s">
        <v>2878</v>
      </c>
      <c r="F789" s="19">
        <v>20000000</v>
      </c>
      <c r="G789" s="8">
        <f>IF(F789&gt;0,_xludf.IFS(F789=10000000,800000,F789=20000000,1528000,F789=30000000,2028000,F789=60000000,4056000),"")</f>
      </c>
      <c r="H789" s="21">
        <v>46016</v>
      </c>
      <c r="I789" s="22">
        <f>IF(H789&gt;0,EDATE(H789,-2),"")</f>
        <v>25569.375</v>
      </c>
      <c r="J789" s="18" t="s">
        <v>302</v>
      </c>
      <c r="K789" s="18" t="s">
        <v>2879</v>
      </c>
      <c r="L789" s="23">
        <f>IF(E789&gt;0,E789,"")</f>
      </c>
      <c r="M789" s="19" t="s">
        <v>2880</v>
      </c>
      <c r="N789" s="19" t="s">
        <v>2881</v>
      </c>
      <c r="O789" s="22">
        <f>IF(ISNUMBER(I789), EDATE(I789,36)-1, "")</f>
        <v>25569.375</v>
      </c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x14ac:dyDescent="0.25" r="790" customHeight="1" ht="18.75">
      <c r="A790" s="9"/>
      <c r="B790" s="18" t="s">
        <v>16</v>
      </c>
      <c r="C790" s="9" t="s">
        <v>143</v>
      </c>
      <c r="D790" s="9" t="s">
        <v>963</v>
      </c>
      <c r="E790" s="18" t="s">
        <v>2882</v>
      </c>
      <c r="F790" s="19">
        <v>30000000</v>
      </c>
      <c r="G790" s="8">
        <f>IF(F790&gt;0,_xludf.IFS(F790=10000000,800000,F790=20000000,1528000,F790=30000000,2028000,F790=60000000,4056000),"")</f>
      </c>
      <c r="H790" s="21">
        <v>46214</v>
      </c>
      <c r="I790" s="22">
        <f>IF(H790&gt;0,EDATE(H790,-2),"")</f>
        <v>25569.375</v>
      </c>
      <c r="J790" s="18" t="s">
        <v>168</v>
      </c>
      <c r="K790" s="18" t="s">
        <v>2883</v>
      </c>
      <c r="L790" s="23">
        <f>IF(E790&gt;0,E790,"")</f>
      </c>
      <c r="M790" s="19" t="s">
        <v>2884</v>
      </c>
      <c r="N790" s="19" t="s">
        <v>2885</v>
      </c>
      <c r="O790" s="22">
        <f>IF(ISNUMBER(I790), EDATE(I790,36)-1, "")</f>
        <v>25569.375</v>
      </c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x14ac:dyDescent="0.25" r="791" customHeight="1" ht="18.75">
      <c r="A791" s="9"/>
      <c r="B791" s="18" t="s">
        <v>16</v>
      </c>
      <c r="C791" s="18"/>
      <c r="D791" s="18"/>
      <c r="E791" s="18" t="s">
        <v>2886</v>
      </c>
      <c r="F791" s="20">
        <v>10000000</v>
      </c>
      <c r="G791" s="20">
        <v>500000</v>
      </c>
      <c r="H791" s="21">
        <v>45861</v>
      </c>
      <c r="I791" s="22">
        <v>45800</v>
      </c>
      <c r="J791" s="18" t="s">
        <v>217</v>
      </c>
      <c r="K791" s="18" t="s">
        <v>2887</v>
      </c>
      <c r="L791" s="18" t="s">
        <v>2886</v>
      </c>
      <c r="M791" s="19">
        <v>8001081023920</v>
      </c>
      <c r="N791" s="19">
        <v>28955470</v>
      </c>
      <c r="O791" s="22">
        <v>46956</v>
      </c>
      <c r="P791" s="18"/>
      <c r="Q791" s="18"/>
      <c r="R791" s="9"/>
      <c r="S791" s="9"/>
      <c r="T791" s="9"/>
      <c r="U791" s="9"/>
      <c r="V791" s="9"/>
      <c r="W791" s="9"/>
      <c r="X791" s="9"/>
      <c r="Y791" s="9"/>
      <c r="Z791" s="9"/>
    </row>
    <row x14ac:dyDescent="0.25" r="792" customHeight="1" ht="18.75">
      <c r="A792" s="9"/>
      <c r="B792" s="18" t="s">
        <v>16</v>
      </c>
      <c r="C792" s="9"/>
      <c r="D792" s="9"/>
      <c r="E792" s="18" t="s">
        <v>132</v>
      </c>
      <c r="F792" s="19">
        <v>10000000</v>
      </c>
      <c r="G792" s="8">
        <f>IF(F792&gt;0,_xludf.IFS(F792=10000000,800000,F792=20000000,1528000,F792=30000000,2028000,F792=60000000,4056000),"")</f>
      </c>
      <c r="H792" s="21">
        <v>45861</v>
      </c>
      <c r="I792" s="22">
        <f>IF(H792&gt;0,EDATE(H792,-2),"")</f>
        <v>25569.375</v>
      </c>
      <c r="J792" s="18" t="s">
        <v>306</v>
      </c>
      <c r="K792" s="18" t="s">
        <v>2887</v>
      </c>
      <c r="L792" s="23">
        <f>IF(E792&gt;0,E792,"")</f>
      </c>
      <c r="M792" s="19" t="s">
        <v>2888</v>
      </c>
      <c r="N792" s="19" t="s">
        <v>2889</v>
      </c>
      <c r="O792" s="22">
        <f>IF(ISNUMBER(I792), EDATE(I792,36)-1, "")</f>
        <v>25569.375</v>
      </c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x14ac:dyDescent="0.25" r="793" customHeight="1" ht="18.75">
      <c r="A793" s="9"/>
      <c r="B793" s="18" t="s">
        <v>16</v>
      </c>
      <c r="C793" s="18" t="s">
        <v>454</v>
      </c>
      <c r="D793" s="18" t="s">
        <v>647</v>
      </c>
      <c r="E793" s="18" t="s">
        <v>2890</v>
      </c>
      <c r="F793" s="20">
        <v>10000000</v>
      </c>
      <c r="G793" s="8">
        <f>IF(F793&gt;0,_xludf.IFS(F793=10000000,1200000,F793=20000000,1800000,F793=30000000,2400000,F793=60000000,4000000),"")</f>
      </c>
      <c r="H793" s="21">
        <v>46245</v>
      </c>
      <c r="I793" s="22">
        <f>IF(H793&gt;0,EDATE(H793,-2),"")</f>
        <v>25569.375</v>
      </c>
      <c r="J793" s="18" t="s">
        <v>155</v>
      </c>
      <c r="K793" s="18" t="s">
        <v>2891</v>
      </c>
      <c r="L793" s="23">
        <f>IF(E793&gt;0,E793,"")</f>
      </c>
      <c r="M793" s="19">
        <v>7802082691227</v>
      </c>
      <c r="N793" s="19">
        <v>27362968</v>
      </c>
      <c r="O793" s="22">
        <f>IF(ISNUMBER(I793), EDATE(I793,36)-1, "")</f>
        <v>25569.375</v>
      </c>
      <c r="P793" s="18"/>
      <c r="Q793" s="18"/>
      <c r="R793" s="9"/>
      <c r="S793" s="9"/>
      <c r="T793" s="9"/>
      <c r="U793" s="9"/>
      <c r="V793" s="9"/>
      <c r="W793" s="9"/>
      <c r="X793" s="9"/>
      <c r="Y793" s="9"/>
      <c r="Z793" s="9"/>
    </row>
    <row x14ac:dyDescent="0.25" r="794" customHeight="1" ht="18.75">
      <c r="A794" s="9"/>
      <c r="B794" s="18" t="s">
        <v>16</v>
      </c>
      <c r="C794" s="9"/>
      <c r="D794" s="9"/>
      <c r="E794" s="18" t="s">
        <v>2892</v>
      </c>
      <c r="F794" s="19">
        <v>10000000</v>
      </c>
      <c r="G794" s="8">
        <f>IF(F794&gt;0,_xludf.IFS(F794=10000000,800000,F794=20000000,1528000,F794=30000000,2028000,F794=60000000,4056000),"")</f>
      </c>
      <c r="H794" s="21">
        <v>46181</v>
      </c>
      <c r="I794" s="22">
        <f>IF(H794&gt;0,EDATE(H794,-2),"")</f>
        <v>25569.375</v>
      </c>
      <c r="J794" s="18" t="s">
        <v>161</v>
      </c>
      <c r="K794" s="18" t="s">
        <v>2893</v>
      </c>
      <c r="L794" s="23">
        <f>IF(E794&gt;0,E794,"")</f>
      </c>
      <c r="M794" s="19" t="s">
        <v>2894</v>
      </c>
      <c r="N794" s="19" t="s">
        <v>2895</v>
      </c>
      <c r="O794" s="22">
        <f>IF(ISNUMBER(I794), EDATE(I794,36)-1, "")</f>
        <v>25569.375</v>
      </c>
      <c r="P794" s="9"/>
      <c r="Q794" s="9" t="s">
        <v>166</v>
      </c>
      <c r="R794" s="9"/>
      <c r="S794" s="9"/>
      <c r="T794" s="9"/>
      <c r="U794" s="9"/>
      <c r="V794" s="9"/>
      <c r="W794" s="9"/>
      <c r="X794" s="9"/>
      <c r="Y794" s="9"/>
      <c r="Z794" s="9"/>
    </row>
    <row x14ac:dyDescent="0.25" r="795" customHeight="1" ht="18.75">
      <c r="A795" s="9"/>
      <c r="B795" s="18" t="s">
        <v>16</v>
      </c>
      <c r="C795" s="9" t="s">
        <v>816</v>
      </c>
      <c r="D795" s="9" t="s">
        <v>114</v>
      </c>
      <c r="E795" s="18" t="s">
        <v>1160</v>
      </c>
      <c r="F795" s="19">
        <v>10000000</v>
      </c>
      <c r="G795" s="8">
        <f>IF(F795&gt;0,_xludf.IFS(F795=10000000,800000,F795=20000000,1528000,F795=30000000,2028000,F795=60000000,4056000),"")</f>
      </c>
      <c r="H795" s="21">
        <v>46118</v>
      </c>
      <c r="I795" s="22">
        <f>IF(H795&gt;0,EDATE(H795,-2),"")</f>
        <v>25569.375</v>
      </c>
      <c r="J795" s="18" t="s">
        <v>940</v>
      </c>
      <c r="K795" s="18" t="s">
        <v>2896</v>
      </c>
      <c r="L795" s="23">
        <f>IF(E795&gt;0,E795,"")</f>
      </c>
      <c r="M795" s="19" t="s">
        <v>2897</v>
      </c>
      <c r="N795" s="19" t="s">
        <v>2896</v>
      </c>
      <c r="O795" s="22">
        <f>IF(ISNUMBER(I795), EDATE(I795,36)-1, "")</f>
        <v>25569.375</v>
      </c>
      <c r="P795" s="9"/>
      <c r="Q795" s="9" t="s">
        <v>166</v>
      </c>
      <c r="R795" s="9"/>
      <c r="S795" s="9"/>
      <c r="T795" s="9"/>
      <c r="U795" s="9"/>
      <c r="V795" s="9"/>
      <c r="W795" s="9"/>
      <c r="X795" s="9"/>
      <c r="Y795" s="9"/>
      <c r="Z795" s="9"/>
    </row>
    <row x14ac:dyDescent="0.25" r="796" customHeight="1" ht="18.75">
      <c r="A796" s="9"/>
      <c r="B796" s="18" t="s">
        <v>16</v>
      </c>
      <c r="C796" s="9" t="s">
        <v>153</v>
      </c>
      <c r="D796" s="9" t="s">
        <v>862</v>
      </c>
      <c r="E796" s="18" t="s">
        <v>2898</v>
      </c>
      <c r="F796" s="19">
        <v>10000000</v>
      </c>
      <c r="G796" s="8">
        <f>IF(F796&gt;0,_xludf.IFS(F796=10000000,800000,F796=20000000,1528000,F796=30000000,2028000,F796=60000000,4056000),"")</f>
      </c>
      <c r="H796" s="21">
        <v>46223</v>
      </c>
      <c r="I796" s="22">
        <f>IF(H796&gt;0,EDATE(H796,-2),"")</f>
        <v>25569.375</v>
      </c>
      <c r="J796" s="18" t="s">
        <v>155</v>
      </c>
      <c r="K796" s="18" t="s">
        <v>2899</v>
      </c>
      <c r="L796" s="23">
        <f>IF(E796&gt;0,E796,"")</f>
      </c>
      <c r="M796" s="19">
        <v>6904112340612</v>
      </c>
      <c r="N796" s="19">
        <v>23972319</v>
      </c>
      <c r="O796" s="22">
        <f>IF(ISNUMBER(I796), EDATE(I796,36)-1, "")</f>
        <v>25569.375</v>
      </c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x14ac:dyDescent="0.25" r="797" customHeight="1" ht="18.75">
      <c r="A797" s="9"/>
      <c r="B797" s="18" t="s">
        <v>16</v>
      </c>
      <c r="C797" s="9"/>
      <c r="D797" s="9" t="s">
        <v>276</v>
      </c>
      <c r="E797" s="18" t="s">
        <v>2900</v>
      </c>
      <c r="F797" s="19">
        <v>10000000</v>
      </c>
      <c r="G797" s="8">
        <f>IF(F797&gt;0,_xludf.IFS(F797=10000000,800000,F797=20000000,1528000,F797=30000000,2028000,F797=60000000,4056000),"")</f>
      </c>
      <c r="H797" s="21">
        <v>46130</v>
      </c>
      <c r="I797" s="22">
        <f>IF(H797&gt;0,EDATE(H797,-2),"")</f>
        <v>25569.375</v>
      </c>
      <c r="J797" s="18" t="s">
        <v>306</v>
      </c>
      <c r="K797" s="18" t="s">
        <v>2901</v>
      </c>
      <c r="L797" s="23">
        <f>IF(E797&gt;0,E797,"")</f>
      </c>
      <c r="M797" s="19" t="s">
        <v>2902</v>
      </c>
      <c r="N797" s="19" t="s">
        <v>2903</v>
      </c>
      <c r="O797" s="22">
        <f>IF(ISNUMBER(I797), EDATE(I797,36)-1, "")</f>
        <v>25569.375</v>
      </c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x14ac:dyDescent="0.25" r="798" customHeight="1" ht="18.75">
      <c r="A798" s="9"/>
      <c r="B798" s="18" t="s">
        <v>16</v>
      </c>
      <c r="C798" s="9"/>
      <c r="D798" s="9"/>
      <c r="E798" s="18" t="s">
        <v>2904</v>
      </c>
      <c r="F798" s="19">
        <v>10000000</v>
      </c>
      <c r="G798" s="20">
        <v>800000</v>
      </c>
      <c r="H798" s="21">
        <v>45928</v>
      </c>
      <c r="I798" s="22">
        <f>IF(H798&gt;0,EDATE(H798,-2),"")</f>
        <v>25569.375</v>
      </c>
      <c r="J798" s="18" t="s">
        <v>168</v>
      </c>
      <c r="K798" s="18" t="s">
        <v>2905</v>
      </c>
      <c r="L798" s="23">
        <f>IF(E798&gt;0,E798,"")</f>
      </c>
      <c r="M798" s="19" t="s">
        <v>2906</v>
      </c>
      <c r="N798" s="19" t="s">
        <v>2907</v>
      </c>
      <c r="O798" s="22">
        <f>IF(ISNUMBER(I798), EDATE(I798,36)-1, "")</f>
        <v>25569.375</v>
      </c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x14ac:dyDescent="0.25" r="799" customHeight="1" ht="18.75">
      <c r="A799" s="9"/>
      <c r="B799" s="18" t="s">
        <v>16</v>
      </c>
      <c r="C799" s="9"/>
      <c r="D799" s="9"/>
      <c r="E799" s="18" t="s">
        <v>2908</v>
      </c>
      <c r="F799" s="19">
        <v>10000000</v>
      </c>
      <c r="G799" s="8">
        <f>IF(F799&gt;0,_xludf.IFS(F799=10000000,800000,F799=20000000,1528000,F799=30000000,2028000,F799=60000000,4056000),"")</f>
      </c>
      <c r="H799" s="21">
        <v>46180</v>
      </c>
      <c r="I799" s="22">
        <f>IF(H799&gt;0,EDATE(H799,-2),"")</f>
        <v>25569.375</v>
      </c>
      <c r="J799" s="18"/>
      <c r="K799" s="18" t="s">
        <v>2909</v>
      </c>
      <c r="L799" s="23">
        <f>IF(E799&gt;0,E799,"")</f>
      </c>
      <c r="M799" s="19" t="s">
        <v>2910</v>
      </c>
      <c r="N799" s="19" t="s">
        <v>2911</v>
      </c>
      <c r="O799" s="22">
        <f>IF(ISNUMBER(I799), EDATE(I799,36)-1, "")</f>
        <v>25569.375</v>
      </c>
      <c r="P799" s="9" t="s">
        <v>2912</v>
      </c>
      <c r="Q799" s="9" t="s">
        <v>166</v>
      </c>
      <c r="R799" s="9" t="s">
        <v>656</v>
      </c>
      <c r="S799" s="9"/>
      <c r="T799" s="9"/>
      <c r="U799" s="9"/>
      <c r="V799" s="9"/>
      <c r="W799" s="9"/>
      <c r="X799" s="9"/>
      <c r="Y799" s="9"/>
      <c r="Z799" s="9"/>
    </row>
    <row x14ac:dyDescent="0.25" r="800" customHeight="1" ht="18.75">
      <c r="A800" s="9" t="s">
        <v>152</v>
      </c>
      <c r="B800" s="18" t="s">
        <v>16</v>
      </c>
      <c r="C800" s="9" t="s">
        <v>67</v>
      </c>
      <c r="D800" s="9" t="s">
        <v>68</v>
      </c>
      <c r="E800" s="18" t="s">
        <v>2913</v>
      </c>
      <c r="F800" s="19">
        <v>60000000</v>
      </c>
      <c r="G800" s="20">
        <v>4800000</v>
      </c>
      <c r="H800" s="21">
        <v>45928</v>
      </c>
      <c r="I800" s="22">
        <f>IF(H800&gt;0,EDATE(H800,-2),"")</f>
        <v>25569.375</v>
      </c>
      <c r="J800" s="18" t="s">
        <v>302</v>
      </c>
      <c r="K800" s="18" t="s">
        <v>2914</v>
      </c>
      <c r="L800" s="23">
        <f>IF(E800&gt;0,E800,"")</f>
      </c>
      <c r="M800" s="19" t="s">
        <v>2915</v>
      </c>
      <c r="N800" s="19" t="s">
        <v>2009</v>
      </c>
      <c r="O800" s="22">
        <f>IF(ISNUMBER(I800), EDATE(I800,36)-1, "")</f>
        <v>25569.375</v>
      </c>
      <c r="P800" s="9"/>
      <c r="Q800" s="9"/>
      <c r="R800" s="9" t="s">
        <v>2916</v>
      </c>
      <c r="S800" s="9"/>
      <c r="T800" s="9"/>
      <c r="U800" s="9"/>
      <c r="V800" s="9"/>
      <c r="W800" s="9"/>
      <c r="X800" s="9"/>
      <c r="Y800" s="9"/>
      <c r="Z800" s="9"/>
    </row>
    <row x14ac:dyDescent="0.25" r="801" customHeight="1" ht="18.75">
      <c r="A801" s="9" t="s">
        <v>152</v>
      </c>
      <c r="B801" s="18" t="s">
        <v>16</v>
      </c>
      <c r="C801" s="9" t="s">
        <v>67</v>
      </c>
      <c r="D801" s="9" t="s">
        <v>68</v>
      </c>
      <c r="E801" s="18" t="s">
        <v>2913</v>
      </c>
      <c r="F801" s="19">
        <v>10000000</v>
      </c>
      <c r="G801" s="20">
        <v>500000</v>
      </c>
      <c r="H801" s="21">
        <v>45992</v>
      </c>
      <c r="I801" s="22">
        <f>IF(H801&gt;0,EDATE(H801,-2),"")</f>
        <v>25569.375</v>
      </c>
      <c r="J801" s="18" t="s">
        <v>302</v>
      </c>
      <c r="K801" s="18" t="s">
        <v>2914</v>
      </c>
      <c r="L801" s="23">
        <f>IF(E801&gt;0,E801,"")</f>
      </c>
      <c r="M801" s="19" t="s">
        <v>2915</v>
      </c>
      <c r="N801" s="19" t="s">
        <v>2009</v>
      </c>
      <c r="O801" s="22">
        <f>IF(ISNUMBER(I801), EDATE(I801,36)-1, "")</f>
        <v>25569.375</v>
      </c>
      <c r="P801" s="9"/>
      <c r="Q801" s="9"/>
      <c r="R801" s="9" t="s">
        <v>2917</v>
      </c>
      <c r="S801" s="9"/>
      <c r="T801" s="9"/>
      <c r="U801" s="9"/>
      <c r="V801" s="9"/>
      <c r="W801" s="9"/>
      <c r="X801" s="9"/>
      <c r="Y801" s="9"/>
      <c r="Z801" s="9"/>
    </row>
    <row x14ac:dyDescent="0.25" r="802" customHeight="1" ht="18.75">
      <c r="A802" s="9" t="s">
        <v>152</v>
      </c>
      <c r="B802" s="18" t="s">
        <v>16</v>
      </c>
      <c r="C802" s="9" t="s">
        <v>67</v>
      </c>
      <c r="D802" s="9" t="s">
        <v>68</v>
      </c>
      <c r="E802" s="18" t="s">
        <v>2913</v>
      </c>
      <c r="F802" s="19">
        <v>30000000</v>
      </c>
      <c r="G802" s="8">
        <f>IF(F802&gt;0,_xludf.IFS(F802=10000000,800000,F802=20000000,1528000,F802=30000000,2028000,F802=60000000,4056000),"")</f>
      </c>
      <c r="H802" s="21">
        <v>46063</v>
      </c>
      <c r="I802" s="22">
        <f>IF(H802&gt;0,EDATE(H802,-2),"")</f>
        <v>25569.375</v>
      </c>
      <c r="J802" s="18" t="s">
        <v>302</v>
      </c>
      <c r="K802" s="18" t="s">
        <v>2914</v>
      </c>
      <c r="L802" s="23">
        <f>IF(E802&gt;0,E802,"")</f>
      </c>
      <c r="M802" s="19" t="s">
        <v>2915</v>
      </c>
      <c r="N802" s="19" t="s">
        <v>2009</v>
      </c>
      <c r="O802" s="22">
        <f>IF(ISNUMBER(I802), EDATE(I802,36)-1, "")</f>
        <v>25569.375</v>
      </c>
      <c r="P802" s="9"/>
      <c r="Q802" s="9"/>
      <c r="R802" s="9" t="s">
        <v>2918</v>
      </c>
      <c r="S802" s="9"/>
      <c r="T802" s="9"/>
      <c r="U802" s="9"/>
      <c r="V802" s="9"/>
      <c r="W802" s="9"/>
      <c r="X802" s="9"/>
      <c r="Y802" s="9"/>
      <c r="Z802" s="9"/>
    </row>
    <row x14ac:dyDescent="0.25" r="803" customHeight="1" ht="18.75">
      <c r="A803" s="9"/>
      <c r="B803" s="18" t="s">
        <v>16</v>
      </c>
      <c r="C803" s="9" t="s">
        <v>48</v>
      </c>
      <c r="D803" s="9" t="s">
        <v>1044</v>
      </c>
      <c r="E803" s="18" t="s">
        <v>2919</v>
      </c>
      <c r="F803" s="19">
        <v>10000000</v>
      </c>
      <c r="G803" s="20">
        <v>1200000</v>
      </c>
      <c r="H803" s="21">
        <v>46196</v>
      </c>
      <c r="I803" s="22">
        <f>IF(H803&gt;0,EDATE(H803,-2),"")</f>
        <v>25569.375</v>
      </c>
      <c r="J803" s="18" t="s">
        <v>161</v>
      </c>
      <c r="K803" s="18" t="s">
        <v>2920</v>
      </c>
      <c r="L803" s="23">
        <f>IF(E803&gt;0,E803,"")</f>
      </c>
      <c r="M803" s="19" t="s">
        <v>2921</v>
      </c>
      <c r="N803" s="19" t="s">
        <v>2922</v>
      </c>
      <c r="O803" s="22">
        <f>IF(ISNUMBER(I803), EDATE(I803,36)-1, "")</f>
        <v>25569.375</v>
      </c>
      <c r="P803" s="9" t="s">
        <v>2923</v>
      </c>
      <c r="Q803" s="9" t="s">
        <v>166</v>
      </c>
      <c r="R803" s="9"/>
      <c r="S803" s="9"/>
      <c r="T803" s="9"/>
      <c r="U803" s="9"/>
      <c r="V803" s="9"/>
      <c r="W803" s="9"/>
      <c r="X803" s="9"/>
      <c r="Y803" s="9"/>
      <c r="Z803" s="9"/>
    </row>
    <row x14ac:dyDescent="0.25" r="804" customHeight="1" ht="18.75">
      <c r="A804" s="9"/>
      <c r="B804" s="18" t="s">
        <v>16</v>
      </c>
      <c r="C804" s="9" t="s">
        <v>143</v>
      </c>
      <c r="D804" s="9" t="s">
        <v>1492</v>
      </c>
      <c r="E804" s="18" t="s">
        <v>2919</v>
      </c>
      <c r="F804" s="19">
        <v>60000000</v>
      </c>
      <c r="G804" s="20">
        <v>4000000</v>
      </c>
      <c r="H804" s="21">
        <v>46210</v>
      </c>
      <c r="I804" s="22">
        <f>IF(H804&gt;0,EDATE(H804,-2),"")</f>
        <v>25569.375</v>
      </c>
      <c r="J804" s="18" t="s">
        <v>155</v>
      </c>
      <c r="K804" s="18" t="s">
        <v>2924</v>
      </c>
      <c r="L804" s="23">
        <f>IF(E804&gt;0,E804,"")</f>
      </c>
      <c r="M804" s="19" t="s">
        <v>2925</v>
      </c>
      <c r="N804" s="19" t="s">
        <v>2926</v>
      </c>
      <c r="O804" s="22">
        <f>IF(ISNUMBER(I804), EDATE(I804,36)-1, "")</f>
        <v>25569.375</v>
      </c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x14ac:dyDescent="0.25" r="805" customHeight="1" ht="18.75">
      <c r="A805" s="9"/>
      <c r="B805" s="18" t="s">
        <v>16</v>
      </c>
      <c r="C805" s="9"/>
      <c r="D805" s="9" t="s">
        <v>1335</v>
      </c>
      <c r="E805" s="18" t="s">
        <v>2927</v>
      </c>
      <c r="F805" s="19">
        <v>40000000</v>
      </c>
      <c r="G805" s="20">
        <v>2528000</v>
      </c>
      <c r="H805" s="21">
        <v>46162</v>
      </c>
      <c r="I805" s="22">
        <f>IF(H805&gt;0,EDATE(H805,-2),"")</f>
        <v>25569.375</v>
      </c>
      <c r="J805" s="18" t="s">
        <v>1688</v>
      </c>
      <c r="K805" s="18" t="s">
        <v>2928</v>
      </c>
      <c r="L805" s="23">
        <f>IF(E805&gt;0,E805,"")</f>
      </c>
      <c r="M805" s="19" t="s">
        <v>2929</v>
      </c>
      <c r="N805" s="19" t="s">
        <v>2930</v>
      </c>
      <c r="O805" s="22">
        <f>IF(ISNUMBER(I805), EDATE(I805,36)-1, "")</f>
        <v>25569.375</v>
      </c>
      <c r="P805" s="9" t="s">
        <v>2931</v>
      </c>
      <c r="Q805" s="9" t="s">
        <v>166</v>
      </c>
      <c r="R805" s="9"/>
      <c r="S805" s="9"/>
      <c r="T805" s="9"/>
      <c r="U805" s="9"/>
      <c r="V805" s="9"/>
      <c r="W805" s="9"/>
      <c r="X805" s="9"/>
      <c r="Y805" s="9"/>
      <c r="Z805" s="9"/>
    </row>
    <row x14ac:dyDescent="0.25" r="806" customHeight="1" ht="18.75">
      <c r="A806" s="9"/>
      <c r="B806" s="18" t="s">
        <v>16</v>
      </c>
      <c r="C806" s="9"/>
      <c r="D806" s="9"/>
      <c r="E806" s="18" t="s">
        <v>2932</v>
      </c>
      <c r="F806" s="19">
        <v>10000000</v>
      </c>
      <c r="G806" s="20">
        <v>800000</v>
      </c>
      <c r="H806" s="21">
        <v>46147</v>
      </c>
      <c r="I806" s="22">
        <f>IF(H806&gt;0,EDATE(H806,-2),"")</f>
        <v>25569.375</v>
      </c>
      <c r="J806" s="18" t="s">
        <v>155</v>
      </c>
      <c r="K806" s="18" t="s">
        <v>2933</v>
      </c>
      <c r="L806" s="23">
        <f>IF(E806&gt;0,E806,"")</f>
      </c>
      <c r="M806" s="19" t="s">
        <v>2934</v>
      </c>
      <c r="N806" s="19">
        <v>96073140</v>
      </c>
      <c r="O806" s="22">
        <f>IF(ISNUMBER(I806), EDATE(I806,36)-1, "")</f>
        <v>25569.375</v>
      </c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x14ac:dyDescent="0.25" r="807" customHeight="1" ht="18.75">
      <c r="A807" s="9"/>
      <c r="B807" s="18" t="s">
        <v>16</v>
      </c>
      <c r="C807" s="9"/>
      <c r="D807" s="9"/>
      <c r="E807" s="18" t="s">
        <v>2935</v>
      </c>
      <c r="F807" s="19">
        <v>10000000</v>
      </c>
      <c r="G807" s="8">
        <f>IF(F807&gt;0,_xludf.IFS(F807=10000000,800000,F807=20000000,1528000,F807=30000000,2028000,F807=60000000,4056000),"")</f>
      </c>
      <c r="H807" s="21">
        <v>46174</v>
      </c>
      <c r="I807" s="22">
        <f>IF(H807&gt;0,EDATE(H807,-2),"")</f>
        <v>25569.375</v>
      </c>
      <c r="J807" s="18" t="s">
        <v>161</v>
      </c>
      <c r="K807" s="18" t="s">
        <v>997</v>
      </c>
      <c r="L807" s="23">
        <f>IF(E807&gt;0,E807,"")</f>
      </c>
      <c r="M807" s="19" t="s">
        <v>2936</v>
      </c>
      <c r="N807" s="19" t="s">
        <v>2937</v>
      </c>
      <c r="O807" s="22">
        <f>IF(ISNUMBER(I807), EDATE(I807,36)-1, "")</f>
        <v>25569.375</v>
      </c>
      <c r="P807" s="9" t="s">
        <v>2938</v>
      </c>
      <c r="Q807" s="9" t="s">
        <v>166</v>
      </c>
      <c r="R807" s="9"/>
      <c r="S807" s="9"/>
      <c r="T807" s="9"/>
      <c r="U807" s="9"/>
      <c r="V807" s="9"/>
      <c r="W807" s="9"/>
      <c r="X807" s="9"/>
      <c r="Y807" s="9"/>
      <c r="Z807" s="9"/>
    </row>
    <row x14ac:dyDescent="0.25" r="808" customHeight="1" ht="18.75">
      <c r="A808" s="9"/>
      <c r="B808" s="18" t="s">
        <v>16</v>
      </c>
      <c r="C808" s="9"/>
      <c r="D808" s="9"/>
      <c r="E808" s="18" t="s">
        <v>2939</v>
      </c>
      <c r="F808" s="19">
        <v>10000000</v>
      </c>
      <c r="G808" s="20">
        <v>800000</v>
      </c>
      <c r="H808" s="21">
        <v>46049</v>
      </c>
      <c r="I808" s="22">
        <f>IF(H808&gt;0,EDATE(H808,-2),"")</f>
        <v>25569.375</v>
      </c>
      <c r="J808" s="18" t="s">
        <v>988</v>
      </c>
      <c r="K808" s="18" t="s">
        <v>2940</v>
      </c>
      <c r="L808" s="23">
        <f>IF(E808&gt;0,E808,"")</f>
      </c>
      <c r="M808" s="19" t="s">
        <v>2941</v>
      </c>
      <c r="N808" s="19" t="s">
        <v>2942</v>
      </c>
      <c r="O808" s="22">
        <f>IF(ISNUMBER(I808), EDATE(I808,36)-1, "")</f>
        <v>25569.375</v>
      </c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x14ac:dyDescent="0.25" r="809" customHeight="1" ht="18.75">
      <c r="A809" s="9"/>
      <c r="B809" s="18" t="s">
        <v>16</v>
      </c>
      <c r="C809" s="9"/>
      <c r="D809" s="9" t="s">
        <v>34</v>
      </c>
      <c r="E809" s="18" t="s">
        <v>133</v>
      </c>
      <c r="F809" s="19">
        <v>30000000</v>
      </c>
      <c r="G809" s="8">
        <f>IF(F809&gt;0,_xludf.IFS(F809=10000000,800000,F809=20000000,1528000,F809=30000000,2028000,F809=60000000,4056000),"")</f>
      </c>
      <c r="H809" s="21">
        <v>46114</v>
      </c>
      <c r="I809" s="22">
        <f>IF(H809&gt;0,EDATE(H809,-2),"")</f>
        <v>25569.375</v>
      </c>
      <c r="J809" s="18" t="s">
        <v>570</v>
      </c>
      <c r="K809" s="18" t="s">
        <v>2943</v>
      </c>
      <c r="L809" s="23">
        <f>IF(E809&gt;0,E809,"")</f>
      </c>
      <c r="M809" s="19" t="s">
        <v>2944</v>
      </c>
      <c r="N809" s="19" t="s">
        <v>2945</v>
      </c>
      <c r="O809" s="22">
        <f>IF(ISNUMBER(I809), EDATE(I809,36)-1, "")</f>
        <v>25569.375</v>
      </c>
      <c r="P809" s="9" t="s">
        <v>134</v>
      </c>
      <c r="Q809" s="9" t="s">
        <v>166</v>
      </c>
      <c r="R809" s="9"/>
      <c r="S809" s="9"/>
      <c r="T809" s="9"/>
      <c r="U809" s="9"/>
      <c r="V809" s="9"/>
      <c r="W809" s="9"/>
      <c r="X809" s="9"/>
      <c r="Y809" s="9"/>
      <c r="Z809" s="9"/>
    </row>
    <row x14ac:dyDescent="0.25" r="810" customHeight="1" ht="18.75">
      <c r="A810" s="9"/>
      <c r="B810" s="18" t="s">
        <v>16</v>
      </c>
      <c r="C810" s="9"/>
      <c r="D810" s="9"/>
      <c r="E810" s="18" t="s">
        <v>2946</v>
      </c>
      <c r="F810" s="19">
        <v>60000000</v>
      </c>
      <c r="G810" s="8">
        <f>IF(F810&gt;0,_xludf.IFS(F810=10000000,800000,F810=20000000,1528000,F810=30000000,2028000,F810=60000000,4056000),"")</f>
      </c>
      <c r="H810" s="21">
        <v>46002</v>
      </c>
      <c r="I810" s="22">
        <f>IF(H810&gt;0,EDATE(H810,-2),"")</f>
        <v>25569.375</v>
      </c>
      <c r="J810" s="18" t="s">
        <v>306</v>
      </c>
      <c r="K810" s="18" t="s">
        <v>2947</v>
      </c>
      <c r="L810" s="23">
        <f>IF(E810&gt;0,E810,"")</f>
      </c>
      <c r="M810" s="19" t="s">
        <v>2948</v>
      </c>
      <c r="N810" s="19" t="s">
        <v>2949</v>
      </c>
      <c r="O810" s="22">
        <f>IF(ISNUMBER(I810), EDATE(I810,36)-1, "")</f>
        <v>25569.375</v>
      </c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x14ac:dyDescent="0.25" r="811" customHeight="1" ht="18.75">
      <c r="A811" s="9"/>
      <c r="B811" s="18" t="s">
        <v>16</v>
      </c>
      <c r="C811" s="9" t="s">
        <v>454</v>
      </c>
      <c r="D811" s="9" t="s">
        <v>647</v>
      </c>
      <c r="E811" s="18" t="s">
        <v>2950</v>
      </c>
      <c r="F811" s="19">
        <v>30000000</v>
      </c>
      <c r="G811" s="8">
        <f>IF(F811&gt;0,_xludf.IFS(F811=10000000,800000,F811=20000000,1528000,F811=30000000,2028000,F811=60000000,4056000),"")</f>
      </c>
      <c r="H811" s="21">
        <v>46151</v>
      </c>
      <c r="I811" s="22">
        <f>IF(H811&gt;0,EDATE(H811,-2),"")</f>
        <v>25569.375</v>
      </c>
      <c r="J811" s="18" t="s">
        <v>217</v>
      </c>
      <c r="K811" s="18" t="s">
        <v>2951</v>
      </c>
      <c r="L811" s="23">
        <f>IF(E811&gt;0,E811,"")</f>
      </c>
      <c r="M811" s="19" t="s">
        <v>2952</v>
      </c>
      <c r="N811" s="19" t="s">
        <v>2953</v>
      </c>
      <c r="O811" s="22">
        <f>IF(ISNUMBER(I811), EDATE(I811,36)-1, "")</f>
        <v>25569.375</v>
      </c>
      <c r="P811" s="9"/>
      <c r="Q811" s="9"/>
      <c r="R811" s="9" t="s">
        <v>2954</v>
      </c>
      <c r="S811" s="9"/>
      <c r="T811" s="9"/>
      <c r="U811" s="9"/>
      <c r="V811" s="9"/>
      <c r="W811" s="9"/>
      <c r="X811" s="9"/>
      <c r="Y811" s="9"/>
      <c r="Z811" s="9"/>
    </row>
    <row x14ac:dyDescent="0.25" r="812" customHeight="1" ht="18.75">
      <c r="A812" s="9" t="s">
        <v>152</v>
      </c>
      <c r="B812" s="18" t="s">
        <v>16</v>
      </c>
      <c r="C812" s="9" t="s">
        <v>55</v>
      </c>
      <c r="D812" s="9" t="s">
        <v>56</v>
      </c>
      <c r="E812" s="18" t="s">
        <v>2955</v>
      </c>
      <c r="F812" s="19">
        <v>10000000</v>
      </c>
      <c r="G812" s="8">
        <f>IF(F812&gt;0,_xludf.IFS(F812=10000000,800000,F812=20000000,1528000,F812=30000000,2028000,F812=60000000,4056000),"")</f>
      </c>
      <c r="H812" s="21">
        <v>46187</v>
      </c>
      <c r="I812" s="22">
        <f>IF(H812&gt;0,EDATE(H812,-2),"")</f>
        <v>25569.375</v>
      </c>
      <c r="J812" s="18" t="s">
        <v>261</v>
      </c>
      <c r="K812" s="18" t="s">
        <v>2956</v>
      </c>
      <c r="L812" s="23">
        <f>IF(E812&gt;0,E812,"")</f>
      </c>
      <c r="M812" s="19" t="s">
        <v>2957</v>
      </c>
      <c r="N812" s="19">
        <v>46525769</v>
      </c>
      <c r="O812" s="22">
        <f>IF(ISNUMBER(I812), EDATE(I812,36)-1, "")</f>
        <v>25569.375</v>
      </c>
      <c r="P812" s="9"/>
      <c r="Q812" s="9"/>
      <c r="R812" s="9" t="s">
        <v>2958</v>
      </c>
      <c r="S812" s="9"/>
      <c r="T812" s="9"/>
      <c r="U812" s="9"/>
      <c r="V812" s="9"/>
      <c r="W812" s="9"/>
      <c r="X812" s="9"/>
      <c r="Y812" s="9"/>
      <c r="Z812" s="9"/>
    </row>
    <row x14ac:dyDescent="0.25" r="813" customHeight="1" ht="18.75">
      <c r="A813" s="9"/>
      <c r="B813" s="18" t="s">
        <v>16</v>
      </c>
      <c r="C813" s="9"/>
      <c r="D813" s="9"/>
      <c r="E813" s="18" t="s">
        <v>2959</v>
      </c>
      <c r="F813" s="19">
        <v>20000000</v>
      </c>
      <c r="G813" s="20">
        <v>1528000</v>
      </c>
      <c r="H813" s="21">
        <v>46016</v>
      </c>
      <c r="I813" s="22">
        <f>IF(H813&gt;0,EDATE(H813,-2),"")</f>
        <v>25569.375</v>
      </c>
      <c r="J813" s="18" t="s">
        <v>155</v>
      </c>
      <c r="K813" s="18" t="s">
        <v>2960</v>
      </c>
      <c r="L813" s="23">
        <f>IF(E813&gt;0,E813,"")</f>
      </c>
      <c r="M813" s="19" t="s">
        <v>2961</v>
      </c>
      <c r="N813" s="19" t="s">
        <v>2962</v>
      </c>
      <c r="O813" s="22">
        <f>IF(ISNUMBER(I813), EDATE(I813,36)-1, "")</f>
        <v>25569.375</v>
      </c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x14ac:dyDescent="0.25" r="814" customHeight="1" ht="18.75">
      <c r="A814" s="24"/>
      <c r="B814" s="25" t="s">
        <v>16</v>
      </c>
      <c r="C814" s="24"/>
      <c r="D814" s="24"/>
      <c r="E814" s="25" t="s">
        <v>2963</v>
      </c>
      <c r="F814" s="26">
        <v>10000000</v>
      </c>
      <c r="G814" s="27"/>
      <c r="H814" s="28">
        <v>46090</v>
      </c>
      <c r="I814" s="29">
        <f>IF(H814&gt;0,EDATE(H814,-2),"")</f>
        <v>25569.375</v>
      </c>
      <c r="J814" s="25" t="s">
        <v>282</v>
      </c>
      <c r="K814" s="25" t="s">
        <v>1308</v>
      </c>
      <c r="L814" s="30">
        <f>IF(E814&gt;0,E814,"")</f>
      </c>
      <c r="M814" s="26" t="s">
        <v>2964</v>
      </c>
      <c r="N814" s="26" t="s">
        <v>2965</v>
      </c>
      <c r="O814" s="29">
        <f>IF(ISNUMBER(I814), EDATE(I814,36)-1, "")</f>
        <v>25569.375</v>
      </c>
      <c r="P814" s="24"/>
      <c r="Q814" s="24" t="s">
        <v>2966</v>
      </c>
      <c r="R814" s="24" t="s">
        <v>1849</v>
      </c>
      <c r="S814" s="9"/>
      <c r="T814" s="9"/>
      <c r="U814" s="9"/>
      <c r="V814" s="9"/>
      <c r="W814" s="9"/>
      <c r="X814" s="9"/>
      <c r="Y814" s="9"/>
      <c r="Z814" s="9"/>
    </row>
    <row x14ac:dyDescent="0.25" r="815" customHeight="1" ht="18.75">
      <c r="A815" s="9" t="s">
        <v>152</v>
      </c>
      <c r="B815" s="18" t="s">
        <v>16</v>
      </c>
      <c r="C815" s="9" t="s">
        <v>454</v>
      </c>
      <c r="D815" s="9" t="s">
        <v>647</v>
      </c>
      <c r="E815" s="18" t="s">
        <v>2967</v>
      </c>
      <c r="F815" s="19">
        <v>20000000</v>
      </c>
      <c r="G815" s="20">
        <v>1800000</v>
      </c>
      <c r="H815" s="21">
        <v>46199</v>
      </c>
      <c r="I815" s="22">
        <f>IF(H815&gt;0,EDATE(H815,-2),"")</f>
        <v>25569.375</v>
      </c>
      <c r="J815" s="18" t="s">
        <v>217</v>
      </c>
      <c r="K815" s="18" t="s">
        <v>2968</v>
      </c>
      <c r="L815" s="23">
        <f>IF(E815&gt;0,E815,"")</f>
      </c>
      <c r="M815" s="19" t="s">
        <v>2969</v>
      </c>
      <c r="N815" s="19">
        <v>95358226</v>
      </c>
      <c r="O815" s="22">
        <f>IF(ISNUMBER(I815), EDATE(I815,36)-1, "")</f>
        <v>25569.375</v>
      </c>
      <c r="P815" s="9"/>
      <c r="Q815" s="9"/>
      <c r="R815" s="9" t="s">
        <v>2970</v>
      </c>
      <c r="S815" s="9"/>
      <c r="T815" s="9"/>
      <c r="U815" s="9"/>
      <c r="V815" s="9"/>
      <c r="W815" s="9"/>
      <c r="X815" s="9"/>
      <c r="Y815" s="9"/>
      <c r="Z815" s="9"/>
    </row>
    <row x14ac:dyDescent="0.25" r="816" customHeight="1" ht="18.75">
      <c r="A816" s="9"/>
      <c r="B816" s="18" t="s">
        <v>16</v>
      </c>
      <c r="C816" s="9" t="s">
        <v>454</v>
      </c>
      <c r="D816" s="9" t="s">
        <v>574</v>
      </c>
      <c r="E816" s="18" t="s">
        <v>2967</v>
      </c>
      <c r="F816" s="19">
        <v>10000000</v>
      </c>
      <c r="G816" s="20">
        <v>500000</v>
      </c>
      <c r="H816" s="21">
        <v>46154</v>
      </c>
      <c r="I816" s="22">
        <f>IF(H816&gt;0,EDATE(H816,-2),"")</f>
        <v>25569.375</v>
      </c>
      <c r="J816" s="18" t="s">
        <v>217</v>
      </c>
      <c r="K816" s="18" t="s">
        <v>2968</v>
      </c>
      <c r="L816" s="23">
        <f>IF(E816&gt;0,E816,"")</f>
      </c>
      <c r="M816" s="19" t="s">
        <v>2969</v>
      </c>
      <c r="N816" s="19">
        <v>95358226</v>
      </c>
      <c r="O816" s="22">
        <f>IF(ISNUMBER(I816), EDATE(I816,36)-1, "")</f>
        <v>25569.375</v>
      </c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x14ac:dyDescent="0.25" r="817" customHeight="1" ht="18.75">
      <c r="A817" s="9"/>
      <c r="B817" s="18" t="s">
        <v>16</v>
      </c>
      <c r="C817" s="9"/>
      <c r="D817" s="9"/>
      <c r="E817" s="18" t="s">
        <v>2971</v>
      </c>
      <c r="F817" s="19">
        <v>10000000</v>
      </c>
      <c r="G817" s="8">
        <f>IF(F817&gt;0,_xludf.IFS(F817=10000000,800000,F817=20000000,1528000,F817=30000000,2028000,F817=60000000,4056000),"")</f>
      </c>
      <c r="H817" s="21">
        <v>46072</v>
      </c>
      <c r="I817" s="22">
        <f>IF(H817&gt;0,EDATE(H817,-2),"")</f>
        <v>25569.375</v>
      </c>
      <c r="J817" s="18" t="s">
        <v>217</v>
      </c>
      <c r="K817" s="18" t="s">
        <v>2972</v>
      </c>
      <c r="L817" s="23">
        <f>IF(E817&gt;0,E817,"")</f>
      </c>
      <c r="M817" s="19" t="s">
        <v>2973</v>
      </c>
      <c r="N817" s="19" t="s">
        <v>2974</v>
      </c>
      <c r="O817" s="22">
        <f>IF(ISNUMBER(I817), EDATE(I817,36)-1, "")</f>
        <v>25569.375</v>
      </c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x14ac:dyDescent="0.25" r="818" customHeight="1" ht="18.75">
      <c r="A818" s="9"/>
      <c r="B818" s="18" t="s">
        <v>16</v>
      </c>
      <c r="C818" s="9"/>
      <c r="D818" s="9"/>
      <c r="E818" s="18" t="s">
        <v>2975</v>
      </c>
      <c r="F818" s="19">
        <v>60000000</v>
      </c>
      <c r="G818" s="20">
        <v>4800000</v>
      </c>
      <c r="H818" s="21">
        <v>45969</v>
      </c>
      <c r="I818" s="22">
        <f>IF(H818&gt;0,EDATE(H818,-2),"")</f>
        <v>25569.375</v>
      </c>
      <c r="J818" s="18" t="s">
        <v>155</v>
      </c>
      <c r="K818" s="18" t="s">
        <v>997</v>
      </c>
      <c r="L818" s="23">
        <f>IF(E818&gt;0,E818,"")</f>
      </c>
      <c r="M818" s="19" t="s">
        <v>2976</v>
      </c>
      <c r="N818" s="19">
        <v>30035830</v>
      </c>
      <c r="O818" s="22">
        <f>IF(ISNUMBER(I818), EDATE(I818,36)-1, "")</f>
        <v>25569.375</v>
      </c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x14ac:dyDescent="0.25" r="819" customHeight="1" ht="18.75">
      <c r="A819" s="9"/>
      <c r="B819" s="18" t="s">
        <v>16</v>
      </c>
      <c r="C819" s="9"/>
      <c r="D819" s="9"/>
      <c r="E819" s="18" t="s">
        <v>2977</v>
      </c>
      <c r="F819" s="19">
        <v>10000000</v>
      </c>
      <c r="G819" s="20"/>
      <c r="H819" s="21">
        <v>46173</v>
      </c>
      <c r="I819" s="22">
        <f>IF(H819&gt;0,EDATE(H819,-2),"")</f>
        <v>25569.375</v>
      </c>
      <c r="J819" s="18" t="s">
        <v>217</v>
      </c>
      <c r="K819" s="18" t="s">
        <v>2978</v>
      </c>
      <c r="L819" s="23">
        <f>IF(E819&gt;0,E819,"")</f>
      </c>
      <c r="M819" s="19" t="s">
        <v>2979</v>
      </c>
      <c r="N819" s="19" t="s">
        <v>2980</v>
      </c>
      <c r="O819" s="22">
        <f>IF(ISNUMBER(I819), EDATE(I819,36)-1, "")</f>
        <v>25569.375</v>
      </c>
      <c r="P819" s="9"/>
      <c r="Q819" s="9" t="s">
        <v>166</v>
      </c>
      <c r="R819" s="9" t="s">
        <v>110</v>
      </c>
      <c r="S819" s="9"/>
      <c r="T819" s="9"/>
      <c r="U819" s="9"/>
      <c r="V819" s="9"/>
      <c r="W819" s="9"/>
      <c r="X819" s="9"/>
      <c r="Y819" s="9"/>
      <c r="Z819" s="9"/>
    </row>
    <row x14ac:dyDescent="0.25" r="820" customHeight="1" ht="18.75">
      <c r="A820" s="9"/>
      <c r="B820" s="18" t="s">
        <v>16</v>
      </c>
      <c r="C820" s="9"/>
      <c r="D820" s="9"/>
      <c r="E820" s="18" t="s">
        <v>2977</v>
      </c>
      <c r="F820" s="19">
        <v>20000000</v>
      </c>
      <c r="G820" s="8">
        <f>IF(F820&gt;0,_xludf.IFS(F820=10000000,800000,F820=20000000,1528000,F820=30000000,2028000,F820=60000000,4056000),"")</f>
      </c>
      <c r="H820" s="21">
        <v>46182</v>
      </c>
      <c r="I820" s="22">
        <f>IF(H820&gt;0,EDATE(H820,-2),"")</f>
        <v>25569.375</v>
      </c>
      <c r="J820" s="18" t="s">
        <v>217</v>
      </c>
      <c r="K820" s="18" t="s">
        <v>2978</v>
      </c>
      <c r="L820" s="23">
        <f>IF(E820&gt;0,E820,"")</f>
      </c>
      <c r="M820" s="19" t="s">
        <v>2979</v>
      </c>
      <c r="N820" s="19" t="s">
        <v>2980</v>
      </c>
      <c r="O820" s="22">
        <f>IF(ISNUMBER(I820), EDATE(I820,36)-1, "")</f>
        <v>25569.375</v>
      </c>
      <c r="P820" s="9" t="s">
        <v>2981</v>
      </c>
      <c r="Q820" s="9" t="s">
        <v>166</v>
      </c>
      <c r="R820" s="9"/>
      <c r="S820" s="9"/>
      <c r="T820" s="9"/>
      <c r="U820" s="9"/>
      <c r="V820" s="9"/>
      <c r="W820" s="9"/>
      <c r="X820" s="9"/>
      <c r="Y820" s="9"/>
      <c r="Z820" s="9"/>
    </row>
    <row x14ac:dyDescent="0.25" r="821" customHeight="1" ht="18.75">
      <c r="A821" s="9"/>
      <c r="B821" s="18" t="s">
        <v>16</v>
      </c>
      <c r="C821" s="9"/>
      <c r="D821" s="9"/>
      <c r="E821" s="18" t="s">
        <v>2982</v>
      </c>
      <c r="F821" s="19">
        <v>10000000</v>
      </c>
      <c r="G821" s="20">
        <v>800000</v>
      </c>
      <c r="H821" s="21">
        <v>46193</v>
      </c>
      <c r="I821" s="22">
        <f>IF(H821&gt;0,EDATE(H821,-2),"")</f>
        <v>25569.375</v>
      </c>
      <c r="J821" s="18" t="s">
        <v>2442</v>
      </c>
      <c r="K821" s="18" t="s">
        <v>2983</v>
      </c>
      <c r="L821" s="23">
        <f>IF(E821&gt;0,E821,"")</f>
      </c>
      <c r="M821" s="19" t="s">
        <v>2984</v>
      </c>
      <c r="N821" s="19" t="s">
        <v>2985</v>
      </c>
      <c r="O821" s="22">
        <f>IF(ISNUMBER(I821), EDATE(I821,36)-1, "")</f>
        <v>25569.375</v>
      </c>
      <c r="P821" s="9"/>
      <c r="Q821" s="9" t="s">
        <v>166</v>
      </c>
      <c r="R821" s="9"/>
      <c r="S821" s="9"/>
      <c r="T821" s="9"/>
      <c r="U821" s="9"/>
      <c r="V821" s="9"/>
      <c r="W821" s="9"/>
      <c r="X821" s="9"/>
      <c r="Y821" s="9"/>
      <c r="Z821" s="9"/>
    </row>
    <row x14ac:dyDescent="0.25" r="822" customHeight="1" ht="18.75">
      <c r="A822" s="9"/>
      <c r="B822" s="18" t="s">
        <v>16</v>
      </c>
      <c r="C822" s="9"/>
      <c r="D822" s="9"/>
      <c r="E822" s="18" t="s">
        <v>2986</v>
      </c>
      <c r="F822" s="19">
        <v>30000000</v>
      </c>
      <c r="G822" s="20"/>
      <c r="H822" s="21">
        <v>46172</v>
      </c>
      <c r="I822" s="22">
        <f>IF(H822&gt;0,EDATE(H822,-2),"")</f>
        <v>25569.375</v>
      </c>
      <c r="J822" s="18" t="s">
        <v>161</v>
      </c>
      <c r="K822" s="18" t="s">
        <v>2987</v>
      </c>
      <c r="L822" s="23">
        <f>IF(E822&gt;0,E822,"")</f>
      </c>
      <c r="M822" s="19" t="s">
        <v>2988</v>
      </c>
      <c r="N822" s="19" t="s">
        <v>2989</v>
      </c>
      <c r="O822" s="22">
        <f>IF(ISNUMBER(I822), EDATE(I822,36)-1, "")</f>
        <v>25569.375</v>
      </c>
      <c r="P822" s="9"/>
      <c r="Q822" s="9" t="s">
        <v>166</v>
      </c>
      <c r="R822" s="9" t="s">
        <v>2990</v>
      </c>
      <c r="S822" s="9"/>
      <c r="T822" s="9"/>
      <c r="U822" s="9"/>
      <c r="V822" s="9"/>
      <c r="W822" s="9"/>
      <c r="X822" s="9"/>
      <c r="Y822" s="9"/>
      <c r="Z822" s="9"/>
    </row>
    <row x14ac:dyDescent="0.25" r="823" customHeight="1" ht="18.75">
      <c r="A823" s="9"/>
      <c r="B823" s="18" t="s">
        <v>16</v>
      </c>
      <c r="C823" s="9"/>
      <c r="D823" s="9"/>
      <c r="E823" s="18" t="s">
        <v>2986</v>
      </c>
      <c r="F823" s="19">
        <v>60000000</v>
      </c>
      <c r="G823" s="20">
        <v>4056000</v>
      </c>
      <c r="H823" s="21">
        <v>46175</v>
      </c>
      <c r="I823" s="22">
        <f>IF(H823&gt;0,EDATE(H823,-2),"")</f>
        <v>25569.375</v>
      </c>
      <c r="J823" s="18" t="s">
        <v>161</v>
      </c>
      <c r="K823" s="18" t="s">
        <v>2991</v>
      </c>
      <c r="L823" s="23">
        <f>IF(E823&gt;0,E823,"")</f>
      </c>
      <c r="M823" s="19" t="s">
        <v>2988</v>
      </c>
      <c r="N823" s="19" t="s">
        <v>2989</v>
      </c>
      <c r="O823" s="22">
        <f>IF(ISNUMBER(I823), EDATE(I823,36)-1, "")</f>
        <v>25569.375</v>
      </c>
      <c r="P823" s="9" t="s">
        <v>2992</v>
      </c>
      <c r="Q823" s="9" t="s">
        <v>166</v>
      </c>
      <c r="R823" s="9" t="s">
        <v>2502</v>
      </c>
      <c r="S823" s="9"/>
      <c r="T823" s="9"/>
      <c r="U823" s="9"/>
      <c r="V823" s="9"/>
      <c r="W823" s="9"/>
      <c r="X823" s="9"/>
      <c r="Y823" s="9"/>
      <c r="Z823" s="9"/>
    </row>
    <row x14ac:dyDescent="0.25" r="824" customHeight="1" ht="18.75">
      <c r="A824" s="9"/>
      <c r="B824" s="18" t="s">
        <v>16</v>
      </c>
      <c r="C824" s="9"/>
      <c r="D824" s="9"/>
      <c r="E824" s="18" t="s">
        <v>1121</v>
      </c>
      <c r="F824" s="19">
        <v>10000000</v>
      </c>
      <c r="G824" s="20">
        <v>800000</v>
      </c>
      <c r="H824" s="21">
        <v>45981</v>
      </c>
      <c r="I824" s="22">
        <f>IF(H824&gt;0,EDATE(H824,-2),"")</f>
        <v>25569.375</v>
      </c>
      <c r="J824" s="18" t="s">
        <v>212</v>
      </c>
      <c r="K824" s="18" t="s">
        <v>2993</v>
      </c>
      <c r="L824" s="23">
        <f>IF(E824&gt;0,E824,"")</f>
      </c>
      <c r="M824" s="19" t="s">
        <v>2994</v>
      </c>
      <c r="N824" s="19" t="s">
        <v>2995</v>
      </c>
      <c r="O824" s="22">
        <f>IF(ISNUMBER(I824), EDATE(I824,36)-1, "")</f>
        <v>25569.375</v>
      </c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x14ac:dyDescent="0.25" r="825" customHeight="1" ht="18.75">
      <c r="A825" s="24"/>
      <c r="B825" s="25" t="s">
        <v>16</v>
      </c>
      <c r="C825" s="24"/>
      <c r="D825" s="24"/>
      <c r="E825" s="25" t="s">
        <v>2996</v>
      </c>
      <c r="F825" s="26">
        <v>10000000</v>
      </c>
      <c r="G825" s="27"/>
      <c r="H825" s="28">
        <v>46183</v>
      </c>
      <c r="I825" s="29">
        <f>IF(H825&gt;0,EDATE(H825,-2),"")</f>
        <v>25569.375</v>
      </c>
      <c r="J825" s="25" t="s">
        <v>161</v>
      </c>
      <c r="K825" s="25" t="s">
        <v>2997</v>
      </c>
      <c r="L825" s="30">
        <f>IF(E825&gt;0,E825,"")</f>
      </c>
      <c r="M825" s="26" t="s">
        <v>2998</v>
      </c>
      <c r="N825" s="26" t="s">
        <v>2999</v>
      </c>
      <c r="O825" s="29">
        <f>IF(ISNUMBER(I825), EDATE(I825,36)-1, "")</f>
        <v>25569.375</v>
      </c>
      <c r="P825" s="24" t="s">
        <v>3000</v>
      </c>
      <c r="Q825" s="24" t="s">
        <v>166</v>
      </c>
      <c r="R825" s="24" t="s">
        <v>1849</v>
      </c>
      <c r="S825" s="9"/>
      <c r="T825" s="9"/>
      <c r="U825" s="9"/>
      <c r="V825" s="9"/>
      <c r="W825" s="9"/>
      <c r="X825" s="9"/>
      <c r="Y825" s="9"/>
      <c r="Z825" s="9"/>
    </row>
    <row x14ac:dyDescent="0.25" r="826" customHeight="1" ht="18.75">
      <c r="A826" s="9"/>
      <c r="B826" s="18" t="s">
        <v>16</v>
      </c>
      <c r="C826" s="9" t="s">
        <v>88</v>
      </c>
      <c r="D826" s="9" t="s">
        <v>14</v>
      </c>
      <c r="E826" s="18" t="s">
        <v>3001</v>
      </c>
      <c r="F826" s="19">
        <v>30000000</v>
      </c>
      <c r="G826" s="20">
        <v>3200000</v>
      </c>
      <c r="H826" s="21">
        <v>46205</v>
      </c>
      <c r="I826" s="22">
        <f>IF(H826&gt;0,EDATE(H826,-2),"")</f>
        <v>25569.375</v>
      </c>
      <c r="J826" s="18" t="s">
        <v>212</v>
      </c>
      <c r="K826" s="18" t="s">
        <v>3002</v>
      </c>
      <c r="L826" s="23">
        <f>IF(E826&gt;0,E826,"")</f>
      </c>
      <c r="M826" s="19" t="s">
        <v>3003</v>
      </c>
      <c r="N826" s="19">
        <v>73945830</v>
      </c>
      <c r="O826" s="22">
        <f>IF(ISNUMBER(I826), EDATE(I826,36)-1, "")</f>
        <v>25569.375</v>
      </c>
      <c r="P826" s="9"/>
      <c r="Q826" s="9"/>
      <c r="R826" s="9" t="s">
        <v>3004</v>
      </c>
      <c r="S826" s="9"/>
      <c r="T826" s="9"/>
      <c r="U826" s="9"/>
      <c r="V826" s="9"/>
      <c r="W826" s="9"/>
      <c r="X826" s="9"/>
      <c r="Y826" s="9"/>
      <c r="Z826" s="9"/>
    </row>
    <row x14ac:dyDescent="0.25" r="827" customHeight="1" ht="18.75">
      <c r="A827" s="9"/>
      <c r="B827" s="18" t="s">
        <v>16</v>
      </c>
      <c r="C827" s="9"/>
      <c r="D827" s="9"/>
      <c r="E827" s="18" t="s">
        <v>135</v>
      </c>
      <c r="F827" s="19">
        <v>10000000</v>
      </c>
      <c r="G827" s="8">
        <f>IF(F827&gt;0,_xludf.IFS(F827=10000000,800000,F827=20000000,1528000,F827=30000000,2028000,F827=60000000,4056000),"")</f>
      </c>
      <c r="H827" s="21">
        <v>46110</v>
      </c>
      <c r="I827" s="22">
        <f>IF(H827&gt;0,EDATE(H827,-2),"")</f>
        <v>25569.375</v>
      </c>
      <c r="J827" s="18" t="s">
        <v>261</v>
      </c>
      <c r="K827" s="18" t="s">
        <v>3005</v>
      </c>
      <c r="L827" s="23">
        <f>IF(E827&gt;0,E827,"")</f>
      </c>
      <c r="M827" s="19" t="s">
        <v>3003</v>
      </c>
      <c r="N827" s="19" t="s">
        <v>3006</v>
      </c>
      <c r="O827" s="22">
        <f>IF(ISNUMBER(I827), EDATE(I827,36)-1, "")</f>
        <v>25569.375</v>
      </c>
      <c r="P827" s="9"/>
      <c r="Q827" s="9" t="s">
        <v>3007</v>
      </c>
      <c r="R827" s="9"/>
      <c r="S827" s="9"/>
      <c r="T827" s="9"/>
      <c r="U827" s="9"/>
      <c r="V827" s="9"/>
      <c r="W827" s="9"/>
      <c r="X827" s="9"/>
      <c r="Y827" s="9"/>
      <c r="Z827" s="9"/>
    </row>
    <row x14ac:dyDescent="0.25" r="828" customHeight="1" ht="18.75">
      <c r="A828" s="9"/>
      <c r="B828" s="18" t="s">
        <v>16</v>
      </c>
      <c r="C828" s="9" t="s">
        <v>143</v>
      </c>
      <c r="D828" s="9" t="s">
        <v>22</v>
      </c>
      <c r="E828" s="18" t="s">
        <v>3008</v>
      </c>
      <c r="F828" s="19">
        <v>10000000</v>
      </c>
      <c r="G828" s="20">
        <v>800000</v>
      </c>
      <c r="H828" s="21">
        <v>46166</v>
      </c>
      <c r="I828" s="22">
        <f>IF(H828&gt;0,EDATE(H828,-2),"")</f>
        <v>25569.375</v>
      </c>
      <c r="J828" s="18" t="s">
        <v>205</v>
      </c>
      <c r="K828" s="18" t="s">
        <v>3009</v>
      </c>
      <c r="L828" s="23">
        <f>IF(E828&gt;0,E828,"")</f>
      </c>
      <c r="M828" s="19" t="s">
        <v>3010</v>
      </c>
      <c r="N828" s="19" t="s">
        <v>3011</v>
      </c>
      <c r="O828" s="22">
        <f>IF(ISNUMBER(I828), EDATE(I828,36)-1, "")</f>
        <v>25569.375</v>
      </c>
      <c r="P828" s="9" t="s">
        <v>3012</v>
      </c>
      <c r="Q828" s="9" t="s">
        <v>166</v>
      </c>
      <c r="R828" s="9"/>
      <c r="S828" s="9"/>
      <c r="T828" s="9"/>
      <c r="U828" s="9"/>
      <c r="V828" s="9"/>
      <c r="W828" s="9"/>
      <c r="X828" s="9"/>
      <c r="Y828" s="9"/>
      <c r="Z828" s="9"/>
    </row>
    <row x14ac:dyDescent="0.25" r="829" customHeight="1" ht="18.75">
      <c r="A829" s="9"/>
      <c r="B829" s="18" t="s">
        <v>16</v>
      </c>
      <c r="C829" s="9"/>
      <c r="D829" s="9"/>
      <c r="E829" s="18" t="s">
        <v>3013</v>
      </c>
      <c r="F829" s="19">
        <v>10000000</v>
      </c>
      <c r="G829" s="8">
        <f>IF(F829&gt;0,_xludf.IFS(F829=10000000,800000,F829=20000000,1528000,F829=30000000,2028000,F829=60000000,4056000),"")</f>
      </c>
      <c r="H829" s="21">
        <v>46072</v>
      </c>
      <c r="I829" s="22">
        <f>IF(H829&gt;0,EDATE(H829,-2),"")</f>
        <v>25569.375</v>
      </c>
      <c r="J829" s="18" t="s">
        <v>217</v>
      </c>
      <c r="K829" s="18" t="s">
        <v>3014</v>
      </c>
      <c r="L829" s="23">
        <f>IF(E829&gt;0,E829,"")</f>
      </c>
      <c r="M829" s="19" t="s">
        <v>3015</v>
      </c>
      <c r="N829" s="19" t="s">
        <v>3016</v>
      </c>
      <c r="O829" s="22">
        <f>IF(ISNUMBER(I829), EDATE(I829,36)-1, "")</f>
        <v>25569.375</v>
      </c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x14ac:dyDescent="0.25" r="830" customHeight="1" ht="18.75">
      <c r="A830" s="9"/>
      <c r="B830" s="18" t="s">
        <v>16</v>
      </c>
      <c r="C830" s="9"/>
      <c r="D830" s="9"/>
      <c r="E830" s="18" t="s">
        <v>136</v>
      </c>
      <c r="F830" s="19">
        <v>30000000</v>
      </c>
      <c r="G830" s="20">
        <v>2028000</v>
      </c>
      <c r="H830" s="21">
        <v>46042</v>
      </c>
      <c r="I830" s="22">
        <f>IF(H830&gt;0,EDATE(H830,-2),"")</f>
        <v>25569.375</v>
      </c>
      <c r="J830" s="18" t="s">
        <v>239</v>
      </c>
      <c r="K830" s="18" t="s">
        <v>3017</v>
      </c>
      <c r="L830" s="23">
        <f>IF(E830&gt;0,E830,"")</f>
      </c>
      <c r="M830" s="19" t="s">
        <v>3018</v>
      </c>
      <c r="N830" s="19" t="s">
        <v>3019</v>
      </c>
      <c r="O830" s="22">
        <f>IF(ISNUMBER(I830), EDATE(I830,36)-1, "")</f>
        <v>25569.375</v>
      </c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x14ac:dyDescent="0.25" r="831" customHeight="1" ht="18.75">
      <c r="A831" s="9"/>
      <c r="B831" s="18" t="s">
        <v>16</v>
      </c>
      <c r="C831" s="9"/>
      <c r="D831" s="9"/>
      <c r="E831" s="18" t="s">
        <v>3020</v>
      </c>
      <c r="F831" s="19">
        <v>30000000</v>
      </c>
      <c r="G831" s="8">
        <f>IF(F831&gt;0,_xludf.IFS(F831=10000000,1200000,F831=20000000,1800000,F831=30000000,2400000,F831=60000000,4000000),"")</f>
      </c>
      <c r="H831" s="21">
        <v>46042</v>
      </c>
      <c r="I831" s="22">
        <f>IF(H831&gt;0,EDATE(H831,-2),"")</f>
        <v>25569.375</v>
      </c>
      <c r="J831" s="18" t="s">
        <v>239</v>
      </c>
      <c r="K831" s="18" t="s">
        <v>3017</v>
      </c>
      <c r="L831" s="23">
        <f>IF(E831&gt;0,E831,"")</f>
      </c>
      <c r="M831" s="19" t="s">
        <v>3018</v>
      </c>
      <c r="N831" s="19">
        <v>50671034</v>
      </c>
      <c r="O831" s="22">
        <f>IF(ISNUMBER(I831), EDATE(I831,36)-1, "")</f>
        <v>25569.375</v>
      </c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x14ac:dyDescent="0.25" r="832" customHeight="1" ht="18.75">
      <c r="A832" s="9"/>
      <c r="B832" s="18" t="s">
        <v>16</v>
      </c>
      <c r="C832" s="9"/>
      <c r="D832" s="9"/>
      <c r="E832" s="18" t="s">
        <v>3021</v>
      </c>
      <c r="F832" s="19">
        <v>10000000</v>
      </c>
      <c r="G832" s="20"/>
      <c r="H832" s="21">
        <v>46184</v>
      </c>
      <c r="I832" s="22">
        <f>IF(H832&gt;0,EDATE(H832,-2),"")</f>
        <v>25569.375</v>
      </c>
      <c r="J832" s="18" t="s">
        <v>168</v>
      </c>
      <c r="K832" s="18" t="s">
        <v>471</v>
      </c>
      <c r="L832" s="23">
        <f>IF(E832&gt;0,E832,"")</f>
      </c>
      <c r="M832" s="19" t="s">
        <v>3022</v>
      </c>
      <c r="N832" s="19" t="s">
        <v>3023</v>
      </c>
      <c r="O832" s="22">
        <f>IF(ISNUMBER(I832), EDATE(I832,36)-1, "")</f>
        <v>25569.375</v>
      </c>
      <c r="P832" s="9" t="s">
        <v>3024</v>
      </c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x14ac:dyDescent="0.25" r="833" customHeight="1" ht="18.75">
      <c r="A833" s="9" t="s">
        <v>275</v>
      </c>
      <c r="B833" s="18" t="s">
        <v>16</v>
      </c>
      <c r="C833" s="9"/>
      <c r="D833" s="9"/>
      <c r="E833" s="18" t="s">
        <v>3021</v>
      </c>
      <c r="F833" s="19">
        <v>10000000</v>
      </c>
      <c r="G833" s="20"/>
      <c r="H833" s="21">
        <v>46184</v>
      </c>
      <c r="I833" s="22">
        <f>IF(H833&gt;0,EDATE(H833,-2),"")</f>
        <v>25569.375</v>
      </c>
      <c r="J833" s="18" t="s">
        <v>168</v>
      </c>
      <c r="K833" s="18" t="s">
        <v>471</v>
      </c>
      <c r="L833" s="23">
        <f>IF(E833&gt;0,E833,"")</f>
      </c>
      <c r="M833" s="19" t="s">
        <v>3025</v>
      </c>
      <c r="N833" s="19">
        <v>33882272</v>
      </c>
      <c r="O833" s="22">
        <f>IF(ISNUMBER(I833), EDATE(I833,36)-1, "")</f>
        <v>25569.375</v>
      </c>
      <c r="P833" s="9"/>
      <c r="Q833" s="9"/>
      <c r="R833" s="9" t="s">
        <v>61</v>
      </c>
      <c r="S833" s="9"/>
      <c r="T833" s="9"/>
      <c r="U833" s="9"/>
      <c r="V833" s="9"/>
      <c r="W833" s="9"/>
      <c r="X833" s="9"/>
      <c r="Y833" s="9"/>
      <c r="Z833" s="9"/>
    </row>
    <row x14ac:dyDescent="0.25" r="834" customHeight="1" ht="18.75">
      <c r="A834" s="9"/>
      <c r="B834" s="18" t="s">
        <v>16</v>
      </c>
      <c r="C834" s="9"/>
      <c r="D834" s="9"/>
      <c r="E834" s="18" t="s">
        <v>137</v>
      </c>
      <c r="F834" s="19">
        <v>5000000</v>
      </c>
      <c r="G834" s="20">
        <v>800000</v>
      </c>
      <c r="H834" s="21">
        <v>46114</v>
      </c>
      <c r="I834" s="22">
        <f>IF(H834&gt;0,EDATE(H834,-2),"")</f>
        <v>25569.375</v>
      </c>
      <c r="J834" s="18" t="s">
        <v>161</v>
      </c>
      <c r="K834" s="18" t="s">
        <v>1055</v>
      </c>
      <c r="L834" s="23">
        <f>IF(E834&gt;0,E834,"")</f>
      </c>
      <c r="M834" s="19" t="s">
        <v>3026</v>
      </c>
      <c r="N834" s="19" t="s">
        <v>3027</v>
      </c>
      <c r="O834" s="22">
        <f>IF(ISNUMBER(I834), EDATE(I834,36)-1, "")</f>
        <v>25569.375</v>
      </c>
      <c r="P834" s="9"/>
      <c r="Q834" s="9" t="s">
        <v>166</v>
      </c>
      <c r="R834" s="9" t="s">
        <v>138</v>
      </c>
      <c r="S834" s="9"/>
      <c r="T834" s="9"/>
      <c r="U834" s="9"/>
      <c r="V834" s="9"/>
      <c r="W834" s="9"/>
      <c r="X834" s="9"/>
      <c r="Y834" s="9"/>
      <c r="Z834" s="9"/>
    </row>
    <row x14ac:dyDescent="0.25" r="835" customHeight="1" ht="18.75">
      <c r="A835" s="9"/>
      <c r="B835" s="18" t="s">
        <v>16</v>
      </c>
      <c r="C835" s="9"/>
      <c r="D835" s="9" t="s">
        <v>22</v>
      </c>
      <c r="E835" s="18" t="s">
        <v>3028</v>
      </c>
      <c r="F835" s="19">
        <v>10000000</v>
      </c>
      <c r="G835" s="8">
        <f>IF(F835&gt;0,_xludf.IFS(F835=10000000,1200000,F835=20000000,1800000,F835=30000000,2400000,F835=60000000,4000000),"")</f>
      </c>
      <c r="H835" s="21">
        <v>46165</v>
      </c>
      <c r="I835" s="22">
        <f>IF(H835&gt;0,EDATE(H835,-2),"")</f>
        <v>25569.375</v>
      </c>
      <c r="J835" s="18" t="s">
        <v>161</v>
      </c>
      <c r="K835" s="18" t="s">
        <v>3029</v>
      </c>
      <c r="L835" s="23">
        <f>IF(E835&gt;0,E835,"")</f>
      </c>
      <c r="M835" s="19" t="s">
        <v>3030</v>
      </c>
      <c r="N835" s="19" t="s">
        <v>3031</v>
      </c>
      <c r="O835" s="22">
        <f>IF(ISNUMBER(I835), EDATE(I835,36)-1, "")</f>
        <v>25569.375</v>
      </c>
      <c r="P835" s="9" t="s">
        <v>3032</v>
      </c>
      <c r="Q835" s="9" t="s">
        <v>179</v>
      </c>
      <c r="R835" s="9"/>
      <c r="S835" s="9"/>
      <c r="T835" s="9"/>
      <c r="U835" s="9"/>
      <c r="V835" s="9"/>
      <c r="W835" s="9"/>
      <c r="X835" s="9"/>
      <c r="Y835" s="9"/>
      <c r="Z835" s="9"/>
    </row>
    <row x14ac:dyDescent="0.25" r="836" customHeight="1" ht="18.75">
      <c r="A836" s="9"/>
      <c r="B836" s="18" t="s">
        <v>16</v>
      </c>
      <c r="C836" s="9"/>
      <c r="D836" s="9"/>
      <c r="E836" s="18" t="s">
        <v>3033</v>
      </c>
      <c r="F836" s="19">
        <v>30000000</v>
      </c>
      <c r="G836" s="8">
        <f>IF(F836&gt;0,_xludf.IFS(F836=10000000,1200000,F836=20000000,1800000,F836=30000000,2400000,F836=60000000,4000000),"")</f>
      </c>
      <c r="H836" s="21">
        <v>45910</v>
      </c>
      <c r="I836" s="22">
        <f>IF(H836&gt;0,EDATE(H836,-2),"")</f>
        <v>25569.375</v>
      </c>
      <c r="J836" s="18" t="s">
        <v>212</v>
      </c>
      <c r="K836" s="18" t="s">
        <v>3034</v>
      </c>
      <c r="L836" s="23">
        <f>IF(E836&gt;0,E836,"")</f>
      </c>
      <c r="M836" s="19" t="s">
        <v>3035</v>
      </c>
      <c r="N836" s="19" t="s">
        <v>3036</v>
      </c>
      <c r="O836" s="22">
        <f>IF(ISNUMBER(I836), EDATE(I836,36)-1, "")</f>
        <v>25569.375</v>
      </c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x14ac:dyDescent="0.25" r="837" customHeight="1" ht="18.75">
      <c r="A837" s="9"/>
      <c r="B837" s="18" t="s">
        <v>16</v>
      </c>
      <c r="C837" s="9"/>
      <c r="D837" s="9"/>
      <c r="E837" s="18" t="s">
        <v>3037</v>
      </c>
      <c r="F837" s="19">
        <v>30000000</v>
      </c>
      <c r="G837" s="20">
        <v>2028000</v>
      </c>
      <c r="H837" s="21">
        <v>45949</v>
      </c>
      <c r="I837" s="22">
        <f>IF(H837&gt;0,EDATE(H837,-2),"")</f>
        <v>25569.375</v>
      </c>
      <c r="J837" s="18"/>
      <c r="K837" s="18" t="s">
        <v>3038</v>
      </c>
      <c r="L837" s="23">
        <f>IF(E837&gt;0,E837,"")</f>
      </c>
      <c r="M837" s="19" t="s">
        <v>3039</v>
      </c>
      <c r="N837" s="19" t="s">
        <v>3040</v>
      </c>
      <c r="O837" s="22">
        <f>IF(ISNUMBER(I837), EDATE(I837,36)-1, "")</f>
        <v>25569.375</v>
      </c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x14ac:dyDescent="0.25" r="838" customHeight="1" ht="18.75">
      <c r="A838" s="9"/>
      <c r="B838" s="18" t="s">
        <v>16</v>
      </c>
      <c r="C838" s="9"/>
      <c r="D838" s="9"/>
      <c r="E838" s="18" t="s">
        <v>3041</v>
      </c>
      <c r="F838" s="19">
        <v>10000000</v>
      </c>
      <c r="G838" s="20">
        <v>800000</v>
      </c>
      <c r="H838" s="21">
        <v>46159</v>
      </c>
      <c r="I838" s="22">
        <f>IF(H838&gt;0,EDATE(H838,-2),"")</f>
        <v>25569.375</v>
      </c>
      <c r="J838" s="18" t="s">
        <v>217</v>
      </c>
      <c r="K838" s="18" t="s">
        <v>3042</v>
      </c>
      <c r="L838" s="23">
        <f>IF(E838&gt;0,E838,"")</f>
      </c>
      <c r="M838" s="19" t="s">
        <v>3043</v>
      </c>
      <c r="N838" s="19" t="s">
        <v>3044</v>
      </c>
      <c r="O838" s="22">
        <f>IF(ISNUMBER(I838), EDATE(I838,36)-1, "")</f>
        <v>25569.375</v>
      </c>
      <c r="P838" s="9" t="s">
        <v>3045</v>
      </c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x14ac:dyDescent="0.25" r="839" customHeight="1" ht="18.75">
      <c r="A839" s="9"/>
      <c r="B839" s="18" t="s">
        <v>16</v>
      </c>
      <c r="C839" s="9" t="s">
        <v>55</v>
      </c>
      <c r="D839" s="9" t="s">
        <v>56</v>
      </c>
      <c r="E839" s="18" t="s">
        <v>726</v>
      </c>
      <c r="F839" s="19">
        <v>10000000</v>
      </c>
      <c r="G839" s="20">
        <v>800000</v>
      </c>
      <c r="H839" s="21">
        <v>46050</v>
      </c>
      <c r="I839" s="22">
        <f>IF(H839&gt;0,EDATE(H839,-2),"")</f>
        <v>25569.375</v>
      </c>
      <c r="J839" s="18" t="s">
        <v>239</v>
      </c>
      <c r="K839" s="18" t="s">
        <v>3046</v>
      </c>
      <c r="L839" s="23">
        <f>IF(E839&gt;0,E839,"")</f>
      </c>
      <c r="M839" s="19" t="s">
        <v>3047</v>
      </c>
      <c r="N839" s="19" t="s">
        <v>3048</v>
      </c>
      <c r="O839" s="22">
        <f>IF(ISNUMBER(I839), EDATE(I839,36)-1, "")</f>
        <v>25569.375</v>
      </c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x14ac:dyDescent="0.25" r="840" customHeight="1" ht="18.75">
      <c r="A840" s="9"/>
      <c r="B840" s="18" t="s">
        <v>16</v>
      </c>
      <c r="C840" s="9" t="s">
        <v>55</v>
      </c>
      <c r="D840" s="9" t="s">
        <v>56</v>
      </c>
      <c r="E840" s="18" t="s">
        <v>726</v>
      </c>
      <c r="F840" s="19">
        <v>10000000</v>
      </c>
      <c r="G840" s="20">
        <v>800000</v>
      </c>
      <c r="H840" s="21">
        <v>46167</v>
      </c>
      <c r="I840" s="22">
        <f>IF(H840&gt;0,EDATE(H840,-2),"")</f>
        <v>25569.375</v>
      </c>
      <c r="J840" s="18" t="s">
        <v>239</v>
      </c>
      <c r="K840" s="18" t="s">
        <v>3049</v>
      </c>
      <c r="L840" s="23">
        <f>IF(E840&gt;0,E840,"")</f>
      </c>
      <c r="M840" s="19" t="s">
        <v>3047</v>
      </c>
      <c r="N840" s="19" t="s">
        <v>3048</v>
      </c>
      <c r="O840" s="22">
        <f>IF(ISNUMBER(I840), EDATE(I840,36)-1, "")</f>
        <v>25569.375</v>
      </c>
      <c r="P840" s="9" t="s">
        <v>3050</v>
      </c>
      <c r="Q840" s="9" t="s">
        <v>166</v>
      </c>
      <c r="R840" s="9"/>
      <c r="S840" s="9"/>
      <c r="T840" s="9"/>
      <c r="U840" s="9"/>
      <c r="V840" s="9"/>
      <c r="W840" s="9"/>
      <c r="X840" s="9"/>
      <c r="Y840" s="9"/>
      <c r="Z840" s="9"/>
    </row>
    <row x14ac:dyDescent="0.25" r="841" customHeight="1" ht="18.75">
      <c r="A841" s="9"/>
      <c r="B841" s="18" t="s">
        <v>16</v>
      </c>
      <c r="C841" s="9" t="s">
        <v>55</v>
      </c>
      <c r="D841" s="9" t="s">
        <v>56</v>
      </c>
      <c r="E841" s="18" t="s">
        <v>726</v>
      </c>
      <c r="F841" s="19">
        <v>10000000</v>
      </c>
      <c r="G841" s="20">
        <v>1200000</v>
      </c>
      <c r="H841" s="21">
        <v>46213</v>
      </c>
      <c r="I841" s="22">
        <f>IF(H841&gt;0,EDATE(H841,-2),"")</f>
        <v>25569.375</v>
      </c>
      <c r="J841" s="18" t="s">
        <v>239</v>
      </c>
      <c r="K841" s="18" t="s">
        <v>3046</v>
      </c>
      <c r="L841" s="23">
        <f>IF(E841&gt;0,E841,"")</f>
      </c>
      <c r="M841" s="19" t="s">
        <v>3047</v>
      </c>
      <c r="N841" s="19">
        <v>63752406</v>
      </c>
      <c r="O841" s="22">
        <f>IF(ISNUMBER(I841), EDATE(I841,36)-1, "")</f>
        <v>25569.375</v>
      </c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x14ac:dyDescent="0.25" r="842" customHeight="1" ht="18.75">
      <c r="A842" s="9"/>
      <c r="B842" s="18" t="s">
        <v>16</v>
      </c>
      <c r="C842" s="9" t="s">
        <v>143</v>
      </c>
      <c r="D842" s="9" t="s">
        <v>22</v>
      </c>
      <c r="E842" s="18" t="s">
        <v>3051</v>
      </c>
      <c r="F842" s="19">
        <v>10000000</v>
      </c>
      <c r="G842" s="8">
        <f>IF(F842&gt;0,_xludf.IFS(F842=10000000,1200000,F842=20000000,1800000,F842=30000000,2400000,F842=60000000,4000000),"")</f>
      </c>
      <c r="H842" s="21">
        <v>46166</v>
      </c>
      <c r="I842" s="22">
        <f>IF(H842&gt;0,EDATE(H842,-2),"")</f>
        <v>25569.375</v>
      </c>
      <c r="J842" s="18" t="s">
        <v>168</v>
      </c>
      <c r="K842" s="18" t="s">
        <v>3052</v>
      </c>
      <c r="L842" s="23">
        <f>IF(E842&gt;0,E842,"")</f>
      </c>
      <c r="M842" s="19" t="s">
        <v>3053</v>
      </c>
      <c r="N842" s="19" t="s">
        <v>3054</v>
      </c>
      <c r="O842" s="22">
        <f>IF(ISNUMBER(I842), EDATE(I842,36)-1, "")</f>
        <v>25569.375</v>
      </c>
      <c r="P842" s="9" t="s">
        <v>178</v>
      </c>
      <c r="Q842" s="9" t="s">
        <v>166</v>
      </c>
      <c r="R842" s="9"/>
      <c r="S842" s="9"/>
      <c r="T842" s="9"/>
      <c r="U842" s="9"/>
      <c r="V842" s="9"/>
      <c r="W842" s="9"/>
      <c r="X842" s="9"/>
      <c r="Y842" s="9"/>
      <c r="Z842" s="9"/>
    </row>
    <row x14ac:dyDescent="0.25" r="843" customHeight="1" ht="18.75">
      <c r="A843" s="9"/>
      <c r="B843" s="18" t="s">
        <v>16</v>
      </c>
      <c r="C843" s="9" t="s">
        <v>816</v>
      </c>
      <c r="D843" s="9" t="s">
        <v>114</v>
      </c>
      <c r="E843" s="18" t="s">
        <v>3055</v>
      </c>
      <c r="F843" s="19">
        <v>60000000</v>
      </c>
      <c r="G843" s="8">
        <f>IF(F843&gt;0,_xludf.IFS(F843=10000000,1200000,F843=20000000,1800000,F843=30000000,2400000,F843=60000000,4000000),"")</f>
      </c>
      <c r="H843" s="21">
        <v>46229</v>
      </c>
      <c r="I843" s="22">
        <f>IF(H843&gt;0,EDATE(H843,-2),"")</f>
        <v>25569.375</v>
      </c>
      <c r="J843" s="18" t="s">
        <v>217</v>
      </c>
      <c r="K843" s="18" t="s">
        <v>3056</v>
      </c>
      <c r="L843" s="23">
        <f>IF(E843&gt;0,E843,"")</f>
      </c>
      <c r="M843" s="19">
        <v>5503152473730</v>
      </c>
      <c r="N843" s="19">
        <v>63296283</v>
      </c>
      <c r="O843" s="22">
        <f>IF(ISNUMBER(I843), EDATE(I843,36)-1, "")</f>
        <v>25569.375</v>
      </c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x14ac:dyDescent="0.25" r="844" customHeight="1" ht="18.75">
      <c r="A844" s="9"/>
      <c r="B844" s="18" t="s">
        <v>16</v>
      </c>
      <c r="C844" s="9"/>
      <c r="D844" s="9"/>
      <c r="E844" s="18" t="s">
        <v>3057</v>
      </c>
      <c r="F844" s="19">
        <v>10000000</v>
      </c>
      <c r="G844" s="20">
        <v>800000</v>
      </c>
      <c r="H844" s="21">
        <v>46102</v>
      </c>
      <c r="I844" s="22">
        <f>IF(H844&gt;0,EDATE(H844,-2),"")</f>
        <v>25569.375</v>
      </c>
      <c r="J844" s="18" t="s">
        <v>155</v>
      </c>
      <c r="K844" s="18" t="s">
        <v>478</v>
      </c>
      <c r="L844" s="23">
        <f>IF(E844&gt;0,E844,"")</f>
      </c>
      <c r="M844" s="19" t="s">
        <v>3058</v>
      </c>
      <c r="N844" s="19" t="s">
        <v>3059</v>
      </c>
      <c r="O844" s="22">
        <f>IF(ISNUMBER(I844), EDATE(I844,36)-1, "")</f>
        <v>25569.375</v>
      </c>
      <c r="P844" s="9"/>
      <c r="Q844" s="9" t="s">
        <v>1178</v>
      </c>
      <c r="R844" s="9"/>
      <c r="S844" s="9"/>
      <c r="T844" s="9"/>
      <c r="U844" s="9"/>
      <c r="V844" s="9"/>
      <c r="W844" s="9"/>
      <c r="X844" s="9"/>
      <c r="Y844" s="9"/>
      <c r="Z844" s="9"/>
    </row>
    <row x14ac:dyDescent="0.25" r="845" customHeight="1" ht="18.75">
      <c r="A845" s="9"/>
      <c r="B845" s="18" t="s">
        <v>16</v>
      </c>
      <c r="C845" s="9"/>
      <c r="D845" s="9" t="s">
        <v>862</v>
      </c>
      <c r="E845" s="18" t="s">
        <v>958</v>
      </c>
      <c r="F845" s="19">
        <v>30000000</v>
      </c>
      <c r="G845" s="8">
        <f>IF(F845&gt;0,_xludf.IFS(F845=10000000,1200000,F845=20000000,1800000,F845=30000000,2400000,F845=60000000,4000000),"")</f>
      </c>
      <c r="H845" s="21">
        <v>46083</v>
      </c>
      <c r="I845" s="22">
        <f>IF(H845&gt;0,EDATE(H845,-2),"")</f>
        <v>25569.375</v>
      </c>
      <c r="J845" s="18" t="s">
        <v>988</v>
      </c>
      <c r="K845" s="18" t="s">
        <v>3060</v>
      </c>
      <c r="L845" s="23">
        <f>IF(E845&gt;0,E845,"")</f>
      </c>
      <c r="M845" s="19" t="s">
        <v>3061</v>
      </c>
      <c r="N845" s="19">
        <v>39171399</v>
      </c>
      <c r="O845" s="22">
        <f>IF(ISNUMBER(I845), EDATE(I845,36)-1, "")</f>
        <v>25569.375</v>
      </c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x14ac:dyDescent="0.25" r="846" customHeight="1" ht="18.75">
      <c r="A846" s="9"/>
      <c r="B846" s="18" t="s">
        <v>16</v>
      </c>
      <c r="C846" s="9"/>
      <c r="D846" s="9" t="s">
        <v>357</v>
      </c>
      <c r="E846" s="18" t="s">
        <v>3062</v>
      </c>
      <c r="F846" s="19">
        <v>20000000</v>
      </c>
      <c r="G846" s="8">
        <f>IF(F846&gt;0,_xludf.IFS(F846=10000000,1200000,F846=20000000,1800000,F846=30000000,2400000,F846=60000000,4000000),"")</f>
      </c>
      <c r="H846" s="21">
        <v>46195</v>
      </c>
      <c r="I846" s="22">
        <f>IF(H846&gt;0,EDATE(H846,-2),"")</f>
        <v>25569.375</v>
      </c>
      <c r="J846" s="18" t="s">
        <v>168</v>
      </c>
      <c r="K846" s="18" t="s">
        <v>3063</v>
      </c>
      <c r="L846" s="23">
        <f>IF(E846&gt;0,E846,"")</f>
      </c>
      <c r="M846" s="19" t="s">
        <v>3064</v>
      </c>
      <c r="N846" s="19">
        <v>29360809</v>
      </c>
      <c r="O846" s="22">
        <f>IF(ISNUMBER(I846), EDATE(I846,36)-1, "")</f>
        <v>25569.375</v>
      </c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x14ac:dyDescent="0.25" r="847" customHeight="1" ht="18.75">
      <c r="A847" s="9"/>
      <c r="B847" s="18" t="s">
        <v>16</v>
      </c>
      <c r="C847" s="9" t="s">
        <v>80</v>
      </c>
      <c r="D847" s="9"/>
      <c r="E847" s="18" t="s">
        <v>3065</v>
      </c>
      <c r="F847" s="19">
        <v>10000000</v>
      </c>
      <c r="G847" s="8">
        <f>IF(F847&gt;0,_xludf.IFS(F847=10000000,1200000,F847=20000000,1800000,F847=30000000,2400000,F847=60000000,4000000),"")</f>
      </c>
      <c r="H847" s="21">
        <v>46185</v>
      </c>
      <c r="I847" s="22">
        <f>IF(H847&gt;0,EDATE(H847,-2),"")</f>
        <v>25569.375</v>
      </c>
      <c r="J847" s="18" t="s">
        <v>168</v>
      </c>
      <c r="K847" s="18" t="s">
        <v>3066</v>
      </c>
      <c r="L847" s="23">
        <f>IF(E847&gt;0,E847,"")</f>
      </c>
      <c r="M847" s="19" t="s">
        <v>3067</v>
      </c>
      <c r="N847" s="19" t="s">
        <v>3068</v>
      </c>
      <c r="O847" s="22">
        <f>IF(ISNUMBER(I847), EDATE(I847,36)-1, "")</f>
        <v>25569.375</v>
      </c>
      <c r="P847" s="9" t="s">
        <v>3069</v>
      </c>
      <c r="Q847" s="9" t="s">
        <v>166</v>
      </c>
      <c r="R847" s="9"/>
      <c r="S847" s="9"/>
      <c r="T847" s="9"/>
      <c r="U847" s="9"/>
      <c r="V847" s="9"/>
      <c r="W847" s="9"/>
      <c r="X847" s="9"/>
      <c r="Y847" s="9"/>
      <c r="Z847" s="9"/>
    </row>
    <row x14ac:dyDescent="0.25" r="848" customHeight="1" ht="18.75">
      <c r="A848" s="9"/>
      <c r="B848" s="18" t="s">
        <v>16</v>
      </c>
      <c r="C848" s="9"/>
      <c r="D848" s="9"/>
      <c r="E848" s="18" t="s">
        <v>3070</v>
      </c>
      <c r="F848" s="19">
        <v>30000000</v>
      </c>
      <c r="G848" s="8">
        <f>IF(F848&gt;0,_xludf.IFS(F848=10000000,1200000,F848=20000000,1800000,F848=30000000,2400000,F848=60000000,4000000),"")</f>
      </c>
      <c r="H848" s="21">
        <v>45924</v>
      </c>
      <c r="I848" s="22">
        <f>IF(H848&gt;0,EDATE(H848,-2),"")</f>
        <v>25569.375</v>
      </c>
      <c r="J848" s="18" t="s">
        <v>217</v>
      </c>
      <c r="K848" s="18" t="s">
        <v>2030</v>
      </c>
      <c r="L848" s="23">
        <f>IF(E848&gt;0,E848,"")</f>
      </c>
      <c r="M848" s="19" t="s">
        <v>3071</v>
      </c>
      <c r="N848" s="19" t="s">
        <v>2032</v>
      </c>
      <c r="O848" s="22">
        <f>IF(ISNUMBER(I848), EDATE(I848,36)-1, "")</f>
        <v>25569.375</v>
      </c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x14ac:dyDescent="0.25" r="849" customHeight="1" ht="18.75">
      <c r="A849" s="9"/>
      <c r="B849" s="18" t="s">
        <v>16</v>
      </c>
      <c r="C849" s="9"/>
      <c r="D849" s="9"/>
      <c r="E849" s="18" t="s">
        <v>3072</v>
      </c>
      <c r="F849" s="19">
        <v>10000000</v>
      </c>
      <c r="G849" s="20">
        <v>800000</v>
      </c>
      <c r="H849" s="21">
        <v>45915</v>
      </c>
      <c r="I849" s="22">
        <f>IF(H849&gt;0,EDATE(H849,-2),"")</f>
        <v>25569.375</v>
      </c>
      <c r="J849" s="18" t="s">
        <v>168</v>
      </c>
      <c r="K849" s="18" t="s">
        <v>3073</v>
      </c>
      <c r="L849" s="23">
        <f>IF(E849&gt;0,E849,"")</f>
      </c>
      <c r="M849" s="19" t="s">
        <v>3074</v>
      </c>
      <c r="N849" s="19" t="s">
        <v>3075</v>
      </c>
      <c r="O849" s="22">
        <f>IF(ISNUMBER(I849), EDATE(I849,36)-1, "")</f>
        <v>25569.375</v>
      </c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x14ac:dyDescent="0.25" r="850" customHeight="1" ht="18.75">
      <c r="A850" s="9"/>
      <c r="B850" s="18" t="s">
        <v>16</v>
      </c>
      <c r="C850" s="9" t="s">
        <v>454</v>
      </c>
      <c r="D850" s="9"/>
      <c r="E850" s="18" t="s">
        <v>3076</v>
      </c>
      <c r="F850" s="19">
        <v>10000000</v>
      </c>
      <c r="G850" s="20">
        <v>800000</v>
      </c>
      <c r="H850" s="21">
        <v>46154</v>
      </c>
      <c r="I850" s="22">
        <f>IF(H850&gt;0,EDATE(H850,-2),"")</f>
        <v>25569.375</v>
      </c>
      <c r="J850" s="18" t="s">
        <v>155</v>
      </c>
      <c r="K850" s="18" t="s">
        <v>3077</v>
      </c>
      <c r="L850" s="18" t="s">
        <v>3076</v>
      </c>
      <c r="M850" s="19" t="s">
        <v>3078</v>
      </c>
      <c r="N850" s="19" t="s">
        <v>3079</v>
      </c>
      <c r="O850" s="22">
        <f>IF(ISNUMBER(I850), EDATE(I850,36)-1, "")</f>
        <v>25569.375</v>
      </c>
      <c r="P850" s="9" t="s">
        <v>3080</v>
      </c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x14ac:dyDescent="0.25" r="851" customHeight="1" ht="18.75">
      <c r="A851" s="9"/>
      <c r="B851" s="18" t="s">
        <v>16</v>
      </c>
      <c r="C851" s="9"/>
      <c r="D851" s="9"/>
      <c r="E851" s="18" t="s">
        <v>3081</v>
      </c>
      <c r="F851" s="19">
        <v>40000000</v>
      </c>
      <c r="G851" s="20">
        <v>3200000</v>
      </c>
      <c r="H851" s="21">
        <v>45896</v>
      </c>
      <c r="I851" s="22">
        <f>IF(H851&gt;0,EDATE(H851,-2),"")</f>
        <v>25569.375</v>
      </c>
      <c r="J851" s="18" t="s">
        <v>940</v>
      </c>
      <c r="K851" s="18" t="s">
        <v>3082</v>
      </c>
      <c r="L851" s="18" t="s">
        <v>3081</v>
      </c>
      <c r="M851" s="19" t="s">
        <v>3083</v>
      </c>
      <c r="N851" s="19" t="s">
        <v>3084</v>
      </c>
      <c r="O851" s="22">
        <f>IF(ISNUMBER(I851), EDATE(I851,36)-1, "")</f>
        <v>25569.375</v>
      </c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x14ac:dyDescent="0.25" r="852" customHeight="1" ht="18.75">
      <c r="A852" s="9"/>
      <c r="B852" s="18" t="s">
        <v>16</v>
      </c>
      <c r="C852" s="9" t="s">
        <v>55</v>
      </c>
      <c r="D852" s="9" t="s">
        <v>56</v>
      </c>
      <c r="E852" s="18" t="s">
        <v>3085</v>
      </c>
      <c r="F852" s="19">
        <v>10000000</v>
      </c>
      <c r="G852" s="20">
        <v>1200000</v>
      </c>
      <c r="H852" s="21">
        <v>46212</v>
      </c>
      <c r="I852" s="22">
        <f>IF(H852&gt;0,EDATE(H852,-2),"")</f>
        <v>25569.375</v>
      </c>
      <c r="J852" s="18" t="s">
        <v>155</v>
      </c>
      <c r="K852" s="18" t="s">
        <v>3086</v>
      </c>
      <c r="L852" s="23">
        <f>IF(E863&gt;0,E863,"")</f>
      </c>
      <c r="M852" s="19">
        <v>7906292063142</v>
      </c>
      <c r="N852" s="19">
        <v>20022801</v>
      </c>
      <c r="O852" s="22">
        <f>IF(ISNUMBER(I852), EDATE(I852,36)-1, "")</f>
        <v>25569.375</v>
      </c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x14ac:dyDescent="0.25" r="853" customHeight="1" ht="18.75">
      <c r="A853" s="9" t="s">
        <v>152</v>
      </c>
      <c r="B853" s="18" t="s">
        <v>16</v>
      </c>
      <c r="C853" s="9" t="s">
        <v>900</v>
      </c>
      <c r="D853" s="9" t="s">
        <v>1393</v>
      </c>
      <c r="E853" s="18" t="s">
        <v>3087</v>
      </c>
      <c r="F853" s="19">
        <v>20000000</v>
      </c>
      <c r="G853" s="8">
        <f>IF(F853&gt;0,_xludf.IFS(F853=10000000,1200000,F853=20000000,1800000,F853=30000000,2400000,F853=60000000,4000000),"")</f>
      </c>
      <c r="H853" s="21">
        <v>46188</v>
      </c>
      <c r="I853" s="22">
        <f>IF(H853&gt;0,EDATE(H853,-2),"")</f>
        <v>25569.375</v>
      </c>
      <c r="J853" s="18" t="s">
        <v>155</v>
      </c>
      <c r="K853" s="18" t="s">
        <v>3088</v>
      </c>
      <c r="L853" s="23">
        <f>IF(E866&gt;0,E866,"")</f>
      </c>
      <c r="M853" s="19">
        <v>3034169229</v>
      </c>
      <c r="N853" s="19">
        <v>22669229</v>
      </c>
      <c r="O853" s="22">
        <f>IF(ISNUMBER(I853), EDATE(I853,36)-1, "")</f>
        <v>25569.375</v>
      </c>
      <c r="P853" s="9"/>
      <c r="Q853" s="9"/>
      <c r="R853" s="9" t="s">
        <v>3089</v>
      </c>
      <c r="S853" s="9"/>
      <c r="T853" s="9"/>
      <c r="U853" s="9"/>
      <c r="V853" s="9"/>
      <c r="W853" s="9"/>
      <c r="X853" s="9"/>
      <c r="Y853" s="9"/>
      <c r="Z853" s="9"/>
    </row>
    <row x14ac:dyDescent="0.25" r="854" customHeight="1" ht="18.75">
      <c r="A854" s="9"/>
      <c r="B854" s="18" t="s">
        <v>16</v>
      </c>
      <c r="C854" s="9"/>
      <c r="D854" s="9"/>
      <c r="E854" s="18" t="s">
        <v>139</v>
      </c>
      <c r="F854" s="19">
        <v>30000000</v>
      </c>
      <c r="G854" s="20">
        <v>2028000</v>
      </c>
      <c r="H854" s="21">
        <v>46064</v>
      </c>
      <c r="I854" s="22">
        <f>IF(H854&gt;0,EDATE(H854,-2),"")</f>
        <v>25569.375</v>
      </c>
      <c r="J854" s="18" t="s">
        <v>239</v>
      </c>
      <c r="K854" s="18" t="s">
        <v>3090</v>
      </c>
      <c r="L854" s="18" t="s">
        <v>139</v>
      </c>
      <c r="M854" s="19" t="s">
        <v>3091</v>
      </c>
      <c r="N854" s="19" t="s">
        <v>3092</v>
      </c>
      <c r="O854" s="22">
        <f>IF(ISNUMBER(I854), EDATE(I854,36)-1, "")</f>
        <v>25569.375</v>
      </c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x14ac:dyDescent="0.25" r="855" customHeight="1" ht="18.75">
      <c r="A855" s="9"/>
      <c r="B855" s="18" t="s">
        <v>16</v>
      </c>
      <c r="C855" s="9"/>
      <c r="D855" s="9"/>
      <c r="E855" s="18" t="s">
        <v>3093</v>
      </c>
      <c r="F855" s="19">
        <v>10000000</v>
      </c>
      <c r="G855" s="20">
        <v>800000</v>
      </c>
      <c r="H855" s="21">
        <v>46126</v>
      </c>
      <c r="I855" s="22">
        <f>IF(H855&gt;0,EDATE(H855,-2),"")</f>
        <v>25569.375</v>
      </c>
      <c r="J855" s="18" t="s">
        <v>302</v>
      </c>
      <c r="K855" s="18" t="s">
        <v>3094</v>
      </c>
      <c r="L855" s="23">
        <f>IF(E815&gt;0,E815,"")</f>
      </c>
      <c r="M855" s="19" t="s">
        <v>3095</v>
      </c>
      <c r="N855" s="19">
        <v>62525899</v>
      </c>
      <c r="O855" s="22">
        <f>IF(ISNUMBER(I855), EDATE(I855,36)-1, "")</f>
        <v>25569.375</v>
      </c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x14ac:dyDescent="0.25" r="856" customHeight="1" ht="18.75">
      <c r="A856" s="24"/>
      <c r="B856" s="25" t="s">
        <v>16</v>
      </c>
      <c r="C856" s="24"/>
      <c r="D856" s="24"/>
      <c r="E856" s="25" t="s">
        <v>140</v>
      </c>
      <c r="F856" s="26">
        <v>10000000</v>
      </c>
      <c r="G856" s="27">
        <v>800000</v>
      </c>
      <c r="H856" s="28">
        <v>45995</v>
      </c>
      <c r="I856" s="29">
        <f>IF(H856&gt;0,EDATE(H856,-2),"")</f>
        <v>25569.375</v>
      </c>
      <c r="J856" s="25" t="s">
        <v>282</v>
      </c>
      <c r="K856" s="25" t="s">
        <v>3096</v>
      </c>
      <c r="L856" s="25" t="s">
        <v>140</v>
      </c>
      <c r="M856" s="26" t="s">
        <v>3097</v>
      </c>
      <c r="N856" s="26" t="s">
        <v>3098</v>
      </c>
      <c r="O856" s="29">
        <f>IF(ISNUMBER(I856), EDATE(I856,36)-1, "")</f>
        <v>25569.375</v>
      </c>
      <c r="P856" s="24"/>
      <c r="Q856" s="24" t="s">
        <v>166</v>
      </c>
      <c r="R856" s="24"/>
      <c r="S856" s="9"/>
      <c r="T856" s="9"/>
      <c r="U856" s="9"/>
      <c r="V856" s="9"/>
      <c r="W856" s="9"/>
      <c r="X856" s="9"/>
      <c r="Y856" s="9"/>
      <c r="Z856" s="9"/>
    </row>
    <row x14ac:dyDescent="0.25" r="857" customHeight="1" ht="18.75">
      <c r="A857" s="24"/>
      <c r="B857" s="25" t="s">
        <v>16</v>
      </c>
      <c r="C857" s="24"/>
      <c r="D857" s="24"/>
      <c r="E857" s="25" t="s">
        <v>140</v>
      </c>
      <c r="F857" s="26">
        <v>50000000</v>
      </c>
      <c r="G857" s="27"/>
      <c r="H857" s="28">
        <v>46122</v>
      </c>
      <c r="I857" s="29">
        <f>IF(H857&gt;0,EDATE(H857,-2),"")</f>
        <v>25569.375</v>
      </c>
      <c r="J857" s="25" t="s">
        <v>282</v>
      </c>
      <c r="K857" s="25" t="s">
        <v>3096</v>
      </c>
      <c r="L857" s="25" t="s">
        <v>140</v>
      </c>
      <c r="M857" s="26" t="s">
        <v>3097</v>
      </c>
      <c r="N857" s="26" t="s">
        <v>3098</v>
      </c>
      <c r="O857" s="29">
        <f>IF(ISNUMBER(I857), EDATE(I857,36)-1, "")</f>
        <v>25569.375</v>
      </c>
      <c r="P857" s="24" t="s">
        <v>3099</v>
      </c>
      <c r="Q857" s="24" t="s">
        <v>166</v>
      </c>
      <c r="R857" s="24" t="s">
        <v>3100</v>
      </c>
      <c r="S857" s="9"/>
      <c r="T857" s="9"/>
      <c r="U857" s="9"/>
      <c r="V857" s="9"/>
      <c r="W857" s="9"/>
      <c r="X857" s="9"/>
      <c r="Y857" s="9"/>
      <c r="Z857" s="9"/>
    </row>
    <row x14ac:dyDescent="0.25" r="858" customHeight="1" ht="18.75">
      <c r="A858" s="9"/>
      <c r="B858" s="18" t="s">
        <v>16</v>
      </c>
      <c r="C858" s="9"/>
      <c r="D858" s="9"/>
      <c r="E858" s="18" t="s">
        <v>3101</v>
      </c>
      <c r="F858" s="19">
        <v>10000000</v>
      </c>
      <c r="G858" s="20">
        <v>800000</v>
      </c>
      <c r="H858" s="21">
        <v>46091</v>
      </c>
      <c r="I858" s="22">
        <f>IF(H858&gt;0,EDATE(H858,-2),"")</f>
        <v>25569.375</v>
      </c>
      <c r="J858" s="18" t="s">
        <v>155</v>
      </c>
      <c r="K858" s="18" t="s">
        <v>3102</v>
      </c>
      <c r="L858" s="18" t="s">
        <v>3103</v>
      </c>
      <c r="M858" s="19" t="s">
        <v>3104</v>
      </c>
      <c r="N858" s="19" t="s">
        <v>3105</v>
      </c>
      <c r="O858" s="22">
        <f>IF(ISNUMBER(I858), EDATE(I858,36)-1, "")</f>
        <v>25569.375</v>
      </c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x14ac:dyDescent="0.25" r="859" customHeight="1" ht="18.75">
      <c r="A859" s="9"/>
      <c r="B859" s="18" t="s">
        <v>16</v>
      </c>
      <c r="C859" s="9"/>
      <c r="D859" s="9"/>
      <c r="E859" s="18" t="s">
        <v>3106</v>
      </c>
      <c r="F859" s="19">
        <v>60000000</v>
      </c>
      <c r="G859" s="8">
        <f>IF(F859&gt;0,_xludf.IFS(F859=10000000,1200000,F859=20000000,1800000,F859=30000000,2400000,F859=60000000,4000000),"")</f>
      </c>
      <c r="H859" s="21">
        <v>46082</v>
      </c>
      <c r="I859" s="22">
        <f>IF(H859&gt;0,EDATE(H859,-2),"")</f>
        <v>25569.375</v>
      </c>
      <c r="J859" s="18" t="s">
        <v>988</v>
      </c>
      <c r="K859" s="18" t="s">
        <v>3107</v>
      </c>
      <c r="L859" s="18" t="s">
        <v>3106</v>
      </c>
      <c r="M859" s="19" t="s">
        <v>3108</v>
      </c>
      <c r="N859" s="19" t="s">
        <v>3109</v>
      </c>
      <c r="O859" s="22">
        <f>IF(ISNUMBER(I859), EDATE(I859,36)-1, "")</f>
        <v>25569.375</v>
      </c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x14ac:dyDescent="0.25" r="860" customHeight="1" ht="18.75">
      <c r="A860" s="9" t="s">
        <v>152</v>
      </c>
      <c r="B860" s="18" t="s">
        <v>16</v>
      </c>
      <c r="C860" s="9" t="s">
        <v>143</v>
      </c>
      <c r="D860" s="9" t="s">
        <v>22</v>
      </c>
      <c r="E860" s="18" t="s">
        <v>3110</v>
      </c>
      <c r="F860" s="19">
        <v>20000000</v>
      </c>
      <c r="G860" s="8">
        <f>IF(F860&gt;0,_xludf.IFS(F860=10000000,1200000,F860=20000000,1800000,F860=30000000,2400000,F860=60000000,4000000),"")</f>
      </c>
      <c r="H860" s="21">
        <v>46203</v>
      </c>
      <c r="I860" s="22">
        <f>IF(H860&gt;0,EDATE(H860,-2),"")</f>
        <v>25569.375</v>
      </c>
      <c r="J860" s="18" t="s">
        <v>155</v>
      </c>
      <c r="K860" s="18" t="s">
        <v>3111</v>
      </c>
      <c r="L860" s="23">
        <f>IF(E725&gt;0,E725,"")</f>
      </c>
      <c r="M860" s="19" t="s">
        <v>3112</v>
      </c>
      <c r="N860" s="19">
        <v>62919208</v>
      </c>
      <c r="O860" s="22">
        <f>IF(ISNUMBER(I860), EDATE(I860,36)-1, "")</f>
        <v>25569.375</v>
      </c>
      <c r="P860" s="9"/>
      <c r="Q860" s="9"/>
      <c r="R860" s="9" t="s">
        <v>3113</v>
      </c>
      <c r="S860" s="9"/>
      <c r="T860" s="9"/>
      <c r="U860" s="9"/>
      <c r="V860" s="9"/>
      <c r="W860" s="9"/>
      <c r="X860" s="9"/>
      <c r="Y860" s="9"/>
      <c r="Z860" s="9"/>
    </row>
    <row x14ac:dyDescent="0.25" r="861" customHeight="1" ht="18.75">
      <c r="A861" s="9"/>
      <c r="B861" s="18" t="s">
        <v>16</v>
      </c>
      <c r="C861" s="9"/>
      <c r="D861" s="9"/>
      <c r="E861" s="18" t="s">
        <v>3114</v>
      </c>
      <c r="F861" s="19">
        <v>10000000</v>
      </c>
      <c r="G861" s="20">
        <v>800000</v>
      </c>
      <c r="H861" s="21">
        <v>46044</v>
      </c>
      <c r="I861" s="22">
        <f>IF(H861&gt;0,EDATE(H861,-2),"")</f>
        <v>25569.375</v>
      </c>
      <c r="J861" s="18" t="s">
        <v>168</v>
      </c>
      <c r="K861" s="18" t="s">
        <v>3115</v>
      </c>
      <c r="L861" s="18" t="s">
        <v>3114</v>
      </c>
      <c r="M861" s="19" t="s">
        <v>3116</v>
      </c>
      <c r="N861" s="19" t="s">
        <v>2134</v>
      </c>
      <c r="O861" s="22">
        <f>IF(ISNUMBER(I861), EDATE(I861,36)-1, "")</f>
        <v>25569.375</v>
      </c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x14ac:dyDescent="0.25" r="862" customHeight="1" ht="18.75">
      <c r="A862" s="9"/>
      <c r="B862" s="18" t="s">
        <v>16</v>
      </c>
      <c r="C862" s="9"/>
      <c r="D862" s="9" t="s">
        <v>357</v>
      </c>
      <c r="E862" s="18" t="s">
        <v>3117</v>
      </c>
      <c r="F862" s="19">
        <v>10000000</v>
      </c>
      <c r="G862" s="8">
        <f>IF(F862&gt;0,_xludf.IFS(F862=10000000,1200000,F862=20000000,1800000,F862=30000000,2400000,F862=60000000,4000000),"")</f>
      </c>
      <c r="H862" s="21">
        <v>46193</v>
      </c>
      <c r="I862" s="22">
        <f>IF(H862&gt;0,EDATE(H862,-2),"")</f>
        <v>25569.375</v>
      </c>
      <c r="J862" s="18" t="s">
        <v>217</v>
      </c>
      <c r="K862" s="18" t="s">
        <v>3118</v>
      </c>
      <c r="L862" s="23">
        <f>IF(E767&gt;0,E767,"")</f>
      </c>
      <c r="M862" s="19" t="s">
        <v>3119</v>
      </c>
      <c r="N862" s="19">
        <v>88895639</v>
      </c>
      <c r="O862" s="22">
        <f>IF(ISNUMBER(I862), EDATE(I862,36)-1, "")</f>
        <v>25569.375</v>
      </c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x14ac:dyDescent="0.25" r="863" customHeight="1" ht="18.75">
      <c r="A863" s="9"/>
      <c r="B863" s="18" t="s">
        <v>16</v>
      </c>
      <c r="C863" s="9"/>
      <c r="D863" s="9"/>
      <c r="E863" s="18" t="s">
        <v>3120</v>
      </c>
      <c r="F863" s="19">
        <v>10000000</v>
      </c>
      <c r="G863" s="8">
        <f>IF(F863&gt;0,_xludf.IFS(F863=10000000,1200000,F863=20000000,1800000,F863=30000000,2400000,F863=60000000,4000000),"")</f>
      </c>
      <c r="H863" s="21">
        <v>46084</v>
      </c>
      <c r="I863" s="22">
        <f>IF(H863&gt;0,EDATE(H863,-2),"")</f>
        <v>25569.375</v>
      </c>
      <c r="J863" s="18" t="s">
        <v>302</v>
      </c>
      <c r="K863" s="18" t="s">
        <v>3121</v>
      </c>
      <c r="L863" s="18" t="s">
        <v>3120</v>
      </c>
      <c r="M863" s="19" t="s">
        <v>3122</v>
      </c>
      <c r="N863" s="19" t="s">
        <v>3123</v>
      </c>
      <c r="O863" s="22">
        <f>IF(ISNUMBER(I863), EDATE(I863,36)-1, "")</f>
        <v>25569.375</v>
      </c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x14ac:dyDescent="0.25" r="864" customHeight="1" ht="18.75">
      <c r="A864" s="9" t="s">
        <v>152</v>
      </c>
      <c r="B864" s="18" t="s">
        <v>16</v>
      </c>
      <c r="C864" s="9" t="s">
        <v>80</v>
      </c>
      <c r="D864" s="9" t="s">
        <v>97</v>
      </c>
      <c r="E864" s="18" t="s">
        <v>141</v>
      </c>
      <c r="F864" s="19">
        <v>30000000</v>
      </c>
      <c r="G864" s="20">
        <v>2028000</v>
      </c>
      <c r="H864" s="21">
        <v>46167</v>
      </c>
      <c r="I864" s="22">
        <f>IF(H864&gt;0,EDATE(H864,-2),"")</f>
        <v>25569.375</v>
      </c>
      <c r="J864" s="18" t="s">
        <v>168</v>
      </c>
      <c r="K864" s="18" t="s">
        <v>3124</v>
      </c>
      <c r="L864" s="23">
        <f>IF(E723&gt;0,E723,"")</f>
      </c>
      <c r="M864" s="19" t="s">
        <v>3125</v>
      </c>
      <c r="N864" s="19">
        <v>53224753</v>
      </c>
      <c r="O864" s="22">
        <f>IF(ISNUMBER(I864), EDATE(I864,36)-1, "")</f>
        <v>25569.375</v>
      </c>
      <c r="P864" s="9"/>
      <c r="Q864" s="9"/>
      <c r="R864" s="9" t="s">
        <v>142</v>
      </c>
      <c r="S864" s="9"/>
      <c r="T864" s="9"/>
      <c r="U864" s="9"/>
      <c r="V864" s="9"/>
      <c r="W864" s="9"/>
      <c r="X864" s="9"/>
      <c r="Y864" s="9"/>
      <c r="Z864" s="9"/>
    </row>
    <row x14ac:dyDescent="0.25" r="865" customHeight="1" ht="18.75">
      <c r="A865" s="9"/>
      <c r="B865" s="18" t="s">
        <v>27</v>
      </c>
      <c r="C865" s="9"/>
      <c r="D865" s="9"/>
      <c r="E865" s="18" t="s">
        <v>141</v>
      </c>
      <c r="F865" s="19">
        <v>3000000</v>
      </c>
      <c r="G865" s="20">
        <v>300000</v>
      </c>
      <c r="H865" s="21">
        <v>45986</v>
      </c>
      <c r="I865" s="22">
        <f>IF(H865&gt;0,EDATE(H865,-2),"")</f>
        <v>25569.375</v>
      </c>
      <c r="J865" s="18" t="s">
        <v>282</v>
      </c>
      <c r="K865" s="18" t="s">
        <v>3124</v>
      </c>
      <c r="L865" s="18" t="s">
        <v>141</v>
      </c>
      <c r="M865" s="19">
        <v>7809142357119</v>
      </c>
      <c r="N865" s="19">
        <v>53224753</v>
      </c>
      <c r="O865" s="22">
        <f>IF(ISNUMBER(I865), EDATE(I865,36)-1, "")</f>
        <v>25569.375</v>
      </c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x14ac:dyDescent="0.25" r="866" customHeight="1" ht="18.75">
      <c r="A866" s="9"/>
      <c r="B866" s="18" t="s">
        <v>16</v>
      </c>
      <c r="C866" s="9"/>
      <c r="D866" s="9"/>
      <c r="E866" s="18" t="s">
        <v>3126</v>
      </c>
      <c r="F866" s="19">
        <v>30000000</v>
      </c>
      <c r="G866" s="20">
        <v>2028000</v>
      </c>
      <c r="H866" s="21">
        <v>46086</v>
      </c>
      <c r="I866" s="22">
        <f>IF(H866&gt;0,EDATE(H866,-2),"")</f>
        <v>25569.375</v>
      </c>
      <c r="J866" s="18" t="s">
        <v>379</v>
      </c>
      <c r="K866" s="18" t="s">
        <v>3127</v>
      </c>
      <c r="L866" s="18" t="s">
        <v>3128</v>
      </c>
      <c r="M866" s="19" t="s">
        <v>3129</v>
      </c>
      <c r="N866" s="19" t="s">
        <v>3130</v>
      </c>
      <c r="O866" s="22">
        <f>IF(ISNUMBER(I866), EDATE(I866,36)-1, "")</f>
        <v>25569.375</v>
      </c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x14ac:dyDescent="0.25" r="867" customHeight="1" ht="18.75">
      <c r="A867" s="9" t="s">
        <v>152</v>
      </c>
      <c r="B867" s="18" t="s">
        <v>16</v>
      </c>
      <c r="C867" s="9" t="s">
        <v>143</v>
      </c>
      <c r="D867" s="9" t="s">
        <v>22</v>
      </c>
      <c r="E867" s="18" t="s">
        <v>144</v>
      </c>
      <c r="F867" s="19">
        <v>120000000</v>
      </c>
      <c r="G867" s="20">
        <v>9600000</v>
      </c>
      <c r="H867" s="21">
        <v>46088</v>
      </c>
      <c r="I867" s="22">
        <f>IF(H867&gt;0,EDATE(H867,-2),"")</f>
        <v>25569.375</v>
      </c>
      <c r="J867" s="18" t="s">
        <v>217</v>
      </c>
      <c r="K867" s="18" t="s">
        <v>3131</v>
      </c>
      <c r="L867" s="23">
        <f>IF(E878&gt;0,E878,"")</f>
      </c>
      <c r="M867" s="19">
        <v>7001241149613</v>
      </c>
      <c r="N867" s="19">
        <v>23010208</v>
      </c>
      <c r="O867" s="22">
        <f>IF(ISNUMBER(I867), EDATE(I867,36)-1, "")</f>
        <v>25569.375</v>
      </c>
      <c r="P867" s="9"/>
      <c r="Q867" s="9"/>
      <c r="R867" s="9" t="s">
        <v>145</v>
      </c>
      <c r="S867" s="9"/>
      <c r="T867" s="9"/>
      <c r="U867" s="9"/>
      <c r="V867" s="9"/>
      <c r="W867" s="9"/>
      <c r="X867" s="9"/>
      <c r="Y867" s="9"/>
      <c r="Z867" s="9"/>
    </row>
    <row x14ac:dyDescent="0.25" r="868" customHeight="1" ht="18.75">
      <c r="A868" s="9"/>
      <c r="B868" s="18" t="s">
        <v>16</v>
      </c>
      <c r="C868" s="9"/>
      <c r="D868" s="9"/>
      <c r="E868" s="18" t="s">
        <v>3132</v>
      </c>
      <c r="F868" s="19">
        <v>20000000</v>
      </c>
      <c r="G868" s="8">
        <f>IF(F868&gt;0,_xludf.IFS(F868=10000000,1200000,F868=20000000,1800000,F868=30000000,2400000,F868=60000000,4000000),"")</f>
      </c>
      <c r="H868" s="21">
        <v>46018</v>
      </c>
      <c r="I868" s="22">
        <f>IF(H868&gt;0,EDATE(H868,-2),"")</f>
        <v>25569.375</v>
      </c>
      <c r="J868" s="18" t="s">
        <v>379</v>
      </c>
      <c r="K868" s="18" t="s">
        <v>3133</v>
      </c>
      <c r="L868" s="18" t="s">
        <v>3132</v>
      </c>
      <c r="M868" s="19" t="s">
        <v>3134</v>
      </c>
      <c r="N868" s="19" t="s">
        <v>3135</v>
      </c>
      <c r="O868" s="22">
        <f>IF(ISNUMBER(I868), EDATE(I868,36)-1, "")</f>
        <v>25569.375</v>
      </c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x14ac:dyDescent="0.25" r="869" customHeight="1" ht="18.75">
      <c r="A869" s="9"/>
      <c r="B869" s="18" t="s">
        <v>16</v>
      </c>
      <c r="C869" s="9" t="s">
        <v>80</v>
      </c>
      <c r="D869" s="9" t="s">
        <v>97</v>
      </c>
      <c r="E869" s="18" t="s">
        <v>3136</v>
      </c>
      <c r="F869" s="19">
        <v>10000000</v>
      </c>
      <c r="G869" s="20"/>
      <c r="H869" s="21">
        <v>46152</v>
      </c>
      <c r="I869" s="22">
        <f>IF(H869&gt;0,EDATE(H869,-2),"")</f>
        <v>25569.375</v>
      </c>
      <c r="J869" s="18" t="s">
        <v>3137</v>
      </c>
      <c r="K869" s="18" t="s">
        <v>3138</v>
      </c>
      <c r="L869" s="18" t="s">
        <v>3136</v>
      </c>
      <c r="M869" s="19" t="s">
        <v>3139</v>
      </c>
      <c r="N869" s="19" t="s">
        <v>3140</v>
      </c>
      <c r="O869" s="22">
        <f>IF(ISNUMBER(I869), EDATE(I869,36)-1, "")</f>
        <v>25569.375</v>
      </c>
      <c r="P869" s="9" t="s">
        <v>3141</v>
      </c>
      <c r="Q869" s="9"/>
      <c r="R869" s="9" t="s">
        <v>3142</v>
      </c>
      <c r="S869" s="9"/>
      <c r="T869" s="9"/>
      <c r="U869" s="9"/>
      <c r="V869" s="9"/>
      <c r="W869" s="9"/>
      <c r="X869" s="9"/>
      <c r="Y869" s="9"/>
      <c r="Z869" s="9"/>
    </row>
    <row x14ac:dyDescent="0.25" r="870" customHeight="1" ht="18.75">
      <c r="A870" s="9" t="s">
        <v>63</v>
      </c>
      <c r="B870" s="18" t="s">
        <v>16</v>
      </c>
      <c r="C870" s="9" t="s">
        <v>80</v>
      </c>
      <c r="D870" s="9" t="s">
        <v>97</v>
      </c>
      <c r="E870" s="18" t="s">
        <v>3136</v>
      </c>
      <c r="F870" s="19">
        <v>20000000</v>
      </c>
      <c r="G870" s="8">
        <f>IF(F870&gt;0,_xludf.IFS(F870=10000000,1200000,F870=20000000,1800000,F870=30000000,2400000,F870=60000000,4000000),"")</f>
      </c>
      <c r="H870" s="21">
        <v>46213</v>
      </c>
      <c r="I870" s="22">
        <f>IF(H870&gt;0,EDATE(H870,-2),"")</f>
        <v>25569.375</v>
      </c>
      <c r="J870" s="18" t="s">
        <v>168</v>
      </c>
      <c r="K870" s="18" t="s">
        <v>3143</v>
      </c>
      <c r="L870" s="23">
        <f>IF(E688&gt;0,E688,"")</f>
      </c>
      <c r="M870" s="19" t="s">
        <v>3139</v>
      </c>
      <c r="N870" s="19">
        <v>37418446</v>
      </c>
      <c r="O870" s="22">
        <f>IF(ISNUMBER(I870), EDATE(I870,36)-1, "")</f>
        <v>25569.375</v>
      </c>
      <c r="P870" s="9"/>
      <c r="Q870" s="9"/>
      <c r="R870" s="9" t="s">
        <v>3144</v>
      </c>
      <c r="S870" s="9"/>
      <c r="T870" s="9"/>
      <c r="U870" s="9"/>
      <c r="V870" s="9"/>
      <c r="W870" s="9"/>
      <c r="X870" s="9"/>
      <c r="Y870" s="9"/>
      <c r="Z870" s="9"/>
    </row>
    <row x14ac:dyDescent="0.25" r="871" customHeight="1" ht="18.75">
      <c r="A871" s="9"/>
      <c r="B871" s="18" t="s">
        <v>16</v>
      </c>
      <c r="C871" s="9"/>
      <c r="D871" s="9"/>
      <c r="E871" s="18" t="s">
        <v>22</v>
      </c>
      <c r="F871" s="19">
        <v>20000000</v>
      </c>
      <c r="G871" s="8">
        <f>IF(F871&gt;0,_xludf.IFS(F871=10000000,1200000,F871=20000000,1800000,F871=30000000,2400000,F871=60000000,4000000),"")</f>
      </c>
      <c r="H871" s="21">
        <v>46182</v>
      </c>
      <c r="I871" s="22">
        <f>IF(H871&gt;0,EDATE(H871,-2),"")</f>
        <v>25569.375</v>
      </c>
      <c r="J871" s="18" t="s">
        <v>217</v>
      </c>
      <c r="K871" s="18" t="s">
        <v>3131</v>
      </c>
      <c r="L871" s="18" t="s">
        <v>22</v>
      </c>
      <c r="M871" s="19" t="s">
        <v>3145</v>
      </c>
      <c r="N871" s="19" t="s">
        <v>3146</v>
      </c>
      <c r="O871" s="22">
        <f>IF(ISNUMBER(I871), EDATE(I871,36)-1, "")</f>
        <v>25569.375</v>
      </c>
      <c r="P871" s="9" t="s">
        <v>3147</v>
      </c>
      <c r="Q871" s="9" t="s">
        <v>166</v>
      </c>
      <c r="R871" s="9"/>
      <c r="S871" s="9"/>
      <c r="T871" s="9"/>
      <c r="U871" s="9"/>
      <c r="V871" s="9"/>
      <c r="W871" s="9"/>
      <c r="X871" s="9"/>
      <c r="Y871" s="9"/>
      <c r="Z871" s="9"/>
    </row>
    <row x14ac:dyDescent="0.25" r="872" customHeight="1" ht="18.75">
      <c r="A872" s="9"/>
      <c r="B872" s="18" t="s">
        <v>16</v>
      </c>
      <c r="C872" s="9"/>
      <c r="D872" s="9" t="s">
        <v>141</v>
      </c>
      <c r="E872" s="18" t="s">
        <v>3148</v>
      </c>
      <c r="F872" s="19">
        <v>30000000</v>
      </c>
      <c r="G872" s="20">
        <v>2028000</v>
      </c>
      <c r="H872" s="21">
        <v>46137</v>
      </c>
      <c r="I872" s="22">
        <f>IF(H872&gt;0,EDATE(H872,-2),"")</f>
        <v>25569.375</v>
      </c>
      <c r="J872" s="18" t="s">
        <v>282</v>
      </c>
      <c r="K872" s="18" t="s">
        <v>3149</v>
      </c>
      <c r="L872" s="18" t="s">
        <v>3148</v>
      </c>
      <c r="M872" s="19" t="s">
        <v>3150</v>
      </c>
      <c r="N872" s="19" t="s">
        <v>3151</v>
      </c>
      <c r="O872" s="22">
        <f>IF(ISNUMBER(I872), EDATE(I872,36)-1, "")</f>
        <v>25569.375</v>
      </c>
      <c r="P872" s="9" t="s">
        <v>3152</v>
      </c>
      <c r="Q872" s="9" t="s">
        <v>166</v>
      </c>
      <c r="R872" s="9"/>
      <c r="S872" s="9"/>
      <c r="T872" s="9"/>
      <c r="U872" s="9"/>
      <c r="V872" s="9"/>
      <c r="W872" s="9"/>
      <c r="X872" s="9"/>
      <c r="Y872" s="9"/>
      <c r="Z872" s="9"/>
    </row>
    <row x14ac:dyDescent="0.25" r="873" customHeight="1" ht="18.75">
      <c r="A873" s="9"/>
      <c r="B873" s="18" t="s">
        <v>16</v>
      </c>
      <c r="C873" s="9"/>
      <c r="D873" s="9"/>
      <c r="E873" s="18" t="s">
        <v>3153</v>
      </c>
      <c r="F873" s="19">
        <v>10000000</v>
      </c>
      <c r="G873" s="20">
        <v>800000</v>
      </c>
      <c r="H873" s="21">
        <v>46022</v>
      </c>
      <c r="I873" s="22">
        <f>IF(H873&gt;0,EDATE(H873,-2),"")</f>
        <v>25569.375</v>
      </c>
      <c r="J873" s="18" t="s">
        <v>302</v>
      </c>
      <c r="K873" s="18" t="s">
        <v>3154</v>
      </c>
      <c r="L873" s="18" t="s">
        <v>3153</v>
      </c>
      <c r="M873" s="19" t="s">
        <v>3155</v>
      </c>
      <c r="N873" s="19" t="s">
        <v>3156</v>
      </c>
      <c r="O873" s="22">
        <f>IF(ISNUMBER(I873), EDATE(I873,36)-1, "")</f>
        <v>25569.375</v>
      </c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x14ac:dyDescent="0.25" r="874" customHeight="1" ht="18.75">
      <c r="A874" s="9"/>
      <c r="B874" s="18" t="s">
        <v>16</v>
      </c>
      <c r="C874" s="9"/>
      <c r="D874" s="9"/>
      <c r="E874" s="18" t="s">
        <v>3157</v>
      </c>
      <c r="F874" s="19">
        <v>10000000</v>
      </c>
      <c r="G874" s="8">
        <f>IF(F874&gt;0,_xludf.IFS(F874=10000000,1200000,F874=20000000,1800000,F874=30000000,2400000,F874=60000000,4000000),"")</f>
      </c>
      <c r="H874" s="21">
        <v>46148</v>
      </c>
      <c r="I874" s="22">
        <f>IF(H874&gt;0,EDATE(H874,-2),"")</f>
        <v>25569.375</v>
      </c>
      <c r="J874" s="18" t="s">
        <v>239</v>
      </c>
      <c r="K874" s="18" t="s">
        <v>3158</v>
      </c>
      <c r="L874" s="23">
        <f>IF(E816&gt;0,E816,"")</f>
      </c>
      <c r="M874" s="19" t="s">
        <v>3159</v>
      </c>
      <c r="N874" s="19">
        <v>37240978</v>
      </c>
      <c r="O874" s="22">
        <f>IF(ISNUMBER(I874), EDATE(I874,36)-1, "")</f>
        <v>25569.375</v>
      </c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x14ac:dyDescent="0.25" r="875" customHeight="1" ht="18.75">
      <c r="A875" s="9"/>
      <c r="B875" s="18" t="s">
        <v>16</v>
      </c>
      <c r="C875" s="9" t="s">
        <v>900</v>
      </c>
      <c r="D875" s="9" t="s">
        <v>1393</v>
      </c>
      <c r="E875" s="18" t="s">
        <v>3160</v>
      </c>
      <c r="F875" s="19">
        <v>10000000</v>
      </c>
      <c r="G875" s="20">
        <v>800000</v>
      </c>
      <c r="H875" s="21">
        <v>46208</v>
      </c>
      <c r="I875" s="22">
        <f>IF(H875&gt;0,EDATE(H875,-2),"")</f>
        <v>25569.375</v>
      </c>
      <c r="J875" s="18" t="s">
        <v>168</v>
      </c>
      <c r="K875" s="18" t="s">
        <v>3161</v>
      </c>
      <c r="L875" s="23">
        <f>IF(E864&gt;0,E864,"")</f>
      </c>
      <c r="M875" s="19">
        <v>6702212830425</v>
      </c>
      <c r="N875" s="19">
        <v>80036415</v>
      </c>
      <c r="O875" s="22">
        <f>IF(ISNUMBER(I875), EDATE(I875,36)-1, "")</f>
        <v>25569.375</v>
      </c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x14ac:dyDescent="0.25" r="876" customHeight="1" ht="18.75">
      <c r="A876" s="9"/>
      <c r="B876" s="18" t="s">
        <v>16</v>
      </c>
      <c r="C876" s="9"/>
      <c r="D876" s="9" t="s">
        <v>2536</v>
      </c>
      <c r="E876" s="18" t="s">
        <v>3162</v>
      </c>
      <c r="F876" s="19">
        <v>10000000</v>
      </c>
      <c r="G876" s="8">
        <f>IF(F876&gt;0,_xludf.IFS(F876=10000000,1200000,F876=20000000,1800000,F876=30000000,2400000,F876=60000000,4000000),"")</f>
      </c>
      <c r="H876" s="21">
        <v>46158</v>
      </c>
      <c r="I876" s="22">
        <f>IF(H876&gt;0,EDATE(H876,-2),"")</f>
        <v>25569.375</v>
      </c>
      <c r="J876" s="18" t="s">
        <v>217</v>
      </c>
      <c r="K876" s="18" t="s">
        <v>3163</v>
      </c>
      <c r="L876" s="18" t="s">
        <v>3162</v>
      </c>
      <c r="M876" s="19" t="s">
        <v>3164</v>
      </c>
      <c r="N876" s="19" t="s">
        <v>3165</v>
      </c>
      <c r="O876" s="22">
        <f>IF(ISNUMBER(I876), EDATE(I876,36)-1, "")</f>
        <v>25569.375</v>
      </c>
      <c r="P876" s="9" t="s">
        <v>3166</v>
      </c>
      <c r="Q876" s="9" t="s">
        <v>166</v>
      </c>
      <c r="R876" s="9"/>
      <c r="S876" s="9"/>
      <c r="T876" s="9"/>
      <c r="U876" s="9"/>
      <c r="V876" s="9"/>
      <c r="W876" s="9"/>
      <c r="X876" s="9"/>
      <c r="Y876" s="9"/>
      <c r="Z876" s="9"/>
    </row>
    <row x14ac:dyDescent="0.25" r="877" customHeight="1" ht="18.75">
      <c r="A877" s="9"/>
      <c r="B877" s="18" t="s">
        <v>16</v>
      </c>
      <c r="C877" s="9"/>
      <c r="D877" s="9"/>
      <c r="E877" s="18" t="s">
        <v>2258</v>
      </c>
      <c r="F877" s="19">
        <v>10000000</v>
      </c>
      <c r="G877" s="20">
        <v>800000</v>
      </c>
      <c r="H877" s="21">
        <v>46081</v>
      </c>
      <c r="I877" s="22">
        <f>IF(H877&gt;0,EDATE(H877,-2),"")</f>
        <v>25569.375</v>
      </c>
      <c r="J877" s="18" t="s">
        <v>239</v>
      </c>
      <c r="K877" s="18" t="s">
        <v>2674</v>
      </c>
      <c r="L877" s="18" t="s">
        <v>2258</v>
      </c>
      <c r="M877" s="19" t="s">
        <v>3167</v>
      </c>
      <c r="N877" s="19" t="s">
        <v>3168</v>
      </c>
      <c r="O877" s="22">
        <f>IF(ISNUMBER(I877), EDATE(I877,36)-1, "")</f>
        <v>25569.375</v>
      </c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x14ac:dyDescent="0.25" r="878" customHeight="1" ht="18.75">
      <c r="A878" s="9"/>
      <c r="B878" s="18" t="s">
        <v>16</v>
      </c>
      <c r="C878" s="9"/>
      <c r="D878" s="9" t="s">
        <v>3162</v>
      </c>
      <c r="E878" s="18" t="s">
        <v>3169</v>
      </c>
      <c r="F878" s="19">
        <v>10000000</v>
      </c>
      <c r="G878" s="20">
        <v>500000</v>
      </c>
      <c r="H878" s="21">
        <v>46158</v>
      </c>
      <c r="I878" s="22">
        <f>IF(H878&gt;0,EDATE(H878,-2),"")</f>
        <v>25569.375</v>
      </c>
      <c r="J878" s="18" t="s">
        <v>239</v>
      </c>
      <c r="K878" s="18" t="s">
        <v>3170</v>
      </c>
      <c r="L878" s="18" t="s">
        <v>3169</v>
      </c>
      <c r="M878" s="19" t="s">
        <v>3171</v>
      </c>
      <c r="N878" s="19" t="s">
        <v>3172</v>
      </c>
      <c r="O878" s="22">
        <f>IF(ISNUMBER(I878), EDATE(I878,36)-1, "")</f>
        <v>25569.375</v>
      </c>
      <c r="P878" s="9" t="s">
        <v>3173</v>
      </c>
      <c r="Q878" s="9" t="s">
        <v>166</v>
      </c>
      <c r="R878" s="9"/>
      <c r="S878" s="9"/>
      <c r="T878" s="9"/>
      <c r="U878" s="9"/>
      <c r="V878" s="9"/>
      <c r="W878" s="9"/>
      <c r="X878" s="9"/>
      <c r="Y878" s="9"/>
      <c r="Z878" s="9"/>
    </row>
    <row x14ac:dyDescent="0.25" r="879" customHeight="1" ht="18.75">
      <c r="A879" s="9"/>
      <c r="B879" s="18" t="s">
        <v>16</v>
      </c>
      <c r="C879" s="9"/>
      <c r="D879" s="9"/>
      <c r="E879" s="18" t="s">
        <v>3174</v>
      </c>
      <c r="F879" s="19">
        <v>10000000</v>
      </c>
      <c r="G879" s="20">
        <v>800000</v>
      </c>
      <c r="H879" s="21">
        <v>46147</v>
      </c>
      <c r="I879" s="22">
        <f>IF(H879&gt;0,EDATE(H879,-2),"")</f>
        <v>25569.375</v>
      </c>
      <c r="J879" s="18" t="s">
        <v>161</v>
      </c>
      <c r="K879" s="18" t="s">
        <v>3175</v>
      </c>
      <c r="L879" s="18" t="s">
        <v>3174</v>
      </c>
      <c r="M879" s="19" t="s">
        <v>3176</v>
      </c>
      <c r="N879" s="19" t="s">
        <v>3177</v>
      </c>
      <c r="O879" s="22">
        <f>IF(ISNUMBER(I879), EDATE(I879,36)-1, "")</f>
        <v>25569.375</v>
      </c>
      <c r="P879" s="9" t="s">
        <v>3178</v>
      </c>
      <c r="Q879" s="9" t="s">
        <v>166</v>
      </c>
      <c r="R879" s="9"/>
      <c r="S879" s="9"/>
      <c r="T879" s="9"/>
      <c r="U879" s="9"/>
      <c r="V879" s="9"/>
      <c r="W879" s="9"/>
      <c r="X879" s="9"/>
      <c r="Y879" s="9"/>
      <c r="Z879" s="9"/>
    </row>
    <row x14ac:dyDescent="0.25" r="880" customHeight="1" ht="18.75">
      <c r="A880" s="9"/>
      <c r="B880" s="18" t="s">
        <v>16</v>
      </c>
      <c r="C880" s="18" t="s">
        <v>1999</v>
      </c>
      <c r="D880" s="18" t="s">
        <v>14</v>
      </c>
      <c r="E880" s="18" t="s">
        <v>3179</v>
      </c>
      <c r="F880" s="20">
        <v>10000000</v>
      </c>
      <c r="G880" s="8">
        <f>IF(F880&gt;0,_xludf.IFS(F880=10000000,1200000,F880=20000000,1800000,F880=30000000,2400000,F880=60000000,4000000),"")</f>
      </c>
      <c r="H880" s="21">
        <v>46247</v>
      </c>
      <c r="I880" s="22">
        <v>46183</v>
      </c>
      <c r="J880" s="18" t="s">
        <v>155</v>
      </c>
      <c r="K880" s="18" t="s">
        <v>3180</v>
      </c>
      <c r="L880" s="23">
        <f>IF(E880&gt;0,E880,"")</f>
      </c>
      <c r="M880" s="19">
        <v>9904012199321</v>
      </c>
      <c r="N880" s="19">
        <v>87796328</v>
      </c>
      <c r="O880" s="22">
        <f>IF(ISNUMBER(I880), EDATE(I880,36)-1, "")</f>
        <v>25569.375</v>
      </c>
      <c r="P880" s="18"/>
      <c r="Q880" s="9"/>
      <c r="R880" s="9" t="s">
        <v>772</v>
      </c>
      <c r="S880" s="9"/>
      <c r="T880" s="9"/>
      <c r="U880" s="9"/>
      <c r="V880" s="9"/>
      <c r="W880" s="9"/>
      <c r="X880" s="9"/>
      <c r="Y880" s="9"/>
      <c r="Z880" s="9"/>
    </row>
    <row x14ac:dyDescent="0.25" r="881" customHeight="1" ht="18.75">
      <c r="A881" s="9"/>
      <c r="B881" s="18" t="s">
        <v>16</v>
      </c>
      <c r="C881" s="9"/>
      <c r="D881" s="9"/>
      <c r="E881" s="18" t="s">
        <v>3181</v>
      </c>
      <c r="F881" s="19">
        <v>10000000</v>
      </c>
      <c r="G881" s="8">
        <f>IF(F881&gt;0,_xludf.IFS(F881=10000000,1200000,F881=20000000,1800000,F881=30000000,2400000,F881=60000000,4000000),"")</f>
      </c>
      <c r="H881" s="21">
        <v>45990</v>
      </c>
      <c r="I881" s="22">
        <f>IF(H881&gt;0,EDATE(H881,-2),"")</f>
        <v>25569.375</v>
      </c>
      <c r="J881" s="18" t="s">
        <v>2054</v>
      </c>
      <c r="K881" s="18" t="s">
        <v>3182</v>
      </c>
      <c r="L881" s="18" t="s">
        <v>3181</v>
      </c>
      <c r="M881" s="19" t="s">
        <v>3183</v>
      </c>
      <c r="N881" s="19" t="s">
        <v>3184</v>
      </c>
      <c r="O881" s="22">
        <f>IF(ISNUMBER(I881), EDATE(I881,36)-1, "")</f>
        <v>25569.375</v>
      </c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x14ac:dyDescent="0.25" r="882" customHeight="1" ht="18.75">
      <c r="A882" s="9"/>
      <c r="B882" s="18" t="s">
        <v>16</v>
      </c>
      <c r="C882" s="9"/>
      <c r="D882" s="9"/>
      <c r="E882" s="18" t="s">
        <v>3185</v>
      </c>
      <c r="F882" s="19">
        <v>10000000</v>
      </c>
      <c r="G882" s="20"/>
      <c r="H882" s="21">
        <v>46184</v>
      </c>
      <c r="I882" s="22">
        <f>IF(H882&gt;0,EDATE(H882,-2),"")</f>
        <v>25569.375</v>
      </c>
      <c r="J882" s="18" t="s">
        <v>168</v>
      </c>
      <c r="K882" s="18" t="s">
        <v>471</v>
      </c>
      <c r="L882" s="18" t="s">
        <v>3185</v>
      </c>
      <c r="M882" s="19" t="s">
        <v>3186</v>
      </c>
      <c r="N882" s="19" t="s">
        <v>3187</v>
      </c>
      <c r="O882" s="22">
        <f>IF(ISNUMBER(I882), EDATE(I882,36)-1, "")</f>
        <v>25569.375</v>
      </c>
      <c r="P882" s="9" t="s">
        <v>3188</v>
      </c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x14ac:dyDescent="0.25" r="883" customHeight="1" ht="18.75">
      <c r="A883" s="9" t="s">
        <v>275</v>
      </c>
      <c r="B883" s="18" t="s">
        <v>16</v>
      </c>
      <c r="C883" s="9"/>
      <c r="D883" s="9"/>
      <c r="E883" s="18" t="s">
        <v>3185</v>
      </c>
      <c r="F883" s="19">
        <v>10000000</v>
      </c>
      <c r="G883" s="20"/>
      <c r="H883" s="21">
        <v>46184</v>
      </c>
      <c r="I883" s="22">
        <f>IF(H883&gt;0,EDATE(H883,-2),"")</f>
        <v>25569.375</v>
      </c>
      <c r="J883" s="18" t="s">
        <v>168</v>
      </c>
      <c r="K883" s="18" t="s">
        <v>471</v>
      </c>
      <c r="L883" s="18" t="s">
        <v>2213</v>
      </c>
      <c r="M883" s="19" t="s">
        <v>3186</v>
      </c>
      <c r="N883" s="19">
        <v>33006897</v>
      </c>
      <c r="O883" s="22">
        <f>IF(ISNUMBER(I883), EDATE(I883,36)-1, "")</f>
        <v>25569.375</v>
      </c>
      <c r="P883" s="9"/>
      <c r="Q883" s="9"/>
      <c r="R883" s="9" t="s">
        <v>3189</v>
      </c>
      <c r="S883" s="9"/>
      <c r="T883" s="9"/>
      <c r="U883" s="9"/>
      <c r="V883" s="9"/>
      <c r="W883" s="9"/>
      <c r="X883" s="9"/>
      <c r="Y883" s="9"/>
      <c r="Z883" s="9"/>
    </row>
    <row x14ac:dyDescent="0.25" r="884" customHeight="1" ht="18.75">
      <c r="A884" s="9"/>
      <c r="B884" s="18" t="s">
        <v>16</v>
      </c>
      <c r="C884" s="9" t="s">
        <v>143</v>
      </c>
      <c r="D884" s="9" t="s">
        <v>14</v>
      </c>
      <c r="E884" s="18" t="s">
        <v>3190</v>
      </c>
      <c r="F884" s="19">
        <v>10000000</v>
      </c>
      <c r="G884" s="20">
        <v>800000</v>
      </c>
      <c r="H884" s="21">
        <v>46182</v>
      </c>
      <c r="I884" s="22">
        <f>IF(H884&gt;0,EDATE(H884,-2),"")</f>
        <v>25569.375</v>
      </c>
      <c r="J884" s="18" t="s">
        <v>302</v>
      </c>
      <c r="K884" s="18" t="s">
        <v>3191</v>
      </c>
      <c r="L884" s="18" t="s">
        <v>3190</v>
      </c>
      <c r="M884" s="19" t="s">
        <v>3192</v>
      </c>
      <c r="N884" s="19" t="s">
        <v>3193</v>
      </c>
      <c r="O884" s="22">
        <f>IF(ISNUMBER(I884), EDATE(I884,36)-1, "")</f>
        <v>25569.375</v>
      </c>
      <c r="P884" s="9" t="s">
        <v>3194</v>
      </c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x14ac:dyDescent="0.25" r="885" customHeight="1" ht="18.75">
      <c r="A885" s="9"/>
      <c r="B885" s="18" t="s">
        <v>16</v>
      </c>
      <c r="C885" s="9" t="s">
        <v>143</v>
      </c>
      <c r="D885" s="9" t="s">
        <v>14</v>
      </c>
      <c r="E885" s="18" t="s">
        <v>3190</v>
      </c>
      <c r="F885" s="19"/>
      <c r="G885" s="20">
        <f>IF(F885&gt;0,_xludf.IFS(F885=10000000,1200000,F885=20000000,1800000,F885=30000000,2400000,F885=60000000,4000000),"")</f>
      </c>
      <c r="H885" s="21" t="s">
        <v>449</v>
      </c>
      <c r="I885" s="22"/>
      <c r="J885" s="18"/>
      <c r="K885" s="18"/>
      <c r="L885" s="18" t="s">
        <v>3190</v>
      </c>
      <c r="M885" s="19" t="s">
        <v>1587</v>
      </c>
      <c r="N885" s="19" t="s">
        <v>1588</v>
      </c>
      <c r="O885" s="22">
        <f>IF(ISNUMBER(I885), EDATE(I885,36)-1, "")</f>
        <v>25569.375</v>
      </c>
      <c r="P885" s="9"/>
      <c r="Q885" s="9"/>
      <c r="R885" s="9" t="s">
        <v>3195</v>
      </c>
      <c r="S885" s="9"/>
      <c r="T885" s="9"/>
      <c r="U885" s="9"/>
      <c r="V885" s="9"/>
      <c r="W885" s="9"/>
      <c r="X885" s="9"/>
      <c r="Y885" s="9"/>
      <c r="Z885" s="9"/>
    </row>
    <row x14ac:dyDescent="0.25" r="886" customHeight="1" ht="18.75">
      <c r="A886" s="9"/>
      <c r="B886" s="18" t="s">
        <v>16</v>
      </c>
      <c r="C886" s="18" t="s">
        <v>1999</v>
      </c>
      <c r="D886" s="18" t="s">
        <v>14</v>
      </c>
      <c r="E886" s="18" t="s">
        <v>3196</v>
      </c>
      <c r="F886" s="20">
        <v>10000000</v>
      </c>
      <c r="G886" s="8">
        <f>IF(F886&gt;0,_xludf.IFS(F886=10000000,1200000,F886=20000000,1800000,F886=30000000,2400000,F886=60000000,4000000),"")</f>
      </c>
      <c r="H886" s="21">
        <v>46247</v>
      </c>
      <c r="I886" s="22">
        <v>46183</v>
      </c>
      <c r="J886" s="18" t="s">
        <v>699</v>
      </c>
      <c r="K886" s="18" t="s">
        <v>3197</v>
      </c>
      <c r="L886" s="23">
        <f>IF(E886&gt;0,E886,"")</f>
      </c>
      <c r="M886" s="19">
        <v>6305281637513</v>
      </c>
      <c r="N886" s="19">
        <v>54246328</v>
      </c>
      <c r="O886" s="22">
        <f>IF(ISNUMBER(I886), EDATE(I886,36)-1, "")</f>
        <v>25569.375</v>
      </c>
      <c r="P886" s="18"/>
      <c r="Q886" s="9"/>
      <c r="R886" s="9" t="s">
        <v>772</v>
      </c>
      <c r="S886" s="9"/>
      <c r="T886" s="9"/>
      <c r="U886" s="9"/>
      <c r="V886" s="9"/>
      <c r="W886" s="9"/>
      <c r="X886" s="9"/>
      <c r="Y886" s="9"/>
      <c r="Z886" s="9"/>
    </row>
    <row x14ac:dyDescent="0.25" r="887" customHeight="1" ht="18.75">
      <c r="A887" s="9"/>
      <c r="B887" s="18" t="s">
        <v>16</v>
      </c>
      <c r="C887" s="9"/>
      <c r="D887" s="9"/>
      <c r="E887" s="18" t="s">
        <v>3198</v>
      </c>
      <c r="F887" s="19">
        <v>30000000</v>
      </c>
      <c r="G887" s="8">
        <f>IF(F887&gt;0,_xludf.IFS(F887=10000000,1200000,F887=20000000,1800000,F887=30000000,2400000,F887=60000000,4000000),"")</f>
      </c>
      <c r="H887" s="21">
        <v>46210</v>
      </c>
      <c r="I887" s="22">
        <f>IF(H887&gt;0,EDATE(H887,-2),"")</f>
        <v>25569.375</v>
      </c>
      <c r="J887" s="18" t="s">
        <v>155</v>
      </c>
      <c r="K887" s="18" t="s">
        <v>3199</v>
      </c>
      <c r="L887" s="23">
        <f>IF(E820&gt;0,E820,"")</f>
      </c>
      <c r="M887" s="19" t="s">
        <v>3200</v>
      </c>
      <c r="N887" s="19">
        <v>28920486</v>
      </c>
      <c r="O887" s="22">
        <f>IF(ISNUMBER(I887), EDATE(I887,36)-1, "")</f>
        <v>25569.375</v>
      </c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x14ac:dyDescent="0.25" r="888" customHeight="1" ht="18.75">
      <c r="A888" s="9"/>
      <c r="B888" s="18" t="s">
        <v>16</v>
      </c>
      <c r="C888" s="9" t="s">
        <v>737</v>
      </c>
      <c r="D888" s="9" t="s">
        <v>357</v>
      </c>
      <c r="E888" s="18" t="s">
        <v>3201</v>
      </c>
      <c r="F888" s="19">
        <v>20000000</v>
      </c>
      <c r="G888" s="20">
        <v>1528000</v>
      </c>
      <c r="H888" s="21">
        <v>46209</v>
      </c>
      <c r="I888" s="22">
        <f>IF(H888&gt;0,EDATE(H888,-2),"")</f>
        <v>25569.375</v>
      </c>
      <c r="J888" s="18" t="s">
        <v>217</v>
      </c>
      <c r="K888" s="18" t="s">
        <v>3202</v>
      </c>
      <c r="L888" s="18" t="s">
        <v>3201</v>
      </c>
      <c r="M888" s="19" t="s">
        <v>3203</v>
      </c>
      <c r="N888" s="19" t="s">
        <v>3204</v>
      </c>
      <c r="O888" s="22">
        <f>IF(ISNUMBER(I888), EDATE(I888,36)-1, "")</f>
        <v>25569.375</v>
      </c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x14ac:dyDescent="0.25" r="889" customHeight="1" ht="18.75">
      <c r="A889" s="9"/>
      <c r="B889" s="18" t="s">
        <v>16</v>
      </c>
      <c r="C889" s="9" t="s">
        <v>454</v>
      </c>
      <c r="D889" s="9" t="s">
        <v>647</v>
      </c>
      <c r="E889" s="18" t="s">
        <v>3205</v>
      </c>
      <c r="F889" s="19">
        <v>10000000</v>
      </c>
      <c r="G889" s="20">
        <v>1200000</v>
      </c>
      <c r="H889" s="21">
        <v>46193</v>
      </c>
      <c r="I889" s="22">
        <f>IF(H889&gt;0,EDATE(H889,-2),"")</f>
        <v>25569.375</v>
      </c>
      <c r="J889" s="18" t="s">
        <v>212</v>
      </c>
      <c r="K889" s="18" t="s">
        <v>3206</v>
      </c>
      <c r="L889" s="23">
        <f>IF(E715&gt;0,E715,"")</f>
      </c>
      <c r="M889" s="19" t="s">
        <v>3207</v>
      </c>
      <c r="N889" s="19">
        <v>39331693</v>
      </c>
      <c r="O889" s="22">
        <f>IF(ISNUMBER(I889), EDATE(I889,36)-1, "")</f>
        <v>25569.375</v>
      </c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x14ac:dyDescent="0.25" r="890" customHeight="1" ht="18.75">
      <c r="A890" s="9"/>
      <c r="B890" s="18" t="s">
        <v>16</v>
      </c>
      <c r="C890" s="9" t="s">
        <v>202</v>
      </c>
      <c r="D890" s="9" t="s">
        <v>203</v>
      </c>
      <c r="E890" s="18" t="s">
        <v>3208</v>
      </c>
      <c r="F890" s="19">
        <v>10000000</v>
      </c>
      <c r="G890" s="20">
        <v>800000</v>
      </c>
      <c r="H890" s="21">
        <v>46073</v>
      </c>
      <c r="I890" s="22">
        <f>IF(H890&gt;0,EDATE(H890,-2),"")</f>
        <v>25569.375</v>
      </c>
      <c r="J890" s="18" t="s">
        <v>155</v>
      </c>
      <c r="K890" s="18" t="s">
        <v>3209</v>
      </c>
      <c r="L890" s="23">
        <f>IF(E892&gt;0,E892,"")</f>
      </c>
      <c r="M890" s="19">
        <v>6907172912814</v>
      </c>
      <c r="N890" s="19">
        <v>85194747</v>
      </c>
      <c r="O890" s="22">
        <f>IF(ISNUMBER(I890), EDATE(I890,36)-1, "")</f>
        <v>25569.375</v>
      </c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x14ac:dyDescent="0.25" r="891" customHeight="1" ht="18.75">
      <c r="A891" s="9"/>
      <c r="B891" s="18" t="s">
        <v>16</v>
      </c>
      <c r="C891" s="9"/>
      <c r="D891" s="9"/>
      <c r="E891" s="18" t="s">
        <v>3210</v>
      </c>
      <c r="F891" s="19">
        <v>10000000</v>
      </c>
      <c r="G891" s="8">
        <f>IF(F891&gt;0,_xludf.IFS(F891=10000000,800000,F891=20000000,1528000,F891=30000000,2028000,F891=30000000,4056000),"")</f>
      </c>
      <c r="H891" s="21">
        <v>45965</v>
      </c>
      <c r="I891" s="22">
        <f>IF(H891&gt;0,EDATE(H891,-2),"")</f>
        <v>25569.375</v>
      </c>
      <c r="J891" s="18" t="s">
        <v>155</v>
      </c>
      <c r="K891" s="18" t="s">
        <v>3211</v>
      </c>
      <c r="L891" s="18" t="s">
        <v>3210</v>
      </c>
      <c r="M891" s="19" t="s">
        <v>3212</v>
      </c>
      <c r="N891" s="19" t="s">
        <v>3213</v>
      </c>
      <c r="O891" s="22">
        <f>IF(ISNUMBER(I891), EDATE(I891,36)-1, "")</f>
        <v>25569.375</v>
      </c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x14ac:dyDescent="0.25" r="892" customHeight="1" ht="18.75">
      <c r="A892" s="9"/>
      <c r="B892" s="18" t="s">
        <v>16</v>
      </c>
      <c r="C892" s="9"/>
      <c r="D892" s="9"/>
      <c r="E892" s="18" t="s">
        <v>3214</v>
      </c>
      <c r="F892" s="19">
        <v>10000000</v>
      </c>
      <c r="G892" s="20">
        <v>800000</v>
      </c>
      <c r="H892" s="21">
        <v>46024</v>
      </c>
      <c r="I892" s="22">
        <f>IF(H892&gt;0,EDATE(H892,-2),"")</f>
        <v>25569.375</v>
      </c>
      <c r="J892" s="18" t="s">
        <v>217</v>
      </c>
      <c r="K892" s="18" t="s">
        <v>3215</v>
      </c>
      <c r="L892" s="18" t="s">
        <v>3214</v>
      </c>
      <c r="M892" s="19" t="s">
        <v>3216</v>
      </c>
      <c r="N892" s="19" t="s">
        <v>3217</v>
      </c>
      <c r="O892" s="22">
        <f>IF(ISNUMBER(I892), EDATE(I892,36)-1, "")</f>
        <v>25569.375</v>
      </c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x14ac:dyDescent="0.25" r="893" customHeight="1" ht="18.75">
      <c r="A893" s="9"/>
      <c r="B893" s="18"/>
      <c r="C893" s="18"/>
      <c r="D893" s="18"/>
      <c r="E893" s="18"/>
      <c r="F893" s="20"/>
      <c r="G893" s="20"/>
      <c r="H893" s="21"/>
      <c r="I893" s="22"/>
      <c r="J893" s="18"/>
      <c r="K893" s="18"/>
      <c r="L893" s="18"/>
      <c r="M893" s="19"/>
      <c r="N893" s="19"/>
      <c r="O893" s="22"/>
      <c r="P893" s="18"/>
      <c r="Q893" s="18"/>
      <c r="R893" s="9"/>
      <c r="S893" s="9"/>
      <c r="T893" s="9"/>
      <c r="U893" s="9"/>
      <c r="V893" s="9"/>
      <c r="W893" s="9"/>
      <c r="X893" s="9"/>
      <c r="Y893" s="9"/>
      <c r="Z893" s="9"/>
    </row>
    <row x14ac:dyDescent="0.25" r="894" customHeight="1" ht="18.75">
      <c r="A894" s="9"/>
      <c r="B894" s="18"/>
      <c r="C894" s="18"/>
      <c r="D894" s="18"/>
      <c r="E894" s="18"/>
      <c r="F894" s="20"/>
      <c r="G894" s="20"/>
      <c r="H894" s="21"/>
      <c r="I894" s="22"/>
      <c r="J894" s="18"/>
      <c r="K894" s="18"/>
      <c r="L894" s="18"/>
      <c r="M894" s="19"/>
      <c r="N894" s="19"/>
      <c r="O894" s="22"/>
      <c r="P894" s="18"/>
      <c r="Q894" s="18"/>
      <c r="R894" s="9"/>
      <c r="S894" s="9"/>
      <c r="T894" s="9"/>
      <c r="U894" s="9"/>
      <c r="V894" s="9"/>
      <c r="W894" s="9"/>
      <c r="X894" s="9"/>
      <c r="Y894" s="9"/>
      <c r="Z894" s="9"/>
    </row>
    <row x14ac:dyDescent="0.25" r="895" customHeight="1" ht="18.75">
      <c r="A895" s="9"/>
      <c r="B895" s="18"/>
      <c r="C895" s="18"/>
      <c r="D895" s="18"/>
      <c r="E895" s="18"/>
      <c r="F895" s="20"/>
      <c r="G895" s="20"/>
      <c r="H895" s="21"/>
      <c r="I895" s="22"/>
      <c r="J895" s="18"/>
      <c r="K895" s="18"/>
      <c r="L895" s="18"/>
      <c r="M895" s="19"/>
      <c r="N895" s="19"/>
      <c r="O895" s="22"/>
      <c r="P895" s="18"/>
      <c r="Q895" s="18"/>
      <c r="R895" s="9"/>
      <c r="S895" s="9"/>
      <c r="T895" s="9"/>
      <c r="U895" s="9"/>
      <c r="V895" s="9"/>
      <c r="W895" s="9"/>
      <c r="X895" s="9"/>
      <c r="Y895" s="9"/>
      <c r="Z895" s="9"/>
    </row>
    <row x14ac:dyDescent="0.25" r="896" customHeight="1" ht="18.75">
      <c r="A896" s="9"/>
      <c r="B896" s="18"/>
      <c r="C896" s="18"/>
      <c r="D896" s="18"/>
      <c r="E896" s="18"/>
      <c r="F896" s="20"/>
      <c r="G896" s="20"/>
      <c r="H896" s="21"/>
      <c r="I896" s="22"/>
      <c r="J896" s="18"/>
      <c r="K896" s="18"/>
      <c r="L896" s="18"/>
      <c r="M896" s="19"/>
      <c r="N896" s="19"/>
      <c r="O896" s="22"/>
      <c r="P896" s="18"/>
      <c r="Q896" s="18"/>
      <c r="R896" s="9"/>
      <c r="S896" s="9"/>
      <c r="T896" s="9"/>
      <c r="U896" s="9"/>
      <c r="V896" s="9"/>
      <c r="W896" s="9"/>
      <c r="X896" s="9"/>
      <c r="Y896" s="9"/>
      <c r="Z896" s="9"/>
    </row>
    <row x14ac:dyDescent="0.25" r="897" customHeight="1" ht="18.75">
      <c r="A897" s="9"/>
      <c r="B897" s="18"/>
      <c r="C897" s="18"/>
      <c r="D897" s="18"/>
      <c r="E897" s="18"/>
      <c r="F897" s="20"/>
      <c r="G897" s="20"/>
      <c r="H897" s="21"/>
      <c r="I897" s="22"/>
      <c r="J897" s="18"/>
      <c r="K897" s="18"/>
      <c r="L897" s="18"/>
      <c r="M897" s="19"/>
      <c r="N897" s="19"/>
      <c r="O897" s="22"/>
      <c r="P897" s="18"/>
      <c r="Q897" s="18"/>
      <c r="R897" s="9"/>
      <c r="S897" s="9"/>
      <c r="T897" s="9"/>
      <c r="U897" s="9"/>
      <c r="V897" s="9"/>
      <c r="W897" s="9"/>
      <c r="X897" s="9"/>
      <c r="Y897" s="9"/>
      <c r="Z897" s="9"/>
    </row>
    <row x14ac:dyDescent="0.25" r="898" customHeight="1" ht="18.75">
      <c r="A898" s="9"/>
      <c r="B898" s="18"/>
      <c r="C898" s="18"/>
      <c r="D898" s="18"/>
      <c r="E898" s="18"/>
      <c r="F898" s="20"/>
      <c r="G898" s="20"/>
      <c r="H898" s="21"/>
      <c r="I898" s="22"/>
      <c r="J898" s="18"/>
      <c r="K898" s="18"/>
      <c r="L898" s="18"/>
      <c r="M898" s="19"/>
      <c r="N898" s="19"/>
      <c r="O898" s="22"/>
      <c r="P898" s="18"/>
      <c r="Q898" s="18"/>
      <c r="R898" s="9"/>
      <c r="S898" s="9"/>
      <c r="T898" s="9"/>
      <c r="U898" s="9"/>
      <c r="V898" s="9"/>
      <c r="W898" s="9"/>
      <c r="X898" s="9"/>
      <c r="Y898" s="9"/>
      <c r="Z898" s="9"/>
    </row>
    <row x14ac:dyDescent="0.25" r="899" customHeight="1" ht="18.75">
      <c r="A899" s="9"/>
      <c r="B899" s="18"/>
      <c r="C899" s="18"/>
      <c r="D899" s="18"/>
      <c r="E899" s="18"/>
      <c r="F899" s="20"/>
      <c r="G899" s="20"/>
      <c r="H899" s="21"/>
      <c r="I899" s="22"/>
      <c r="J899" s="18"/>
      <c r="K899" s="18"/>
      <c r="L899" s="18"/>
      <c r="M899" s="19"/>
      <c r="N899" s="19"/>
      <c r="O899" s="22"/>
      <c r="P899" s="18"/>
      <c r="Q899" s="18"/>
      <c r="R899" s="9"/>
      <c r="S899" s="9"/>
      <c r="T899" s="9"/>
      <c r="U899" s="9"/>
      <c r="V899" s="9"/>
      <c r="W899" s="9"/>
      <c r="X899" s="9"/>
      <c r="Y899" s="9"/>
      <c r="Z899" s="9"/>
    </row>
    <row x14ac:dyDescent="0.25" r="900" customHeight="1" ht="18.75">
      <c r="A900" s="9"/>
      <c r="B900" s="18"/>
      <c r="C900" s="18"/>
      <c r="D900" s="18"/>
      <c r="E900" s="18"/>
      <c r="F900" s="20"/>
      <c r="G900" s="20"/>
      <c r="H900" s="21"/>
      <c r="I900" s="22"/>
      <c r="J900" s="18"/>
      <c r="K900" s="18"/>
      <c r="L900" s="18"/>
      <c r="M900" s="19"/>
      <c r="N900" s="19"/>
      <c r="O900" s="22"/>
      <c r="P900" s="18"/>
      <c r="Q900" s="18"/>
      <c r="R900" s="9"/>
      <c r="S900" s="9"/>
      <c r="T900" s="9"/>
      <c r="U900" s="9"/>
      <c r="V900" s="9"/>
      <c r="W900" s="9"/>
      <c r="X900" s="9"/>
      <c r="Y900" s="9"/>
      <c r="Z900" s="9"/>
    </row>
    <row x14ac:dyDescent="0.25" r="901" customHeight="1" ht="18.75">
      <c r="A901" s="9"/>
      <c r="B901" s="18"/>
      <c r="C901" s="18"/>
      <c r="D901" s="18"/>
      <c r="E901" s="18"/>
      <c r="F901" s="20"/>
      <c r="G901" s="20"/>
      <c r="H901" s="21"/>
      <c r="I901" s="22"/>
      <c r="J901" s="18"/>
      <c r="K901" s="18"/>
      <c r="L901" s="18"/>
      <c r="M901" s="19"/>
      <c r="N901" s="19"/>
      <c r="O901" s="22"/>
      <c r="P901" s="18"/>
      <c r="Q901" s="18"/>
      <c r="R901" s="9"/>
      <c r="S901" s="9"/>
      <c r="T901" s="9"/>
      <c r="U901" s="9"/>
      <c r="V901" s="9"/>
      <c r="W901" s="9"/>
      <c r="X901" s="9"/>
      <c r="Y901" s="9"/>
      <c r="Z901" s="9"/>
    </row>
    <row x14ac:dyDescent="0.25" r="902" customHeight="1" ht="18.75">
      <c r="A902" s="9"/>
      <c r="B902" s="18"/>
      <c r="C902" s="18"/>
      <c r="D902" s="18"/>
      <c r="E902" s="18"/>
      <c r="F902" s="20"/>
      <c r="G902" s="20"/>
      <c r="H902" s="21"/>
      <c r="I902" s="22"/>
      <c r="J902" s="18"/>
      <c r="K902" s="18"/>
      <c r="L902" s="18"/>
      <c r="M902" s="19"/>
      <c r="N902" s="19"/>
      <c r="O902" s="22"/>
      <c r="P902" s="18"/>
      <c r="Q902" s="18"/>
      <c r="R902" s="9"/>
      <c r="S902" s="9"/>
      <c r="T902" s="9"/>
      <c r="U902" s="9"/>
      <c r="V902" s="9"/>
      <c r="W902" s="9"/>
      <c r="X902" s="9"/>
      <c r="Y902" s="9"/>
      <c r="Z902" s="9"/>
    </row>
    <row x14ac:dyDescent="0.25" r="903" customHeight="1" ht="18.75">
      <c r="A903" s="9"/>
      <c r="B903" s="18"/>
      <c r="C903" s="18"/>
      <c r="D903" s="18"/>
      <c r="E903" s="18"/>
      <c r="F903" s="20"/>
      <c r="G903" s="20"/>
      <c r="H903" s="21"/>
      <c r="I903" s="22"/>
      <c r="J903" s="18"/>
      <c r="K903" s="18"/>
      <c r="L903" s="18"/>
      <c r="M903" s="19"/>
      <c r="N903" s="19"/>
      <c r="O903" s="22"/>
      <c r="P903" s="18"/>
      <c r="Q903" s="18"/>
      <c r="R903" s="9"/>
      <c r="S903" s="9"/>
      <c r="T903" s="9"/>
      <c r="U903" s="9"/>
      <c r="V903" s="9"/>
      <c r="W903" s="9"/>
      <c r="X903" s="9"/>
      <c r="Y903" s="9"/>
      <c r="Z903" s="9"/>
    </row>
    <row x14ac:dyDescent="0.25" r="904" customHeight="1" ht="18.75">
      <c r="A904" s="9"/>
      <c r="B904" s="18"/>
      <c r="C904" s="18"/>
      <c r="D904" s="18"/>
      <c r="E904" s="18"/>
      <c r="F904" s="20"/>
      <c r="G904" s="20"/>
      <c r="H904" s="21"/>
      <c r="I904" s="22"/>
      <c r="J904" s="18"/>
      <c r="K904" s="18"/>
      <c r="L904" s="18"/>
      <c r="M904" s="19"/>
      <c r="N904" s="19"/>
      <c r="O904" s="22"/>
      <c r="P904" s="18"/>
      <c r="Q904" s="18"/>
      <c r="R904" s="9"/>
      <c r="S904" s="9"/>
      <c r="T904" s="9"/>
      <c r="U904" s="9"/>
      <c r="V904" s="9"/>
      <c r="W904" s="9"/>
      <c r="X904" s="9"/>
      <c r="Y904" s="9"/>
      <c r="Z904" s="9"/>
    </row>
    <row x14ac:dyDescent="0.25" r="905" customHeight="1" ht="18.75">
      <c r="A905" s="9"/>
      <c r="B905" s="18"/>
      <c r="C905" s="18"/>
      <c r="D905" s="18"/>
      <c r="E905" s="18"/>
      <c r="F905" s="20"/>
      <c r="G905" s="20"/>
      <c r="H905" s="21"/>
      <c r="I905" s="22"/>
      <c r="J905" s="18"/>
      <c r="K905" s="18"/>
      <c r="L905" s="18"/>
      <c r="M905" s="19"/>
      <c r="N905" s="19"/>
      <c r="O905" s="22"/>
      <c r="P905" s="18"/>
      <c r="Q905" s="18"/>
      <c r="R905" s="9"/>
      <c r="S905" s="9"/>
      <c r="T905" s="9"/>
      <c r="U905" s="9"/>
      <c r="V905" s="9"/>
      <c r="W905" s="9"/>
      <c r="X905" s="9"/>
      <c r="Y905" s="9"/>
      <c r="Z905" s="9"/>
    </row>
    <row x14ac:dyDescent="0.25" r="906" customHeight="1" ht="18.75">
      <c r="A906" s="9"/>
      <c r="B906" s="18"/>
      <c r="C906" s="18"/>
      <c r="D906" s="18"/>
      <c r="E906" s="18"/>
      <c r="F906" s="20"/>
      <c r="G906" s="20"/>
      <c r="H906" s="21"/>
      <c r="I906" s="22"/>
      <c r="J906" s="18"/>
      <c r="K906" s="18"/>
      <c r="L906" s="18"/>
      <c r="M906" s="19"/>
      <c r="N906" s="19"/>
      <c r="O906" s="22"/>
      <c r="P906" s="18"/>
      <c r="Q906" s="18"/>
      <c r="R906" s="9"/>
      <c r="S906" s="9"/>
      <c r="T906" s="9"/>
      <c r="U906" s="9"/>
      <c r="V906" s="9"/>
      <c r="W906" s="9"/>
      <c r="X906" s="9"/>
      <c r="Y906" s="9"/>
      <c r="Z906" s="9"/>
    </row>
    <row x14ac:dyDescent="0.25" r="907" customHeight="1" ht="18.75">
      <c r="A907" s="9"/>
      <c r="B907" s="18"/>
      <c r="C907" s="18"/>
      <c r="D907" s="18"/>
      <c r="E907" s="18"/>
      <c r="F907" s="20"/>
      <c r="G907" s="20"/>
      <c r="H907" s="21"/>
      <c r="I907" s="22"/>
      <c r="J907" s="18"/>
      <c r="K907" s="18"/>
      <c r="L907" s="18"/>
      <c r="M907" s="19"/>
      <c r="N907" s="19"/>
      <c r="O907" s="22"/>
      <c r="P907" s="18"/>
      <c r="Q907" s="18"/>
      <c r="R907" s="9"/>
      <c r="S907" s="9"/>
      <c r="T907" s="9"/>
      <c r="U907" s="9"/>
      <c r="V907" s="9"/>
      <c r="W907" s="9"/>
      <c r="X907" s="9"/>
      <c r="Y907" s="9"/>
      <c r="Z907" s="9"/>
    </row>
    <row x14ac:dyDescent="0.25" r="908" customHeight="1" ht="18.75">
      <c r="A908" s="9"/>
      <c r="B908" s="18"/>
      <c r="C908" s="18"/>
      <c r="D908" s="18"/>
      <c r="E908" s="18"/>
      <c r="F908" s="20"/>
      <c r="G908" s="20"/>
      <c r="H908" s="21"/>
      <c r="I908" s="22"/>
      <c r="J908" s="18"/>
      <c r="K908" s="18"/>
      <c r="L908" s="18"/>
      <c r="M908" s="19"/>
      <c r="N908" s="19"/>
      <c r="O908" s="22"/>
      <c r="P908" s="18"/>
      <c r="Q908" s="18"/>
      <c r="R908" s="9"/>
      <c r="S908" s="9"/>
      <c r="T908" s="9"/>
      <c r="U908" s="9"/>
      <c r="V908" s="9"/>
      <c r="W908" s="9"/>
      <c r="X908" s="9"/>
      <c r="Y908" s="9"/>
      <c r="Z908" s="9"/>
    </row>
    <row x14ac:dyDescent="0.25" r="909" customHeight="1" ht="18.75">
      <c r="A909" s="9"/>
      <c r="B909" s="18"/>
      <c r="C909" s="18"/>
      <c r="D909" s="18"/>
      <c r="E909" s="18"/>
      <c r="F909" s="20"/>
      <c r="G909" s="20"/>
      <c r="H909" s="21"/>
      <c r="I909" s="22"/>
      <c r="J909" s="18"/>
      <c r="K909" s="18"/>
      <c r="L909" s="18"/>
      <c r="M909" s="19"/>
      <c r="N909" s="19"/>
      <c r="O909" s="22"/>
      <c r="P909" s="18"/>
      <c r="Q909" s="18"/>
      <c r="R909" s="9"/>
      <c r="S909" s="9"/>
      <c r="T909" s="9"/>
      <c r="U909" s="9"/>
      <c r="V909" s="9"/>
      <c r="W909" s="9"/>
      <c r="X909" s="9"/>
      <c r="Y909" s="9"/>
      <c r="Z909" s="9"/>
    </row>
    <row x14ac:dyDescent="0.25" r="910" customHeight="1" ht="18.75">
      <c r="A910" s="9"/>
      <c r="B910" s="18"/>
      <c r="C910" s="18"/>
      <c r="D910" s="18"/>
      <c r="E910" s="18"/>
      <c r="F910" s="20"/>
      <c r="G910" s="20"/>
      <c r="H910" s="21"/>
      <c r="I910" s="22"/>
      <c r="J910" s="18"/>
      <c r="K910" s="18"/>
      <c r="L910" s="18"/>
      <c r="M910" s="19"/>
      <c r="N910" s="19"/>
      <c r="O910" s="22"/>
      <c r="P910" s="18"/>
      <c r="Q910" s="18"/>
      <c r="R910" s="9"/>
      <c r="S910" s="9"/>
      <c r="T910" s="9"/>
      <c r="U910" s="9"/>
      <c r="V910" s="9"/>
      <c r="W910" s="9"/>
      <c r="X910" s="9"/>
      <c r="Y910" s="9"/>
      <c r="Z910" s="9"/>
    </row>
    <row x14ac:dyDescent="0.25" r="911" customHeight="1" ht="18.75">
      <c r="A911" s="9"/>
      <c r="B911" s="18"/>
      <c r="C911" s="18"/>
      <c r="D911" s="18"/>
      <c r="E911" s="18"/>
      <c r="F911" s="20"/>
      <c r="G911" s="20"/>
      <c r="H911" s="21"/>
      <c r="I911" s="22"/>
      <c r="J911" s="18"/>
      <c r="K911" s="18"/>
      <c r="L911" s="18"/>
      <c r="M911" s="19"/>
      <c r="N911" s="19"/>
      <c r="O911" s="22"/>
      <c r="P911" s="18"/>
      <c r="Q911" s="18"/>
      <c r="R911" s="9"/>
      <c r="S911" s="9"/>
      <c r="T911" s="9"/>
      <c r="U911" s="9"/>
      <c r="V911" s="9"/>
      <c r="W911" s="9"/>
      <c r="X911" s="9"/>
      <c r="Y911" s="9"/>
      <c r="Z911" s="9"/>
    </row>
    <row x14ac:dyDescent="0.25" r="912" customHeight="1" ht="18.75">
      <c r="A912" s="9"/>
      <c r="B912" s="18"/>
      <c r="C912" s="18"/>
      <c r="D912" s="18"/>
      <c r="E912" s="18"/>
      <c r="F912" s="20"/>
      <c r="G912" s="20"/>
      <c r="H912" s="21"/>
      <c r="I912" s="22"/>
      <c r="J912" s="18"/>
      <c r="K912" s="18"/>
      <c r="L912" s="18"/>
      <c r="M912" s="19"/>
      <c r="N912" s="19"/>
      <c r="O912" s="22"/>
      <c r="P912" s="18"/>
      <c r="Q912" s="18"/>
      <c r="R912" s="9"/>
      <c r="S912" s="9"/>
      <c r="T912" s="9"/>
      <c r="U912" s="9"/>
      <c r="V912" s="9"/>
      <c r="W912" s="9"/>
      <c r="X912" s="9"/>
      <c r="Y912" s="9"/>
      <c r="Z912" s="9"/>
    </row>
    <row x14ac:dyDescent="0.25" r="913" customHeight="1" ht="18.75">
      <c r="A913" s="9"/>
      <c r="B913" s="18"/>
      <c r="C913" s="18"/>
      <c r="D913" s="18"/>
      <c r="E913" s="18"/>
      <c r="F913" s="20"/>
      <c r="G913" s="20"/>
      <c r="H913" s="21"/>
      <c r="I913" s="22"/>
      <c r="J913" s="18"/>
      <c r="K913" s="18"/>
      <c r="L913" s="18"/>
      <c r="M913" s="19"/>
      <c r="N913" s="19"/>
      <c r="O913" s="22"/>
      <c r="P913" s="18"/>
      <c r="Q913" s="18"/>
      <c r="R913" s="9"/>
      <c r="S913" s="9"/>
      <c r="T913" s="9"/>
      <c r="U913" s="9"/>
      <c r="V913" s="9"/>
      <c r="W913" s="9"/>
      <c r="X913" s="9"/>
      <c r="Y913" s="9"/>
      <c r="Z913" s="9"/>
    </row>
    <row x14ac:dyDescent="0.25" r="914" customHeight="1" ht="18.75">
      <c r="A914" s="9"/>
      <c r="B914" s="18"/>
      <c r="C914" s="18"/>
      <c r="D914" s="18"/>
      <c r="E914" s="18"/>
      <c r="F914" s="20"/>
      <c r="G914" s="20"/>
      <c r="H914" s="21"/>
      <c r="I914" s="22"/>
      <c r="J914" s="18"/>
      <c r="K914" s="18"/>
      <c r="L914" s="18"/>
      <c r="M914" s="19"/>
      <c r="N914" s="19"/>
      <c r="O914" s="22"/>
      <c r="P914" s="18"/>
      <c r="Q914" s="18"/>
      <c r="R914" s="9"/>
      <c r="S914" s="9"/>
      <c r="T914" s="9"/>
      <c r="U914" s="9"/>
      <c r="V914" s="9"/>
      <c r="W914" s="9"/>
      <c r="X914" s="9"/>
      <c r="Y914" s="9"/>
      <c r="Z914" s="9"/>
    </row>
    <row x14ac:dyDescent="0.25" r="915" customHeight="1" ht="18.75">
      <c r="A915" s="9"/>
      <c r="B915" s="18"/>
      <c r="C915" s="18"/>
      <c r="D915" s="18"/>
      <c r="E915" s="18"/>
      <c r="F915" s="20"/>
      <c r="G915" s="20"/>
      <c r="H915" s="21"/>
      <c r="I915" s="22"/>
      <c r="J915" s="18"/>
      <c r="K915" s="18"/>
      <c r="L915" s="18"/>
      <c r="M915" s="19"/>
      <c r="N915" s="19"/>
      <c r="O915" s="22"/>
      <c r="P915" s="18"/>
      <c r="Q915" s="18"/>
      <c r="R915" s="9"/>
      <c r="S915" s="9"/>
      <c r="T915" s="9"/>
      <c r="U915" s="9"/>
      <c r="V915" s="9"/>
      <c r="W915" s="9"/>
      <c r="X915" s="9"/>
      <c r="Y915" s="9"/>
      <c r="Z915" s="9"/>
    </row>
    <row x14ac:dyDescent="0.25" r="916" customHeight="1" ht="18.75">
      <c r="A916" s="9"/>
      <c r="B916" s="18"/>
      <c r="C916" s="18"/>
      <c r="D916" s="18"/>
      <c r="E916" s="18"/>
      <c r="F916" s="20"/>
      <c r="G916" s="20"/>
      <c r="H916" s="21"/>
      <c r="I916" s="22"/>
      <c r="J916" s="18"/>
      <c r="K916" s="18"/>
      <c r="L916" s="18"/>
      <c r="M916" s="19"/>
      <c r="N916" s="19"/>
      <c r="O916" s="22"/>
      <c r="P916" s="18"/>
      <c r="Q916" s="18"/>
      <c r="R916" s="9"/>
      <c r="S916" s="9"/>
      <c r="T916" s="9"/>
      <c r="U916" s="9"/>
      <c r="V916" s="9"/>
      <c r="W916" s="9"/>
      <c r="X916" s="9"/>
      <c r="Y916" s="9"/>
      <c r="Z916" s="9"/>
    </row>
    <row x14ac:dyDescent="0.25" r="917" customHeight="1" ht="18.75">
      <c r="A917" s="9"/>
      <c r="B917" s="18"/>
      <c r="C917" s="18"/>
      <c r="D917" s="18"/>
      <c r="E917" s="18"/>
      <c r="F917" s="20"/>
      <c r="G917" s="20"/>
      <c r="H917" s="21"/>
      <c r="I917" s="22"/>
      <c r="J917" s="18"/>
      <c r="K917" s="18"/>
      <c r="L917" s="18"/>
      <c r="M917" s="19"/>
      <c r="N917" s="19"/>
      <c r="O917" s="22"/>
      <c r="P917" s="18"/>
      <c r="Q917" s="18"/>
      <c r="R917" s="9"/>
      <c r="S917" s="9"/>
      <c r="T917" s="9"/>
      <c r="U917" s="9"/>
      <c r="V917" s="9"/>
      <c r="W917" s="9"/>
      <c r="X917" s="9"/>
      <c r="Y917" s="9"/>
      <c r="Z917" s="9"/>
    </row>
    <row x14ac:dyDescent="0.25" r="918" customHeight="1" ht="18.75">
      <c r="A918" s="9"/>
      <c r="B918" s="18"/>
      <c r="C918" s="18"/>
      <c r="D918" s="18"/>
      <c r="E918" s="18"/>
      <c r="F918" s="20"/>
      <c r="G918" s="20"/>
      <c r="H918" s="21"/>
      <c r="I918" s="22"/>
      <c r="J918" s="18"/>
      <c r="K918" s="18"/>
      <c r="L918" s="18"/>
      <c r="M918" s="19"/>
      <c r="N918" s="19"/>
      <c r="O918" s="22"/>
      <c r="P918" s="18"/>
      <c r="Q918" s="18"/>
      <c r="R918" s="9"/>
      <c r="S918" s="9"/>
      <c r="T918" s="9"/>
      <c r="U918" s="9"/>
      <c r="V918" s="9"/>
      <c r="W918" s="9"/>
      <c r="X918" s="9"/>
      <c r="Y918" s="9"/>
      <c r="Z918" s="9"/>
    </row>
    <row x14ac:dyDescent="0.25" r="919" customHeight="1" ht="18.75">
      <c r="A919" s="9"/>
      <c r="B919" s="18"/>
      <c r="C919" s="18"/>
      <c r="D919" s="18"/>
      <c r="E919" s="18"/>
      <c r="F919" s="20"/>
      <c r="G919" s="20"/>
      <c r="H919" s="21"/>
      <c r="I919" s="22"/>
      <c r="J919" s="18"/>
      <c r="K919" s="18"/>
      <c r="L919" s="18"/>
      <c r="M919" s="19"/>
      <c r="N919" s="19"/>
      <c r="O919" s="22"/>
      <c r="P919" s="18"/>
      <c r="Q919" s="18"/>
      <c r="R919" s="9"/>
      <c r="S919" s="9"/>
      <c r="T919" s="9"/>
      <c r="U919" s="9"/>
      <c r="V919" s="9"/>
      <c r="W919" s="9"/>
      <c r="X919" s="9"/>
      <c r="Y919" s="9"/>
      <c r="Z919" s="9"/>
    </row>
    <row x14ac:dyDescent="0.25" r="920" customHeight="1" ht="18.75">
      <c r="A920" s="9"/>
      <c r="B920" s="18"/>
      <c r="C920" s="18"/>
      <c r="D920" s="18"/>
      <c r="E920" s="18"/>
      <c r="F920" s="20"/>
      <c r="G920" s="20"/>
      <c r="H920" s="21"/>
      <c r="I920" s="22"/>
      <c r="J920" s="18"/>
      <c r="K920" s="18"/>
      <c r="L920" s="18"/>
      <c r="M920" s="19"/>
      <c r="N920" s="19"/>
      <c r="O920" s="22"/>
      <c r="P920" s="18"/>
      <c r="Q920" s="18"/>
      <c r="R920" s="9"/>
      <c r="S920" s="9"/>
      <c r="T920" s="9"/>
      <c r="U920" s="9"/>
      <c r="V920" s="9"/>
      <c r="W920" s="9"/>
      <c r="X920" s="9"/>
      <c r="Y920" s="9"/>
      <c r="Z920" s="9"/>
    </row>
    <row x14ac:dyDescent="0.25" r="921" customHeight="1" ht="18.75">
      <c r="A921" s="9"/>
      <c r="B921" s="18"/>
      <c r="C921" s="18"/>
      <c r="D921" s="18"/>
      <c r="E921" s="18"/>
      <c r="F921" s="20"/>
      <c r="G921" s="20"/>
      <c r="H921" s="21"/>
      <c r="I921" s="22"/>
      <c r="J921" s="18"/>
      <c r="K921" s="18"/>
      <c r="L921" s="18"/>
      <c r="M921" s="19"/>
      <c r="N921" s="19"/>
      <c r="O921" s="22"/>
      <c r="P921" s="18"/>
      <c r="Q921" s="18"/>
      <c r="R921" s="9"/>
      <c r="S921" s="9"/>
      <c r="T921" s="9"/>
      <c r="U921" s="9"/>
      <c r="V921" s="9"/>
      <c r="W921" s="9"/>
      <c r="X921" s="9"/>
      <c r="Y921" s="9"/>
      <c r="Z921" s="9"/>
    </row>
    <row x14ac:dyDescent="0.25" r="922" customHeight="1" ht="18.75">
      <c r="A922" s="9"/>
      <c r="B922" s="18"/>
      <c r="C922" s="18"/>
      <c r="D922" s="18"/>
      <c r="E922" s="18"/>
      <c r="F922" s="20"/>
      <c r="G922" s="20"/>
      <c r="H922" s="21"/>
      <c r="I922" s="22"/>
      <c r="J922" s="18"/>
      <c r="K922" s="18"/>
      <c r="L922" s="18"/>
      <c r="M922" s="19"/>
      <c r="N922" s="19"/>
      <c r="O922" s="22"/>
      <c r="P922" s="18"/>
      <c r="Q922" s="18"/>
      <c r="R922" s="9"/>
      <c r="S922" s="9"/>
      <c r="T922" s="9"/>
      <c r="U922" s="9"/>
      <c r="V922" s="9"/>
      <c r="W922" s="9"/>
      <c r="X922" s="9"/>
      <c r="Y922" s="9"/>
      <c r="Z922" s="9"/>
    </row>
    <row x14ac:dyDescent="0.25" r="923" customHeight="1" ht="18.75">
      <c r="A923" s="9"/>
      <c r="B923" s="18"/>
      <c r="C923" s="18"/>
      <c r="D923" s="18"/>
      <c r="E923" s="18"/>
      <c r="F923" s="20"/>
      <c r="G923" s="20"/>
      <c r="H923" s="21"/>
      <c r="I923" s="22"/>
      <c r="J923" s="18"/>
      <c r="K923" s="18"/>
      <c r="L923" s="18"/>
      <c r="M923" s="19"/>
      <c r="N923" s="19"/>
      <c r="O923" s="22"/>
      <c r="P923" s="18"/>
      <c r="Q923" s="18"/>
      <c r="R923" s="9"/>
      <c r="S923" s="9"/>
      <c r="T923" s="9"/>
      <c r="U923" s="9"/>
      <c r="V923" s="9"/>
      <c r="W923" s="9"/>
      <c r="X923" s="9"/>
      <c r="Y923" s="9"/>
      <c r="Z923" s="9"/>
    </row>
    <row x14ac:dyDescent="0.25" r="924" customHeight="1" ht="18.75">
      <c r="A924" s="9"/>
      <c r="B924" s="18"/>
      <c r="C924" s="18"/>
      <c r="D924" s="18"/>
      <c r="E924" s="18"/>
      <c r="F924" s="20"/>
      <c r="G924" s="20"/>
      <c r="H924" s="21"/>
      <c r="I924" s="22"/>
      <c r="J924" s="18"/>
      <c r="K924" s="18"/>
      <c r="L924" s="18"/>
      <c r="M924" s="19"/>
      <c r="N924" s="19"/>
      <c r="O924" s="22"/>
      <c r="P924" s="18"/>
      <c r="Q924" s="18"/>
      <c r="R924" s="9"/>
      <c r="S924" s="9"/>
      <c r="T924" s="9"/>
      <c r="U924" s="9"/>
      <c r="V924" s="9"/>
      <c r="W924" s="9"/>
      <c r="X924" s="9"/>
      <c r="Y924" s="9"/>
      <c r="Z924" s="9"/>
    </row>
    <row x14ac:dyDescent="0.25" r="925" customHeight="1" ht="18.75">
      <c r="A925" s="9"/>
      <c r="B925" s="18"/>
      <c r="C925" s="18"/>
      <c r="D925" s="18"/>
      <c r="E925" s="18"/>
      <c r="F925" s="20"/>
      <c r="G925" s="20"/>
      <c r="H925" s="21"/>
      <c r="I925" s="22"/>
      <c r="J925" s="18"/>
      <c r="K925" s="18"/>
      <c r="L925" s="18"/>
      <c r="M925" s="19"/>
      <c r="N925" s="19"/>
      <c r="O925" s="22"/>
      <c r="P925" s="18"/>
      <c r="Q925" s="18"/>
      <c r="R925" s="9"/>
      <c r="S925" s="9"/>
      <c r="T925" s="9"/>
      <c r="U925" s="9"/>
      <c r="V925" s="9"/>
      <c r="W925" s="9"/>
      <c r="X925" s="9"/>
      <c r="Y925" s="9"/>
      <c r="Z925" s="9"/>
    </row>
    <row x14ac:dyDescent="0.25" r="926" customHeight="1" ht="18.75">
      <c r="A926" s="9"/>
      <c r="B926" s="18"/>
      <c r="C926" s="18"/>
      <c r="D926" s="18"/>
      <c r="E926" s="18"/>
      <c r="F926" s="20"/>
      <c r="G926" s="20"/>
      <c r="H926" s="21"/>
      <c r="I926" s="22"/>
      <c r="J926" s="18"/>
      <c r="K926" s="18"/>
      <c r="L926" s="18"/>
      <c r="M926" s="19"/>
      <c r="N926" s="19"/>
      <c r="O926" s="22"/>
      <c r="P926" s="18"/>
      <c r="Q926" s="18"/>
      <c r="R926" s="9"/>
      <c r="S926" s="9"/>
      <c r="T926" s="9"/>
      <c r="U926" s="9"/>
      <c r="V926" s="9"/>
      <c r="W926" s="9"/>
      <c r="X926" s="9"/>
      <c r="Y926" s="9"/>
      <c r="Z926" s="9"/>
    </row>
    <row x14ac:dyDescent="0.25" r="927" customHeight="1" ht="18.75">
      <c r="A927" s="9"/>
      <c r="B927" s="18"/>
      <c r="C927" s="18"/>
      <c r="D927" s="18"/>
      <c r="E927" s="18"/>
      <c r="F927" s="20"/>
      <c r="G927" s="20"/>
      <c r="H927" s="21"/>
      <c r="I927" s="22"/>
      <c r="J927" s="18"/>
      <c r="K927" s="18"/>
      <c r="L927" s="18"/>
      <c r="M927" s="19"/>
      <c r="N927" s="19"/>
      <c r="O927" s="22"/>
      <c r="P927" s="18"/>
      <c r="Q927" s="18"/>
      <c r="R927" s="9"/>
      <c r="S927" s="9"/>
      <c r="T927" s="9"/>
      <c r="U927" s="9"/>
      <c r="V927" s="9"/>
      <c r="W927" s="9"/>
      <c r="X927" s="9"/>
      <c r="Y927" s="9"/>
      <c r="Z927" s="9"/>
    </row>
    <row x14ac:dyDescent="0.25" r="928" customHeight="1" ht="18.75">
      <c r="A928" s="9"/>
      <c r="B928" s="18"/>
      <c r="C928" s="18"/>
      <c r="D928" s="18"/>
      <c r="E928" s="18"/>
      <c r="F928" s="20"/>
      <c r="G928" s="20"/>
      <c r="H928" s="21"/>
      <c r="I928" s="22"/>
      <c r="J928" s="18"/>
      <c r="K928" s="18"/>
      <c r="L928" s="18"/>
      <c r="M928" s="19"/>
      <c r="N928" s="19"/>
      <c r="O928" s="22"/>
      <c r="P928" s="18"/>
      <c r="Q928" s="18"/>
      <c r="R928" s="9"/>
      <c r="S928" s="9"/>
      <c r="T928" s="9"/>
      <c r="U928" s="9"/>
      <c r="V928" s="9"/>
      <c r="W928" s="9"/>
      <c r="X928" s="9"/>
      <c r="Y928" s="9"/>
      <c r="Z928" s="9"/>
    </row>
    <row x14ac:dyDescent="0.25" r="929" customHeight="1" ht="18.75">
      <c r="A929" s="9"/>
      <c r="B929" s="18"/>
      <c r="C929" s="18"/>
      <c r="D929" s="18"/>
      <c r="E929" s="18"/>
      <c r="F929" s="20"/>
      <c r="G929" s="20"/>
      <c r="H929" s="21"/>
      <c r="I929" s="22"/>
      <c r="J929" s="18"/>
      <c r="K929" s="18"/>
      <c r="L929" s="18"/>
      <c r="M929" s="19"/>
      <c r="N929" s="19"/>
      <c r="O929" s="22"/>
      <c r="P929" s="18"/>
      <c r="Q929" s="18"/>
      <c r="R929" s="9"/>
      <c r="S929" s="9"/>
      <c r="T929" s="9"/>
      <c r="U929" s="9"/>
      <c r="V929" s="9"/>
      <c r="W929" s="9"/>
      <c r="X929" s="9"/>
      <c r="Y929" s="9"/>
      <c r="Z929" s="9"/>
    </row>
    <row x14ac:dyDescent="0.25" r="930" customHeight="1" ht="18.75">
      <c r="A930" s="9"/>
      <c r="B930" s="18"/>
      <c r="C930" s="18"/>
      <c r="D930" s="18"/>
      <c r="E930" s="18"/>
      <c r="F930" s="20"/>
      <c r="G930" s="20"/>
      <c r="H930" s="21"/>
      <c r="I930" s="22"/>
      <c r="J930" s="18"/>
      <c r="K930" s="18"/>
      <c r="L930" s="18"/>
      <c r="M930" s="19"/>
      <c r="N930" s="19"/>
      <c r="O930" s="22"/>
      <c r="P930" s="18"/>
      <c r="Q930" s="18"/>
      <c r="R930" s="9"/>
      <c r="S930" s="9"/>
      <c r="T930" s="9"/>
      <c r="U930" s="9"/>
      <c r="V930" s="9"/>
      <c r="W930" s="9"/>
      <c r="X930" s="9"/>
      <c r="Y930" s="9"/>
      <c r="Z930" s="9"/>
    </row>
    <row x14ac:dyDescent="0.25" r="931" customHeight="1" ht="18.75">
      <c r="A931" s="9"/>
      <c r="B931" s="18"/>
      <c r="C931" s="18"/>
      <c r="D931" s="18"/>
      <c r="E931" s="18"/>
      <c r="F931" s="20"/>
      <c r="G931" s="20"/>
      <c r="H931" s="21"/>
      <c r="I931" s="22"/>
      <c r="J931" s="18"/>
      <c r="K931" s="18"/>
      <c r="L931" s="18"/>
      <c r="M931" s="19"/>
      <c r="N931" s="19"/>
      <c r="O931" s="22"/>
      <c r="P931" s="18"/>
      <c r="Q931" s="18"/>
      <c r="R931" s="9"/>
      <c r="S931" s="9"/>
      <c r="T931" s="9"/>
      <c r="U931" s="9"/>
      <c r="V931" s="9"/>
      <c r="W931" s="9"/>
      <c r="X931" s="9"/>
      <c r="Y931" s="9"/>
      <c r="Z931" s="9"/>
    </row>
    <row x14ac:dyDescent="0.25" r="932" customHeight="1" ht="18.75">
      <c r="A932" s="9"/>
      <c r="B932" s="18"/>
      <c r="C932" s="18"/>
      <c r="D932" s="18"/>
      <c r="E932" s="18"/>
      <c r="F932" s="20"/>
      <c r="G932" s="20"/>
      <c r="H932" s="21"/>
      <c r="I932" s="22"/>
      <c r="J932" s="18"/>
      <c r="K932" s="18"/>
      <c r="L932" s="18"/>
      <c r="M932" s="19"/>
      <c r="N932" s="19"/>
      <c r="O932" s="22"/>
      <c r="P932" s="18"/>
      <c r="Q932" s="18"/>
      <c r="R932" s="9"/>
      <c r="S932" s="9"/>
      <c r="T932" s="9"/>
      <c r="U932" s="9"/>
      <c r="V932" s="9"/>
      <c r="W932" s="9"/>
      <c r="X932" s="9"/>
      <c r="Y932" s="9"/>
      <c r="Z932" s="9"/>
    </row>
    <row x14ac:dyDescent="0.25" r="933" customHeight="1" ht="18.75">
      <c r="A933" s="9"/>
      <c r="B933" s="18"/>
      <c r="C933" s="18"/>
      <c r="D933" s="18"/>
      <c r="E933" s="18"/>
      <c r="F933" s="20"/>
      <c r="G933" s="20"/>
      <c r="H933" s="21"/>
      <c r="I933" s="22"/>
      <c r="J933" s="18"/>
      <c r="K933" s="18"/>
      <c r="L933" s="18"/>
      <c r="M933" s="19"/>
      <c r="N933" s="19"/>
      <c r="O933" s="22"/>
      <c r="P933" s="18"/>
      <c r="Q933" s="18"/>
      <c r="R933" s="9"/>
      <c r="S933" s="9"/>
      <c r="T933" s="9"/>
      <c r="U933" s="9"/>
      <c r="V933" s="9"/>
      <c r="W933" s="9"/>
      <c r="X933" s="9"/>
      <c r="Y933" s="9"/>
      <c r="Z933" s="9"/>
    </row>
    <row x14ac:dyDescent="0.25" r="934" customHeight="1" ht="18.75">
      <c r="A934" s="9"/>
      <c r="B934" s="18"/>
      <c r="C934" s="18"/>
      <c r="D934" s="18"/>
      <c r="E934" s="18"/>
      <c r="F934" s="20"/>
      <c r="G934" s="20"/>
      <c r="H934" s="21"/>
      <c r="I934" s="22"/>
      <c r="J934" s="18"/>
      <c r="K934" s="18"/>
      <c r="L934" s="18"/>
      <c r="M934" s="19"/>
      <c r="N934" s="19"/>
      <c r="O934" s="22"/>
      <c r="P934" s="18"/>
      <c r="Q934" s="18"/>
      <c r="R934" s="9"/>
      <c r="S934" s="9"/>
      <c r="T934" s="9"/>
      <c r="U934" s="9"/>
      <c r="V934" s="9"/>
      <c r="W934" s="9"/>
      <c r="X934" s="9"/>
      <c r="Y934" s="9"/>
      <c r="Z934" s="9"/>
    </row>
    <row x14ac:dyDescent="0.25" r="935" customHeight="1" ht="18.75">
      <c r="A935" s="9"/>
      <c r="B935" s="18"/>
      <c r="C935" s="18"/>
      <c r="D935" s="18"/>
      <c r="E935" s="18"/>
      <c r="F935" s="20"/>
      <c r="G935" s="20"/>
      <c r="H935" s="21"/>
      <c r="I935" s="22"/>
      <c r="J935" s="18"/>
      <c r="K935" s="18"/>
      <c r="L935" s="18"/>
      <c r="M935" s="19"/>
      <c r="N935" s="19"/>
      <c r="O935" s="22"/>
      <c r="P935" s="18"/>
      <c r="Q935" s="18"/>
      <c r="R935" s="9"/>
      <c r="S935" s="9"/>
      <c r="T935" s="9"/>
      <c r="U935" s="9"/>
      <c r="V935" s="9"/>
      <c r="W935" s="9"/>
      <c r="X935" s="9"/>
      <c r="Y935" s="9"/>
      <c r="Z935" s="9"/>
    </row>
    <row x14ac:dyDescent="0.25" r="936" customHeight="1" ht="18.75">
      <c r="A936" s="9"/>
      <c r="B936" s="18"/>
      <c r="C936" s="18"/>
      <c r="D936" s="18"/>
      <c r="E936" s="18"/>
      <c r="F936" s="20"/>
      <c r="G936" s="20"/>
      <c r="H936" s="21"/>
      <c r="I936" s="22"/>
      <c r="J936" s="18"/>
      <c r="K936" s="18"/>
      <c r="L936" s="18"/>
      <c r="M936" s="19"/>
      <c r="N936" s="19"/>
      <c r="O936" s="22"/>
      <c r="P936" s="18"/>
      <c r="Q936" s="18"/>
      <c r="R936" s="9"/>
      <c r="S936" s="9"/>
      <c r="T936" s="9"/>
      <c r="U936" s="9"/>
      <c r="V936" s="9"/>
      <c r="W936" s="9"/>
      <c r="X936" s="9"/>
      <c r="Y936" s="9"/>
      <c r="Z936" s="9"/>
    </row>
    <row x14ac:dyDescent="0.25" r="937" customHeight="1" ht="18.75">
      <c r="A937" s="9"/>
      <c r="B937" s="18"/>
      <c r="C937" s="18"/>
      <c r="D937" s="18"/>
      <c r="E937" s="18"/>
      <c r="F937" s="20"/>
      <c r="G937" s="20"/>
      <c r="H937" s="21"/>
      <c r="I937" s="22"/>
      <c r="J937" s="18"/>
      <c r="K937" s="18"/>
      <c r="L937" s="18"/>
      <c r="M937" s="19"/>
      <c r="N937" s="19"/>
      <c r="O937" s="22"/>
      <c r="P937" s="18"/>
      <c r="Q937" s="18"/>
      <c r="R937" s="9"/>
      <c r="S937" s="9"/>
      <c r="T937" s="9"/>
      <c r="U937" s="9"/>
      <c r="V937" s="9"/>
      <c r="W937" s="9"/>
      <c r="X937" s="9"/>
      <c r="Y937" s="9"/>
      <c r="Z937" s="9"/>
    </row>
    <row x14ac:dyDescent="0.25" r="938" customHeight="1" ht="18.75">
      <c r="A938" s="9"/>
      <c r="B938" s="18"/>
      <c r="C938" s="18"/>
      <c r="D938" s="18"/>
      <c r="E938" s="18"/>
      <c r="F938" s="20"/>
      <c r="G938" s="20"/>
      <c r="H938" s="21"/>
      <c r="I938" s="22"/>
      <c r="J938" s="18"/>
      <c r="K938" s="18"/>
      <c r="L938" s="18"/>
      <c r="M938" s="19"/>
      <c r="N938" s="19"/>
      <c r="O938" s="22"/>
      <c r="P938" s="18"/>
      <c r="Q938" s="18"/>
      <c r="R938" s="9"/>
      <c r="S938" s="9"/>
      <c r="T938" s="9"/>
      <c r="U938" s="9"/>
      <c r="V938" s="9"/>
      <c r="W938" s="9"/>
      <c r="X938" s="9"/>
      <c r="Y938" s="9"/>
      <c r="Z938" s="9"/>
    </row>
    <row x14ac:dyDescent="0.25" r="939" customHeight="1" ht="18.75">
      <c r="A939" s="9"/>
      <c r="B939" s="18"/>
      <c r="C939" s="18"/>
      <c r="D939" s="18"/>
      <c r="E939" s="18"/>
      <c r="F939" s="20"/>
      <c r="G939" s="20"/>
      <c r="H939" s="21"/>
      <c r="I939" s="22"/>
      <c r="J939" s="18"/>
      <c r="K939" s="18"/>
      <c r="L939" s="18"/>
      <c r="M939" s="19"/>
      <c r="N939" s="19"/>
      <c r="O939" s="22"/>
      <c r="P939" s="18"/>
      <c r="Q939" s="18"/>
      <c r="R939" s="9"/>
      <c r="S939" s="9"/>
      <c r="T939" s="9"/>
      <c r="U939" s="9"/>
      <c r="V939" s="9"/>
      <c r="W939" s="9"/>
      <c r="X939" s="9"/>
      <c r="Y939" s="9"/>
      <c r="Z939" s="9"/>
    </row>
    <row x14ac:dyDescent="0.25" r="940" customHeight="1" ht="18.75">
      <c r="A940" s="9"/>
      <c r="B940" s="18"/>
      <c r="C940" s="18"/>
      <c r="D940" s="18"/>
      <c r="E940" s="18"/>
      <c r="F940" s="19"/>
      <c r="G940" s="20"/>
      <c r="H940" s="21"/>
      <c r="I940" s="22"/>
      <c r="J940" s="18"/>
      <c r="K940" s="18"/>
      <c r="L940" s="18"/>
      <c r="M940" s="19"/>
      <c r="N940" s="19"/>
      <c r="O940" s="22"/>
      <c r="P940" s="18"/>
      <c r="Q940" s="18"/>
      <c r="R940" s="9"/>
      <c r="S940" s="9"/>
      <c r="T940" s="9"/>
      <c r="U940" s="9"/>
      <c r="V940" s="9"/>
      <c r="W940" s="9"/>
      <c r="X940" s="9"/>
      <c r="Y940" s="9"/>
      <c r="Z940" s="9"/>
    </row>
    <row x14ac:dyDescent="0.25" r="941" customHeight="1" ht="18.75">
      <c r="A941" s="9"/>
      <c r="B941" s="18"/>
      <c r="C941" s="18"/>
      <c r="D941" s="18"/>
      <c r="E941" s="18"/>
      <c r="F941" s="19"/>
      <c r="G941" s="20"/>
      <c r="H941" s="21"/>
      <c r="I941" s="22"/>
      <c r="J941" s="18"/>
      <c r="K941" s="18"/>
      <c r="L941" s="18"/>
      <c r="M941" s="19"/>
      <c r="N941" s="19"/>
      <c r="O941" s="22"/>
      <c r="P941" s="18"/>
      <c r="Q941" s="18"/>
      <c r="R941" s="9"/>
      <c r="S941" s="9"/>
      <c r="T941" s="9"/>
      <c r="U941" s="9"/>
      <c r="V941" s="9"/>
      <c r="W941" s="9"/>
      <c r="X941" s="9"/>
      <c r="Y941" s="9"/>
      <c r="Z941" s="9"/>
    </row>
    <row x14ac:dyDescent="0.25" r="942" customHeight="1" ht="18.75">
      <c r="A942" s="9"/>
      <c r="B942" s="18"/>
      <c r="C942" s="18"/>
      <c r="D942" s="18"/>
      <c r="E942" s="18"/>
      <c r="F942" s="19"/>
      <c r="G942" s="20"/>
      <c r="H942" s="21"/>
      <c r="I942" s="22"/>
      <c r="J942" s="18"/>
      <c r="K942" s="18"/>
      <c r="L942" s="18"/>
      <c r="M942" s="19"/>
      <c r="N942" s="19"/>
      <c r="O942" s="22"/>
      <c r="P942" s="18"/>
      <c r="Q942" s="18"/>
      <c r="R942" s="9"/>
      <c r="S942" s="9"/>
      <c r="T942" s="9"/>
      <c r="U942" s="9"/>
      <c r="V942" s="9"/>
      <c r="W942" s="9"/>
      <c r="X942" s="9"/>
      <c r="Y942" s="9"/>
      <c r="Z942" s="9"/>
    </row>
    <row x14ac:dyDescent="0.25" r="943" customHeight="1" ht="18.75">
      <c r="A943" s="9"/>
      <c r="B943" s="18"/>
      <c r="C943" s="18"/>
      <c r="D943" s="18"/>
      <c r="E943" s="18"/>
      <c r="F943" s="19"/>
      <c r="G943" s="20"/>
      <c r="H943" s="21"/>
      <c r="I943" s="22"/>
      <c r="J943" s="18"/>
      <c r="K943" s="18"/>
      <c r="L943" s="18"/>
      <c r="M943" s="19"/>
      <c r="N943" s="19"/>
      <c r="O943" s="22"/>
      <c r="P943" s="18"/>
      <c r="Q943" s="18"/>
      <c r="R943" s="9"/>
      <c r="S943" s="9"/>
      <c r="T943" s="9"/>
      <c r="U943" s="9"/>
      <c r="V943" s="9"/>
      <c r="W943" s="9"/>
      <c r="X943" s="9"/>
      <c r="Y943" s="9"/>
      <c r="Z943" s="9"/>
    </row>
    <row x14ac:dyDescent="0.25" r="944" customHeight="1" ht="18.75">
      <c r="A944" s="9"/>
      <c r="B944" s="18"/>
      <c r="C944" s="18"/>
      <c r="D944" s="18"/>
      <c r="E944" s="18"/>
      <c r="F944" s="19"/>
      <c r="G944" s="20"/>
      <c r="H944" s="21"/>
      <c r="I944" s="22"/>
      <c r="J944" s="18"/>
      <c r="K944" s="18"/>
      <c r="L944" s="18"/>
      <c r="M944" s="19"/>
      <c r="N944" s="19"/>
      <c r="O944" s="22"/>
      <c r="P944" s="18"/>
      <c r="Q944" s="18"/>
      <c r="R944" s="9"/>
      <c r="S944" s="9"/>
      <c r="T944" s="9"/>
      <c r="U944" s="9"/>
      <c r="V944" s="9"/>
      <c r="W944" s="9"/>
      <c r="X944" s="9"/>
      <c r="Y944" s="9"/>
      <c r="Z944" s="9"/>
    </row>
    <row x14ac:dyDescent="0.25" r="945" customHeight="1" ht="18.75">
      <c r="A945" s="9"/>
      <c r="B945" s="18"/>
      <c r="C945" s="18"/>
      <c r="D945" s="18"/>
      <c r="E945" s="18"/>
      <c r="F945" s="19"/>
      <c r="G945" s="20"/>
      <c r="H945" s="21"/>
      <c r="I945" s="22"/>
      <c r="J945" s="18"/>
      <c r="K945" s="18"/>
      <c r="L945" s="18"/>
      <c r="M945" s="19"/>
      <c r="N945" s="19"/>
      <c r="O945" s="22"/>
      <c r="P945" s="18"/>
      <c r="Q945" s="18"/>
      <c r="R945" s="9"/>
      <c r="S945" s="9"/>
      <c r="T945" s="9"/>
      <c r="U945" s="9"/>
      <c r="V945" s="9"/>
      <c r="W945" s="9"/>
      <c r="X945" s="9"/>
      <c r="Y945" s="9"/>
      <c r="Z945" s="9"/>
    </row>
    <row x14ac:dyDescent="0.25" r="946" customHeight="1" ht="18.75">
      <c r="A946" s="9"/>
      <c r="B946" s="18"/>
      <c r="C946" s="18"/>
      <c r="D946" s="18"/>
      <c r="E946" s="18"/>
      <c r="F946" s="19"/>
      <c r="G946" s="20"/>
      <c r="H946" s="21"/>
      <c r="I946" s="22"/>
      <c r="J946" s="18"/>
      <c r="K946" s="18"/>
      <c r="L946" s="18"/>
      <c r="M946" s="19"/>
      <c r="N946" s="19"/>
      <c r="O946" s="22"/>
      <c r="P946" s="18"/>
      <c r="Q946" s="18"/>
      <c r="R946" s="9"/>
      <c r="S946" s="9"/>
      <c r="T946" s="9"/>
      <c r="U946" s="9"/>
      <c r="V946" s="9"/>
      <c r="W946" s="9"/>
      <c r="X946" s="9"/>
      <c r="Y946" s="9"/>
      <c r="Z946" s="9"/>
    </row>
    <row x14ac:dyDescent="0.25" r="947" customHeight="1" ht="18.75">
      <c r="A947" s="9"/>
      <c r="B947" s="18"/>
      <c r="C947" s="18"/>
      <c r="D947" s="18"/>
      <c r="E947" s="18"/>
      <c r="F947" s="19"/>
      <c r="G947" s="20"/>
      <c r="H947" s="21"/>
      <c r="I947" s="22"/>
      <c r="J947" s="18"/>
      <c r="K947" s="18"/>
      <c r="L947" s="18"/>
      <c r="M947" s="19"/>
      <c r="N947" s="19"/>
      <c r="O947" s="22"/>
      <c r="P947" s="18"/>
      <c r="Q947" s="18"/>
      <c r="R947" s="9"/>
      <c r="S947" s="9"/>
      <c r="T947" s="9"/>
      <c r="U947" s="9"/>
      <c r="V947" s="9"/>
      <c r="W947" s="9"/>
      <c r="X947" s="9"/>
      <c r="Y947" s="9"/>
      <c r="Z947" s="9"/>
    </row>
    <row x14ac:dyDescent="0.25" r="948" customHeight="1" ht="18.75">
      <c r="A948" s="9"/>
      <c r="B948" s="18"/>
      <c r="C948" s="18"/>
      <c r="D948" s="18"/>
      <c r="E948" s="18"/>
      <c r="F948" s="19"/>
      <c r="G948" s="20"/>
      <c r="H948" s="21"/>
      <c r="I948" s="22"/>
      <c r="J948" s="18"/>
      <c r="K948" s="18"/>
      <c r="L948" s="18"/>
      <c r="M948" s="19"/>
      <c r="N948" s="19"/>
      <c r="O948" s="22"/>
      <c r="P948" s="18"/>
      <c r="Q948" s="18"/>
      <c r="R948" s="9"/>
      <c r="S948" s="9"/>
      <c r="T948" s="9"/>
      <c r="U948" s="9"/>
      <c r="V948" s="9"/>
      <c r="W948" s="9"/>
      <c r="X948" s="9"/>
      <c r="Y948" s="9"/>
      <c r="Z948" s="9"/>
    </row>
    <row x14ac:dyDescent="0.25" r="949" customHeight="1" ht="18.75">
      <c r="A949" s="9"/>
      <c r="B949" s="18"/>
      <c r="C949" s="18"/>
      <c r="D949" s="18"/>
      <c r="E949" s="18"/>
      <c r="F949" s="19"/>
      <c r="G949" s="20"/>
      <c r="H949" s="21"/>
      <c r="I949" s="22"/>
      <c r="J949" s="18"/>
      <c r="K949" s="18"/>
      <c r="L949" s="18"/>
      <c r="M949" s="19"/>
      <c r="N949" s="19"/>
      <c r="O949" s="22"/>
      <c r="P949" s="18"/>
      <c r="Q949" s="18"/>
      <c r="R949" s="9"/>
      <c r="S949" s="9"/>
      <c r="T949" s="9"/>
      <c r="U949" s="9"/>
      <c r="V949" s="9"/>
      <c r="W949" s="9"/>
      <c r="X949" s="9"/>
      <c r="Y949" s="9"/>
      <c r="Z949" s="9"/>
    </row>
    <row x14ac:dyDescent="0.25" r="950" customHeight="1" ht="18.75">
      <c r="A950" s="9"/>
      <c r="B950" s="18"/>
      <c r="C950" s="18"/>
      <c r="D950" s="18"/>
      <c r="E950" s="18"/>
      <c r="F950" s="19"/>
      <c r="G950" s="20"/>
      <c r="H950" s="21"/>
      <c r="I950" s="22"/>
      <c r="J950" s="18"/>
      <c r="K950" s="18"/>
      <c r="L950" s="18"/>
      <c r="M950" s="19"/>
      <c r="N950" s="19"/>
      <c r="O950" s="22"/>
      <c r="P950" s="18"/>
      <c r="Q950" s="18"/>
      <c r="R950" s="9"/>
      <c r="S950" s="9"/>
      <c r="T950" s="9"/>
      <c r="U950" s="9"/>
      <c r="V950" s="9"/>
      <c r="W950" s="9"/>
      <c r="X950" s="9"/>
      <c r="Y950" s="9"/>
      <c r="Z950" s="9"/>
    </row>
    <row x14ac:dyDescent="0.25" r="951" customHeight="1" ht="18.75">
      <c r="A951" s="9"/>
      <c r="B951" s="18"/>
      <c r="C951" s="18"/>
      <c r="D951" s="18"/>
      <c r="E951" s="18"/>
      <c r="F951" s="19"/>
      <c r="G951" s="20"/>
      <c r="H951" s="21"/>
      <c r="I951" s="22"/>
      <c r="J951" s="18"/>
      <c r="K951" s="18"/>
      <c r="L951" s="18"/>
      <c r="M951" s="19"/>
      <c r="N951" s="19"/>
      <c r="O951" s="22"/>
      <c r="P951" s="18"/>
      <c r="Q951" s="18"/>
      <c r="R951" s="9"/>
      <c r="S951" s="9"/>
      <c r="T951" s="9"/>
      <c r="U951" s="9"/>
      <c r="V951" s="9"/>
      <c r="W951" s="9"/>
      <c r="X951" s="9"/>
      <c r="Y951" s="9"/>
      <c r="Z951" s="9"/>
    </row>
    <row x14ac:dyDescent="0.25" r="952" customHeight="1" ht="18.75">
      <c r="A952" s="9"/>
      <c r="B952" s="18"/>
      <c r="C952" s="18"/>
      <c r="D952" s="18"/>
      <c r="E952" s="18"/>
      <c r="F952" s="19"/>
      <c r="G952" s="20"/>
      <c r="H952" s="21"/>
      <c r="I952" s="22"/>
      <c r="J952" s="18"/>
      <c r="K952" s="18"/>
      <c r="L952" s="18"/>
      <c r="M952" s="19"/>
      <c r="N952" s="19"/>
      <c r="O952" s="22"/>
      <c r="P952" s="18"/>
      <c r="Q952" s="18"/>
      <c r="R952" s="9"/>
      <c r="S952" s="9"/>
      <c r="T952" s="9"/>
      <c r="U952" s="9"/>
      <c r="V952" s="9"/>
      <c r="W952" s="9"/>
      <c r="X952" s="9"/>
      <c r="Y952" s="9"/>
      <c r="Z952" s="9"/>
    </row>
    <row x14ac:dyDescent="0.25" r="953" customHeight="1" ht="18.75">
      <c r="A953" s="9"/>
      <c r="B953" s="18"/>
      <c r="C953" s="18"/>
      <c r="D953" s="18"/>
      <c r="E953" s="18"/>
      <c r="F953" s="19"/>
      <c r="G953" s="20"/>
      <c r="H953" s="21"/>
      <c r="I953" s="22"/>
      <c r="J953" s="18"/>
      <c r="K953" s="18"/>
      <c r="L953" s="18"/>
      <c r="M953" s="19"/>
      <c r="N953" s="19"/>
      <c r="O953" s="22"/>
      <c r="P953" s="18"/>
      <c r="Q953" s="18"/>
      <c r="R953" s="9"/>
      <c r="S953" s="9"/>
      <c r="T953" s="9"/>
      <c r="U953" s="9"/>
      <c r="V953" s="9"/>
      <c r="W953" s="9"/>
      <c r="X953" s="9"/>
      <c r="Y953" s="9"/>
      <c r="Z953" s="9"/>
    </row>
    <row x14ac:dyDescent="0.25" r="954" customHeight="1" ht="18.75">
      <c r="A954" s="9"/>
      <c r="B954" s="18"/>
      <c r="C954" s="18"/>
      <c r="D954" s="18"/>
      <c r="E954" s="18"/>
      <c r="F954" s="19"/>
      <c r="G954" s="8"/>
      <c r="H954" s="21"/>
      <c r="I954" s="22"/>
      <c r="J954" s="18"/>
      <c r="K954" s="18"/>
      <c r="L954" s="18"/>
      <c r="M954" s="19"/>
      <c r="N954" s="19"/>
      <c r="O954" s="22"/>
      <c r="P954" s="18"/>
      <c r="Q954" s="18"/>
      <c r="R954" s="9"/>
      <c r="S954" s="9"/>
      <c r="T954" s="9"/>
      <c r="U954" s="9"/>
      <c r="V954" s="9"/>
      <c r="W954" s="9"/>
      <c r="X954" s="9"/>
      <c r="Y954" s="9"/>
      <c r="Z954" s="9"/>
    </row>
    <row x14ac:dyDescent="0.25" r="955" customHeight="1" ht="18.75">
      <c r="A955" s="9"/>
      <c r="B955" s="18"/>
      <c r="C955" s="18"/>
      <c r="D955" s="18"/>
      <c r="E955" s="18"/>
      <c r="F955" s="19"/>
      <c r="G955" s="8"/>
      <c r="H955" s="21"/>
      <c r="I955" s="22"/>
      <c r="J955" s="18"/>
      <c r="K955" s="18"/>
      <c r="L955" s="18"/>
      <c r="M955" s="19"/>
      <c r="N955" s="19"/>
      <c r="O955" s="22"/>
      <c r="P955" s="18"/>
      <c r="Q955" s="18"/>
      <c r="R955" s="9"/>
      <c r="S955" s="9"/>
      <c r="T955" s="9"/>
      <c r="U955" s="9"/>
      <c r="V955" s="9"/>
      <c r="W955" s="9"/>
      <c r="X955" s="9"/>
      <c r="Y955" s="9"/>
      <c r="Z955" s="9"/>
    </row>
    <row x14ac:dyDescent="0.25" r="956" customHeight="1" ht="18.75">
      <c r="A956" s="9"/>
      <c r="B956" s="18"/>
      <c r="C956" s="18"/>
      <c r="D956" s="18"/>
      <c r="E956" s="18"/>
      <c r="F956" s="19"/>
      <c r="G956" s="8"/>
      <c r="H956" s="21"/>
      <c r="I956" s="22"/>
      <c r="J956" s="18"/>
      <c r="K956" s="18"/>
      <c r="L956" s="18"/>
      <c r="M956" s="19"/>
      <c r="N956" s="19"/>
      <c r="O956" s="22"/>
      <c r="P956" s="18"/>
      <c r="Q956" s="18"/>
      <c r="R956" s="9"/>
      <c r="S956" s="9"/>
      <c r="T956" s="9"/>
      <c r="U956" s="9"/>
      <c r="V956" s="9"/>
      <c r="W956" s="9"/>
      <c r="X956" s="9"/>
      <c r="Y956" s="9"/>
      <c r="Z956" s="9"/>
    </row>
    <row x14ac:dyDescent="0.25" r="957" customHeight="1" ht="18.75">
      <c r="A957" s="9"/>
      <c r="B957" s="18"/>
      <c r="C957" s="18"/>
      <c r="D957" s="18"/>
      <c r="E957" s="18"/>
      <c r="F957" s="19"/>
      <c r="G957" s="8"/>
      <c r="H957" s="21"/>
      <c r="I957" s="22"/>
      <c r="J957" s="18"/>
      <c r="K957" s="18"/>
      <c r="L957" s="18"/>
      <c r="M957" s="19"/>
      <c r="N957" s="19"/>
      <c r="O957" s="22"/>
      <c r="P957" s="18"/>
      <c r="Q957" s="18"/>
      <c r="R957" s="9"/>
      <c r="S957" s="9"/>
      <c r="T957" s="9"/>
      <c r="U957" s="9"/>
      <c r="V957" s="9"/>
      <c r="W957" s="9"/>
      <c r="X957" s="9"/>
      <c r="Y957" s="9"/>
      <c r="Z957" s="9"/>
    </row>
    <row x14ac:dyDescent="0.25" r="958" customHeight="1" ht="18.75">
      <c r="A958" s="9"/>
      <c r="B958" s="18"/>
      <c r="C958" s="18"/>
      <c r="D958" s="18"/>
      <c r="E958" s="18"/>
      <c r="F958" s="19"/>
      <c r="G958" s="8"/>
      <c r="H958" s="21"/>
      <c r="I958" s="22"/>
      <c r="J958" s="18"/>
      <c r="K958" s="18"/>
      <c r="L958" s="18"/>
      <c r="M958" s="19"/>
      <c r="N958" s="19"/>
      <c r="O958" s="22"/>
      <c r="P958" s="18"/>
      <c r="Q958" s="18"/>
      <c r="R958" s="9"/>
      <c r="S958" s="9"/>
      <c r="T958" s="9"/>
      <c r="U958" s="9"/>
      <c r="V958" s="9"/>
      <c r="W958" s="9"/>
      <c r="X958" s="9"/>
      <c r="Y958" s="9"/>
      <c r="Z958" s="9"/>
    </row>
    <row x14ac:dyDescent="0.25" r="959" customHeight="1" ht="18.75">
      <c r="A959" s="9"/>
      <c r="B959" s="18"/>
      <c r="C959" s="18"/>
      <c r="D959" s="18"/>
      <c r="E959" s="18"/>
      <c r="F959" s="19"/>
      <c r="G959" s="8"/>
      <c r="H959" s="21"/>
      <c r="I959" s="22"/>
      <c r="J959" s="18"/>
      <c r="K959" s="18"/>
      <c r="L959" s="18"/>
      <c r="M959" s="19"/>
      <c r="N959" s="19"/>
      <c r="O959" s="22"/>
      <c r="P959" s="18"/>
      <c r="Q959" s="18"/>
      <c r="R959" s="9"/>
      <c r="S959" s="9"/>
      <c r="T959" s="9"/>
      <c r="U959" s="9"/>
      <c r="V959" s="9"/>
      <c r="W959" s="9"/>
      <c r="X959" s="9"/>
      <c r="Y959" s="9"/>
      <c r="Z959" s="9"/>
    </row>
    <row x14ac:dyDescent="0.25" r="960" customHeight="1" ht="18.75">
      <c r="A960" s="9"/>
      <c r="B960" s="18"/>
      <c r="C960" s="18"/>
      <c r="D960" s="18"/>
      <c r="E960" s="18"/>
      <c r="F960" s="19"/>
      <c r="G960" s="8"/>
      <c r="H960" s="21"/>
      <c r="I960" s="22"/>
      <c r="J960" s="18"/>
      <c r="K960" s="18"/>
      <c r="L960" s="18"/>
      <c r="M960" s="19"/>
      <c r="N960" s="19"/>
      <c r="O960" s="22"/>
      <c r="P960" s="18"/>
      <c r="Q960" s="18"/>
      <c r="R960" s="9"/>
      <c r="S960" s="9"/>
      <c r="T960" s="9"/>
      <c r="U960" s="9"/>
      <c r="V960" s="9"/>
      <c r="W960" s="9"/>
      <c r="X960" s="9"/>
      <c r="Y960" s="9"/>
      <c r="Z960" s="9"/>
    </row>
    <row x14ac:dyDescent="0.25" r="961" customHeight="1" ht="18.75">
      <c r="A961" s="9"/>
      <c r="B961" s="18"/>
      <c r="C961" s="18"/>
      <c r="D961" s="18"/>
      <c r="E961" s="18"/>
      <c r="F961" s="19"/>
      <c r="G961" s="8"/>
      <c r="H961" s="21"/>
      <c r="I961" s="22"/>
      <c r="J961" s="18"/>
      <c r="K961" s="18"/>
      <c r="L961" s="18"/>
      <c r="M961" s="19"/>
      <c r="N961" s="19"/>
      <c r="O961" s="22"/>
      <c r="P961" s="18"/>
      <c r="Q961" s="18"/>
      <c r="R961" s="9"/>
      <c r="S961" s="9"/>
      <c r="T961" s="9"/>
      <c r="U961" s="9"/>
      <c r="V961" s="9"/>
      <c r="W961" s="9"/>
      <c r="X961" s="9"/>
      <c r="Y961" s="9"/>
      <c r="Z961" s="9"/>
    </row>
    <row x14ac:dyDescent="0.25" r="962" customHeight="1" ht="18.75">
      <c r="A962" s="9"/>
      <c r="B962" s="18"/>
      <c r="C962" s="18"/>
      <c r="D962" s="18"/>
      <c r="E962" s="18"/>
      <c r="F962" s="19"/>
      <c r="G962" s="8"/>
      <c r="H962" s="21"/>
      <c r="I962" s="22"/>
      <c r="J962" s="18"/>
      <c r="K962" s="18"/>
      <c r="L962" s="18"/>
      <c r="M962" s="19"/>
      <c r="N962" s="19"/>
      <c r="O962" s="22"/>
      <c r="P962" s="18"/>
      <c r="Q962" s="18"/>
      <c r="R962" s="9"/>
      <c r="S962" s="9"/>
      <c r="T962" s="9"/>
      <c r="U962" s="9"/>
      <c r="V962" s="9"/>
      <c r="W962" s="9"/>
      <c r="X962" s="9"/>
      <c r="Y962" s="9"/>
      <c r="Z962" s="9"/>
    </row>
    <row x14ac:dyDescent="0.25" r="963" customHeight="1" ht="18.75">
      <c r="A963" s="9"/>
      <c r="B963" s="18"/>
      <c r="C963" s="18"/>
      <c r="D963" s="18"/>
      <c r="E963" s="18"/>
      <c r="F963" s="19"/>
      <c r="G963" s="8"/>
      <c r="H963" s="21"/>
      <c r="I963" s="22"/>
      <c r="J963" s="18"/>
      <c r="K963" s="18"/>
      <c r="L963" s="18"/>
      <c r="M963" s="19"/>
      <c r="N963" s="19"/>
      <c r="O963" s="22"/>
      <c r="P963" s="18"/>
      <c r="Q963" s="18"/>
      <c r="R963" s="9"/>
      <c r="S963" s="9"/>
      <c r="T963" s="9"/>
      <c r="U963" s="9"/>
      <c r="V963" s="9"/>
      <c r="W963" s="9"/>
      <c r="X963" s="9"/>
      <c r="Y963" s="9"/>
      <c r="Z963" s="9"/>
    </row>
    <row x14ac:dyDescent="0.25" r="964" customHeight="1" ht="18.75">
      <c r="A964" s="9"/>
      <c r="B964" s="18"/>
      <c r="C964" s="18"/>
      <c r="D964" s="18"/>
      <c r="E964" s="18"/>
      <c r="F964" s="19"/>
      <c r="G964" s="8"/>
      <c r="H964" s="21"/>
      <c r="I964" s="22"/>
      <c r="J964" s="18"/>
      <c r="K964" s="18"/>
      <c r="L964" s="18"/>
      <c r="M964" s="19"/>
      <c r="N964" s="19"/>
      <c r="O964" s="22"/>
      <c r="P964" s="18"/>
      <c r="Q964" s="18"/>
      <c r="R964" s="9"/>
      <c r="S964" s="9"/>
      <c r="T964" s="9"/>
      <c r="U964" s="9"/>
      <c r="V964" s="9"/>
      <c r="W964" s="9"/>
      <c r="X964" s="9"/>
      <c r="Y964" s="9"/>
      <c r="Z964" s="9"/>
    </row>
    <row x14ac:dyDescent="0.25" r="965" customHeight="1" ht="18.75">
      <c r="A965" s="9"/>
      <c r="B965" s="18"/>
      <c r="C965" s="18"/>
      <c r="D965" s="18"/>
      <c r="E965" s="18"/>
      <c r="F965" s="19"/>
      <c r="G965" s="8"/>
      <c r="H965" s="21"/>
      <c r="I965" s="22"/>
      <c r="J965" s="18"/>
      <c r="K965" s="18"/>
      <c r="L965" s="18"/>
      <c r="M965" s="19"/>
      <c r="N965" s="19"/>
      <c r="O965" s="22"/>
      <c r="P965" s="18"/>
      <c r="Q965" s="18"/>
      <c r="R965" s="9"/>
      <c r="S965" s="9"/>
      <c r="T965" s="9"/>
      <c r="U965" s="9"/>
      <c r="V965" s="9"/>
      <c r="W965" s="9"/>
      <c r="X965" s="9"/>
      <c r="Y965" s="9"/>
      <c r="Z965" s="9"/>
    </row>
    <row x14ac:dyDescent="0.25" r="966" customHeight="1" ht="18.75">
      <c r="A966" s="9"/>
      <c r="B966" s="18"/>
      <c r="C966" s="18"/>
      <c r="D966" s="18"/>
      <c r="E966" s="18"/>
      <c r="F966" s="19"/>
      <c r="G966" s="8"/>
      <c r="H966" s="21"/>
      <c r="I966" s="22"/>
      <c r="J966" s="18"/>
      <c r="K966" s="18"/>
      <c r="L966" s="18"/>
      <c r="M966" s="19"/>
      <c r="N966" s="19"/>
      <c r="O966" s="22"/>
      <c r="P966" s="18"/>
      <c r="Q966" s="18"/>
      <c r="R966" s="9"/>
      <c r="S966" s="9"/>
      <c r="T966" s="9"/>
      <c r="U966" s="9"/>
      <c r="V966" s="9"/>
      <c r="W966" s="9"/>
      <c r="X966" s="9"/>
      <c r="Y966" s="9"/>
      <c r="Z966" s="9"/>
    </row>
    <row x14ac:dyDescent="0.25" r="967" customHeight="1" ht="18.75">
      <c r="A967" s="9"/>
      <c r="B967" s="18"/>
      <c r="C967" s="18"/>
      <c r="D967" s="18"/>
      <c r="E967" s="18"/>
      <c r="F967" s="19"/>
      <c r="G967" s="8"/>
      <c r="H967" s="21"/>
      <c r="I967" s="22"/>
      <c r="J967" s="18"/>
      <c r="K967" s="18"/>
      <c r="L967" s="18"/>
      <c r="M967" s="19"/>
      <c r="N967" s="19"/>
      <c r="O967" s="22"/>
      <c r="P967" s="18"/>
      <c r="Q967" s="18"/>
      <c r="R967" s="9"/>
      <c r="S967" s="9"/>
      <c r="T967" s="9"/>
      <c r="U967" s="9"/>
      <c r="V967" s="9"/>
      <c r="W967" s="9"/>
      <c r="X967" s="9"/>
      <c r="Y967" s="9"/>
      <c r="Z967" s="9"/>
    </row>
    <row x14ac:dyDescent="0.25" r="968" customHeight="1" ht="18.75">
      <c r="A968" s="9"/>
      <c r="B968" s="18"/>
      <c r="C968" s="18"/>
      <c r="D968" s="18"/>
      <c r="E968" s="18"/>
      <c r="F968" s="19"/>
      <c r="G968" s="8"/>
      <c r="H968" s="21"/>
      <c r="I968" s="22"/>
      <c r="J968" s="18"/>
      <c r="K968" s="18"/>
      <c r="L968" s="18"/>
      <c r="M968" s="19"/>
      <c r="N968" s="19"/>
      <c r="O968" s="22"/>
      <c r="P968" s="18"/>
      <c r="Q968" s="18"/>
      <c r="R968" s="9"/>
      <c r="S968" s="9"/>
      <c r="T968" s="9"/>
      <c r="U968" s="9"/>
      <c r="V968" s="9"/>
      <c r="W968" s="9"/>
      <c r="X968" s="9"/>
      <c r="Y968" s="9"/>
      <c r="Z968" s="9"/>
    </row>
    <row x14ac:dyDescent="0.25" r="969" customHeight="1" ht="18.75">
      <c r="A969" s="9"/>
      <c r="B969" s="18"/>
      <c r="C969" s="18"/>
      <c r="D969" s="18"/>
      <c r="E969" s="18"/>
      <c r="F969" s="19"/>
      <c r="G969" s="8"/>
      <c r="H969" s="21"/>
      <c r="I969" s="22"/>
      <c r="J969" s="18"/>
      <c r="K969" s="18"/>
      <c r="L969" s="18"/>
      <c r="M969" s="19"/>
      <c r="N969" s="19"/>
      <c r="O969" s="22"/>
      <c r="P969" s="18"/>
      <c r="Q969" s="18"/>
      <c r="R969" s="9"/>
      <c r="S969" s="9"/>
      <c r="T969" s="9"/>
      <c r="U969" s="9"/>
      <c r="V969" s="9"/>
      <c r="W969" s="9"/>
      <c r="X969" s="9"/>
      <c r="Y969" s="9"/>
      <c r="Z969" s="9"/>
    </row>
    <row x14ac:dyDescent="0.25" r="970" customHeight="1" ht="18.75">
      <c r="A970" s="9"/>
      <c r="B970" s="18"/>
      <c r="C970" s="18"/>
      <c r="D970" s="18"/>
      <c r="E970" s="18"/>
      <c r="F970" s="19"/>
      <c r="G970" s="8"/>
      <c r="H970" s="21"/>
      <c r="I970" s="22"/>
      <c r="J970" s="18"/>
      <c r="K970" s="18"/>
      <c r="L970" s="18"/>
      <c r="M970" s="19"/>
      <c r="N970" s="19"/>
      <c r="O970" s="22"/>
      <c r="P970" s="18"/>
      <c r="Q970" s="18"/>
      <c r="R970" s="9"/>
      <c r="S970" s="9"/>
      <c r="T970" s="9"/>
      <c r="U970" s="9"/>
      <c r="V970" s="9"/>
      <c r="W970" s="9"/>
      <c r="X970" s="9"/>
      <c r="Y970" s="9"/>
      <c r="Z970" s="9"/>
    </row>
    <row x14ac:dyDescent="0.25" r="971" customHeight="1" ht="18.75">
      <c r="A971" s="9"/>
      <c r="B971" s="18"/>
      <c r="C971" s="18"/>
      <c r="D971" s="18"/>
      <c r="E971" s="18"/>
      <c r="F971" s="19"/>
      <c r="G971" s="8"/>
      <c r="H971" s="21"/>
      <c r="I971" s="22"/>
      <c r="J971" s="18"/>
      <c r="K971" s="18"/>
      <c r="L971" s="18"/>
      <c r="M971" s="19"/>
      <c r="N971" s="19"/>
      <c r="O971" s="22"/>
      <c r="P971" s="18"/>
      <c r="Q971" s="18"/>
      <c r="R971" s="9"/>
      <c r="S971" s="9"/>
      <c r="T971" s="9"/>
      <c r="U971" s="9"/>
      <c r="V971" s="9"/>
      <c r="W971" s="9"/>
      <c r="X971" s="9"/>
      <c r="Y971" s="9"/>
      <c r="Z971" s="9"/>
    </row>
    <row x14ac:dyDescent="0.25" r="972" customHeight="1" ht="18.75">
      <c r="A972" s="9"/>
      <c r="B972" s="18"/>
      <c r="C972" s="18"/>
      <c r="D972" s="18"/>
      <c r="E972" s="18"/>
      <c r="F972" s="19"/>
      <c r="G972" s="8"/>
      <c r="H972" s="21"/>
      <c r="I972" s="22"/>
      <c r="J972" s="18"/>
      <c r="K972" s="18"/>
      <c r="L972" s="18"/>
      <c r="M972" s="19"/>
      <c r="N972" s="19"/>
      <c r="O972" s="22"/>
      <c r="P972" s="18"/>
      <c r="Q972" s="18"/>
      <c r="R972" s="9"/>
      <c r="S972" s="9"/>
      <c r="T972" s="9"/>
      <c r="U972" s="9"/>
      <c r="V972" s="9"/>
      <c r="W972" s="9"/>
      <c r="X972" s="9"/>
      <c r="Y972" s="9"/>
      <c r="Z972" s="9"/>
    </row>
    <row x14ac:dyDescent="0.25" r="973" customHeight="1" ht="18.75">
      <c r="A973" s="9"/>
      <c r="B973" s="18"/>
      <c r="C973" s="18"/>
      <c r="D973" s="18"/>
      <c r="E973" s="18"/>
      <c r="F973" s="19"/>
      <c r="G973" s="8"/>
      <c r="H973" s="21"/>
      <c r="I973" s="22"/>
      <c r="J973" s="18"/>
      <c r="K973" s="18"/>
      <c r="L973" s="18"/>
      <c r="M973" s="19"/>
      <c r="N973" s="19"/>
      <c r="O973" s="22"/>
      <c r="P973" s="18"/>
      <c r="Q973" s="18"/>
      <c r="R973" s="9"/>
      <c r="S973" s="9"/>
      <c r="T973" s="9"/>
      <c r="U973" s="9"/>
      <c r="V973" s="9"/>
      <c r="W973" s="9"/>
      <c r="X973" s="9"/>
      <c r="Y973" s="9"/>
      <c r="Z973" s="9"/>
    </row>
    <row x14ac:dyDescent="0.25" r="974" customHeight="1" ht="18.75">
      <c r="A974" s="9"/>
      <c r="B974" s="18"/>
      <c r="C974" s="18"/>
      <c r="D974" s="18"/>
      <c r="E974" s="18"/>
      <c r="F974" s="19"/>
      <c r="G974" s="8"/>
      <c r="H974" s="21"/>
      <c r="I974" s="22"/>
      <c r="J974" s="18"/>
      <c r="K974" s="18"/>
      <c r="L974" s="18"/>
      <c r="M974" s="19"/>
      <c r="N974" s="19"/>
      <c r="O974" s="22"/>
      <c r="P974" s="18"/>
      <c r="Q974" s="18"/>
      <c r="R974" s="9"/>
      <c r="S974" s="9"/>
      <c r="T974" s="9"/>
      <c r="U974" s="9"/>
      <c r="V974" s="9"/>
      <c r="W974" s="9"/>
      <c r="X974" s="9"/>
      <c r="Y974" s="9"/>
      <c r="Z974" s="9"/>
    </row>
    <row x14ac:dyDescent="0.25" r="975" customHeight="1" ht="18.75">
      <c r="A975" s="9"/>
      <c r="B975" s="18"/>
      <c r="C975" s="18"/>
      <c r="D975" s="18"/>
      <c r="E975" s="18"/>
      <c r="F975" s="19"/>
      <c r="G975" s="8"/>
      <c r="H975" s="21"/>
      <c r="I975" s="22"/>
      <c r="J975" s="18"/>
      <c r="K975" s="18"/>
      <c r="L975" s="18"/>
      <c r="M975" s="19"/>
      <c r="N975" s="19"/>
      <c r="O975" s="22"/>
      <c r="P975" s="18"/>
      <c r="Q975" s="18"/>
      <c r="R975" s="9"/>
      <c r="S975" s="9"/>
      <c r="T975" s="9"/>
      <c r="U975" s="9"/>
      <c r="V975" s="9"/>
      <c r="W975" s="9"/>
      <c r="X975" s="9"/>
      <c r="Y975" s="9"/>
      <c r="Z975" s="9"/>
    </row>
    <row x14ac:dyDescent="0.25" r="976" customHeight="1" ht="18.75">
      <c r="A976" s="9"/>
      <c r="B976" s="18"/>
      <c r="C976" s="18"/>
      <c r="D976" s="18"/>
      <c r="E976" s="18"/>
      <c r="F976" s="19"/>
      <c r="G976" s="8"/>
      <c r="H976" s="21"/>
      <c r="I976" s="22"/>
      <c r="J976" s="18"/>
      <c r="K976" s="18"/>
      <c r="L976" s="18"/>
      <c r="M976" s="19"/>
      <c r="N976" s="19"/>
      <c r="O976" s="22"/>
      <c r="P976" s="18"/>
      <c r="Q976" s="18"/>
      <c r="R976" s="9"/>
      <c r="S976" s="9"/>
      <c r="T976" s="9"/>
      <c r="U976" s="9"/>
      <c r="V976" s="9"/>
      <c r="W976" s="9"/>
      <c r="X976" s="9"/>
      <c r="Y976" s="9"/>
      <c r="Z976" s="9"/>
    </row>
    <row x14ac:dyDescent="0.25" r="977" customHeight="1" ht="18.75">
      <c r="A977" s="9"/>
      <c r="B977" s="18"/>
      <c r="C977" s="18"/>
      <c r="D977" s="18"/>
      <c r="E977" s="18"/>
      <c r="F977" s="19"/>
      <c r="G977" s="8"/>
      <c r="H977" s="21"/>
      <c r="I977" s="22"/>
      <c r="J977" s="18"/>
      <c r="K977" s="18"/>
      <c r="L977" s="18"/>
      <c r="M977" s="19"/>
      <c r="N977" s="19"/>
      <c r="O977" s="22"/>
      <c r="P977" s="18"/>
      <c r="Q977" s="18"/>
      <c r="R977" s="9"/>
      <c r="S977" s="9"/>
      <c r="T977" s="9"/>
      <c r="U977" s="9"/>
      <c r="V977" s="9"/>
      <c r="W977" s="9"/>
      <c r="X977" s="9"/>
      <c r="Y977" s="9"/>
      <c r="Z977" s="9"/>
    </row>
    <row x14ac:dyDescent="0.25" r="978" customHeight="1" ht="18.75">
      <c r="A978" s="9"/>
      <c r="B978" s="18"/>
      <c r="C978" s="18"/>
      <c r="D978" s="18"/>
      <c r="E978" s="18"/>
      <c r="F978" s="19"/>
      <c r="G978" s="8"/>
      <c r="H978" s="21"/>
      <c r="I978" s="22"/>
      <c r="J978" s="18"/>
      <c r="K978" s="18"/>
      <c r="L978" s="18"/>
      <c r="M978" s="19"/>
      <c r="N978" s="19"/>
      <c r="O978" s="22"/>
      <c r="P978" s="18"/>
      <c r="Q978" s="18"/>
      <c r="R978" s="9"/>
      <c r="S978" s="9"/>
      <c r="T978" s="9"/>
      <c r="U978" s="9"/>
      <c r="V978" s="9"/>
      <c r="W978" s="9"/>
      <c r="X978" s="9"/>
      <c r="Y978" s="9"/>
      <c r="Z978" s="9"/>
    </row>
    <row x14ac:dyDescent="0.25" r="979" customHeight="1" ht="18.75">
      <c r="A979" s="9"/>
      <c r="B979" s="18"/>
      <c r="C979" s="18"/>
      <c r="D979" s="18"/>
      <c r="E979" s="18"/>
      <c r="F979" s="19"/>
      <c r="G979" s="8"/>
      <c r="H979" s="21"/>
      <c r="I979" s="22"/>
      <c r="J979" s="18"/>
      <c r="K979" s="18"/>
      <c r="L979" s="18"/>
      <c r="M979" s="19"/>
      <c r="N979" s="19"/>
      <c r="O979" s="22"/>
      <c r="P979" s="18"/>
      <c r="Q979" s="18"/>
      <c r="R979" s="9"/>
      <c r="S979" s="9"/>
      <c r="T979" s="9"/>
      <c r="U979" s="9"/>
      <c r="V979" s="9"/>
      <c r="W979" s="9"/>
      <c r="X979" s="9"/>
      <c r="Y979" s="9"/>
      <c r="Z979" s="9"/>
    </row>
    <row x14ac:dyDescent="0.25" r="980" customHeight="1" ht="18.75">
      <c r="A980" s="9"/>
      <c r="B980" s="18"/>
      <c r="C980" s="18"/>
      <c r="D980" s="18"/>
      <c r="E980" s="18"/>
      <c r="F980" s="19"/>
      <c r="G980" s="8"/>
      <c r="H980" s="21"/>
      <c r="I980" s="22"/>
      <c r="J980" s="18"/>
      <c r="K980" s="18"/>
      <c r="L980" s="18"/>
      <c r="M980" s="19"/>
      <c r="N980" s="19"/>
      <c r="O980" s="22"/>
      <c r="P980" s="18"/>
      <c r="Q980" s="18"/>
      <c r="R980" s="9"/>
      <c r="S980" s="9"/>
      <c r="T980" s="9"/>
      <c r="U980" s="9"/>
      <c r="V980" s="9"/>
      <c r="W980" s="9"/>
      <c r="X980" s="9"/>
      <c r="Y980" s="9"/>
      <c r="Z980" s="9"/>
    </row>
    <row x14ac:dyDescent="0.25" r="981" customHeight="1" ht="18.75">
      <c r="A981" s="9"/>
      <c r="B981" s="18"/>
      <c r="C981" s="18"/>
      <c r="D981" s="18"/>
      <c r="E981" s="18"/>
      <c r="F981" s="19"/>
      <c r="G981" s="8"/>
      <c r="H981" s="21"/>
      <c r="I981" s="22"/>
      <c r="J981" s="18"/>
      <c r="K981" s="18"/>
      <c r="L981" s="18"/>
      <c r="M981" s="19"/>
      <c r="N981" s="19"/>
      <c r="O981" s="22"/>
      <c r="P981" s="18"/>
      <c r="Q981" s="18"/>
      <c r="R981" s="9"/>
      <c r="S981" s="9"/>
      <c r="T981" s="9"/>
      <c r="U981" s="9"/>
      <c r="V981" s="9"/>
      <c r="W981" s="9"/>
      <c r="X981" s="9"/>
      <c r="Y981" s="9"/>
      <c r="Z981" s="9"/>
    </row>
    <row x14ac:dyDescent="0.25" r="982" customHeight="1" ht="18.75">
      <c r="A982" s="9"/>
      <c r="B982" s="18"/>
      <c r="C982" s="18"/>
      <c r="D982" s="18"/>
      <c r="E982" s="18"/>
      <c r="F982" s="19"/>
      <c r="G982" s="8"/>
      <c r="H982" s="21"/>
      <c r="I982" s="22"/>
      <c r="J982" s="18"/>
      <c r="K982" s="18"/>
      <c r="L982" s="18"/>
      <c r="M982" s="19"/>
      <c r="N982" s="19"/>
      <c r="O982" s="22"/>
      <c r="P982" s="18"/>
      <c r="Q982" s="18"/>
      <c r="R982" s="9"/>
      <c r="S982" s="9"/>
      <c r="T982" s="9"/>
      <c r="U982" s="9"/>
      <c r="V982" s="9"/>
      <c r="W982" s="9"/>
      <c r="X982" s="9"/>
      <c r="Y982" s="9"/>
      <c r="Z982" s="9"/>
    </row>
    <row x14ac:dyDescent="0.25" r="983" customHeight="1" ht="18.75">
      <c r="A983" s="9"/>
      <c r="B983" s="18"/>
      <c r="C983" s="18"/>
      <c r="D983" s="18"/>
      <c r="E983" s="18"/>
      <c r="F983" s="19"/>
      <c r="G983" s="8"/>
      <c r="H983" s="21"/>
      <c r="I983" s="22"/>
      <c r="J983" s="18"/>
      <c r="K983" s="18"/>
      <c r="L983" s="18"/>
      <c r="M983" s="19"/>
      <c r="N983" s="19"/>
      <c r="O983" s="22"/>
      <c r="P983" s="18"/>
      <c r="Q983" s="18"/>
      <c r="R983" s="9"/>
      <c r="S983" s="9"/>
      <c r="T983" s="9"/>
      <c r="U983" s="9"/>
      <c r="V983" s="9"/>
      <c r="W983" s="9"/>
      <c r="X983" s="9"/>
      <c r="Y983" s="9"/>
      <c r="Z983" s="9"/>
    </row>
    <row x14ac:dyDescent="0.25" r="984" customHeight="1" ht="18.75">
      <c r="A984" s="9"/>
      <c r="B984" s="18"/>
      <c r="C984" s="18"/>
      <c r="D984" s="18"/>
      <c r="E984" s="18"/>
      <c r="F984" s="19"/>
      <c r="G984" s="8"/>
      <c r="H984" s="21"/>
      <c r="I984" s="22"/>
      <c r="J984" s="18"/>
      <c r="K984" s="18"/>
      <c r="L984" s="18"/>
      <c r="M984" s="19"/>
      <c r="N984" s="19"/>
      <c r="O984" s="22"/>
      <c r="P984" s="18"/>
      <c r="Q984" s="18"/>
      <c r="R984" s="9"/>
      <c r="S984" s="9"/>
      <c r="T984" s="9"/>
      <c r="U984" s="9"/>
      <c r="V984" s="9"/>
      <c r="W984" s="9"/>
      <c r="X984" s="9"/>
      <c r="Y984" s="9"/>
      <c r="Z984" s="9"/>
    </row>
    <row x14ac:dyDescent="0.25" r="985" customHeight="1" ht="18.75">
      <c r="A985" s="9"/>
      <c r="B985" s="18"/>
      <c r="C985" s="18"/>
      <c r="D985" s="18"/>
      <c r="E985" s="18"/>
      <c r="F985" s="19"/>
      <c r="G985" s="8"/>
      <c r="H985" s="21"/>
      <c r="I985" s="22"/>
      <c r="J985" s="18"/>
      <c r="K985" s="18"/>
      <c r="L985" s="18"/>
      <c r="M985" s="19"/>
      <c r="N985" s="19"/>
      <c r="O985" s="22"/>
      <c r="P985" s="18"/>
      <c r="Q985" s="18"/>
      <c r="R985" s="9"/>
      <c r="S985" s="9"/>
      <c r="T985" s="9"/>
      <c r="U985" s="9"/>
      <c r="V985" s="9"/>
      <c r="W985" s="9"/>
      <c r="X985" s="9"/>
      <c r="Y985" s="9"/>
      <c r="Z985" s="9"/>
    </row>
    <row x14ac:dyDescent="0.25" r="986" customHeight="1" ht="18.75">
      <c r="A986" s="9"/>
      <c r="B986" s="18"/>
      <c r="C986" s="18"/>
      <c r="D986" s="18"/>
      <c r="E986" s="18"/>
      <c r="F986" s="19"/>
      <c r="G986" s="8"/>
      <c r="H986" s="21"/>
      <c r="I986" s="22"/>
      <c r="J986" s="18"/>
      <c r="K986" s="18"/>
      <c r="L986" s="18"/>
      <c r="M986" s="19"/>
      <c r="N986" s="19"/>
      <c r="O986" s="22"/>
      <c r="P986" s="18"/>
      <c r="Q986" s="18"/>
      <c r="R986" s="9"/>
      <c r="S986" s="9"/>
      <c r="T986" s="9"/>
      <c r="U986" s="9"/>
      <c r="V986" s="9"/>
      <c r="W986" s="9"/>
      <c r="X986" s="9"/>
      <c r="Y986" s="9"/>
      <c r="Z986" s="9"/>
    </row>
    <row x14ac:dyDescent="0.25" r="987" customHeight="1" ht="18.75">
      <c r="A987" s="9"/>
      <c r="B987" s="18"/>
      <c r="C987" s="18"/>
      <c r="D987" s="18"/>
      <c r="E987" s="18"/>
      <c r="F987" s="19"/>
      <c r="G987" s="8"/>
      <c r="H987" s="21"/>
      <c r="I987" s="22"/>
      <c r="J987" s="18"/>
      <c r="K987" s="18"/>
      <c r="L987" s="18"/>
      <c r="M987" s="19"/>
      <c r="N987" s="19"/>
      <c r="O987" s="22"/>
      <c r="P987" s="18"/>
      <c r="Q987" s="18"/>
      <c r="R987" s="9"/>
      <c r="S987" s="9"/>
      <c r="T987" s="9"/>
      <c r="U987" s="9"/>
      <c r="V987" s="9"/>
      <c r="W987" s="9"/>
      <c r="X987" s="9"/>
      <c r="Y987" s="9"/>
      <c r="Z987" s="9"/>
    </row>
    <row x14ac:dyDescent="0.25" r="988" customHeight="1" ht="18.75">
      <c r="A988" s="9"/>
      <c r="B988" s="18"/>
      <c r="C988" s="18"/>
      <c r="D988" s="18"/>
      <c r="E988" s="18"/>
      <c r="F988" s="19"/>
      <c r="G988" s="8"/>
      <c r="H988" s="21"/>
      <c r="I988" s="22"/>
      <c r="J988" s="18"/>
      <c r="K988" s="18"/>
      <c r="L988" s="18"/>
      <c r="M988" s="19"/>
      <c r="N988" s="19"/>
      <c r="O988" s="22"/>
      <c r="P988" s="18"/>
      <c r="Q988" s="18"/>
      <c r="R988" s="9"/>
      <c r="S988" s="9"/>
      <c r="T988" s="9"/>
      <c r="U988" s="9"/>
      <c r="V988" s="9"/>
      <c r="W988" s="9"/>
      <c r="X988" s="9"/>
      <c r="Y988" s="9"/>
      <c r="Z988" s="9"/>
    </row>
    <row x14ac:dyDescent="0.25" r="989" customHeight="1" ht="18.75">
      <c r="A989" s="9"/>
      <c r="B989" s="18"/>
      <c r="C989" s="18"/>
      <c r="D989" s="18"/>
      <c r="E989" s="18"/>
      <c r="F989" s="19"/>
      <c r="G989" s="8"/>
      <c r="H989" s="21"/>
      <c r="I989" s="22"/>
      <c r="J989" s="18"/>
      <c r="K989" s="18"/>
      <c r="L989" s="18"/>
      <c r="M989" s="19"/>
      <c r="N989" s="19"/>
      <c r="O989" s="22"/>
      <c r="P989" s="18"/>
      <c r="Q989" s="18"/>
      <c r="R989" s="9"/>
      <c r="S989" s="9"/>
      <c r="T989" s="9"/>
      <c r="U989" s="9"/>
      <c r="V989" s="9"/>
      <c r="W989" s="9"/>
      <c r="X989" s="9"/>
      <c r="Y989" s="9"/>
      <c r="Z989" s="9"/>
    </row>
    <row x14ac:dyDescent="0.25" r="990" customHeight="1" ht="18.75">
      <c r="A990" s="9"/>
      <c r="B990" s="18"/>
      <c r="C990" s="18"/>
      <c r="D990" s="18"/>
      <c r="E990" s="18"/>
      <c r="F990" s="19"/>
      <c r="G990" s="8"/>
      <c r="H990" s="21"/>
      <c r="I990" s="22"/>
      <c r="J990" s="18"/>
      <c r="K990" s="18"/>
      <c r="L990" s="18"/>
      <c r="M990" s="19"/>
      <c r="N990" s="19"/>
      <c r="O990" s="22"/>
      <c r="P990" s="18"/>
      <c r="Q990" s="18"/>
      <c r="R990" s="9"/>
      <c r="S990" s="9"/>
      <c r="T990" s="9"/>
      <c r="U990" s="9"/>
      <c r="V990" s="9"/>
      <c r="W990" s="9"/>
      <c r="X990" s="9"/>
      <c r="Y990" s="9"/>
      <c r="Z990" s="9"/>
    </row>
    <row x14ac:dyDescent="0.25" r="991" customHeight="1" ht="18.75">
      <c r="A991" s="9"/>
      <c r="B991" s="18"/>
      <c r="C991" s="18"/>
      <c r="D991" s="18"/>
      <c r="E991" s="18"/>
      <c r="F991" s="19"/>
      <c r="G991" s="8"/>
      <c r="H991" s="21"/>
      <c r="I991" s="22"/>
      <c r="J991" s="18"/>
      <c r="K991" s="18"/>
      <c r="L991" s="18"/>
      <c r="M991" s="19"/>
      <c r="N991" s="19"/>
      <c r="O991" s="22"/>
      <c r="P991" s="18"/>
      <c r="Q991" s="18"/>
      <c r="R991" s="9"/>
      <c r="S991" s="9"/>
      <c r="T991" s="9"/>
      <c r="U991" s="9"/>
      <c r="V991" s="9"/>
      <c r="W991" s="9"/>
      <c r="X991" s="9"/>
      <c r="Y991" s="9"/>
      <c r="Z991" s="9"/>
    </row>
    <row x14ac:dyDescent="0.25" r="992" customHeight="1" ht="18.75">
      <c r="A992" s="9"/>
      <c r="B992" s="18"/>
      <c r="C992" s="18"/>
      <c r="D992" s="18"/>
      <c r="E992" s="18"/>
      <c r="F992" s="19"/>
      <c r="G992" s="8"/>
      <c r="H992" s="21"/>
      <c r="I992" s="22"/>
      <c r="J992" s="18"/>
      <c r="K992" s="18"/>
      <c r="L992" s="18"/>
      <c r="M992" s="19"/>
      <c r="N992" s="19"/>
      <c r="O992" s="22"/>
      <c r="P992" s="18"/>
      <c r="Q992" s="18"/>
      <c r="R992" s="9"/>
      <c r="S992" s="9"/>
      <c r="T992" s="9"/>
      <c r="U992" s="9"/>
      <c r="V992" s="9"/>
      <c r="W992" s="9"/>
      <c r="X992" s="9"/>
      <c r="Y992" s="9"/>
      <c r="Z992" s="9"/>
    </row>
    <row x14ac:dyDescent="0.25" r="993" customHeight="1" ht="18.75">
      <c r="A993" s="9"/>
      <c r="B993" s="18"/>
      <c r="C993" s="18"/>
      <c r="D993" s="18"/>
      <c r="E993" s="18"/>
      <c r="F993" s="19"/>
      <c r="G993" s="8"/>
      <c r="H993" s="21"/>
      <c r="I993" s="22"/>
      <c r="J993" s="18"/>
      <c r="K993" s="18"/>
      <c r="L993" s="18"/>
      <c r="M993" s="19"/>
      <c r="N993" s="19"/>
      <c r="O993" s="22"/>
      <c r="P993" s="18"/>
      <c r="Q993" s="18"/>
      <c r="R993" s="9"/>
      <c r="S993" s="9"/>
      <c r="T993" s="9"/>
      <c r="U993" s="9"/>
      <c r="V993" s="9"/>
      <c r="W993" s="9"/>
      <c r="X993" s="9"/>
      <c r="Y993" s="9"/>
      <c r="Z993" s="9"/>
    </row>
    <row x14ac:dyDescent="0.25" r="994" customHeight="1" ht="18.75">
      <c r="A994" s="9"/>
      <c r="B994" s="18"/>
      <c r="C994" s="18"/>
      <c r="D994" s="18"/>
      <c r="E994" s="18"/>
      <c r="F994" s="19"/>
      <c r="G994" s="8"/>
      <c r="H994" s="21"/>
      <c r="I994" s="22"/>
      <c r="J994" s="18"/>
      <c r="K994" s="18"/>
      <c r="L994" s="18"/>
      <c r="M994" s="19"/>
      <c r="N994" s="19"/>
      <c r="O994" s="22"/>
      <c r="P994" s="18"/>
      <c r="Q994" s="18"/>
      <c r="R994" s="9"/>
      <c r="S994" s="9"/>
      <c r="T994" s="9"/>
      <c r="U994" s="9"/>
      <c r="V994" s="9"/>
      <c r="W994" s="9"/>
      <c r="X994" s="9"/>
      <c r="Y994" s="9"/>
      <c r="Z994" s="9"/>
    </row>
    <row x14ac:dyDescent="0.25" r="995" customHeight="1" ht="18.75">
      <c r="A995" s="9"/>
      <c r="B995" s="18"/>
      <c r="C995" s="18"/>
      <c r="D995" s="18"/>
      <c r="E995" s="18"/>
      <c r="F995" s="19"/>
      <c r="G995" s="8"/>
      <c r="H995" s="21"/>
      <c r="I995" s="22"/>
      <c r="J995" s="18"/>
      <c r="K995" s="18"/>
      <c r="L995" s="18"/>
      <c r="M995" s="19"/>
      <c r="N995" s="19"/>
      <c r="O995" s="22"/>
      <c r="P995" s="18"/>
      <c r="Q995" s="18"/>
      <c r="R995" s="9"/>
      <c r="S995" s="9"/>
      <c r="T995" s="9"/>
      <c r="U995" s="9"/>
      <c r="V995" s="9"/>
      <c r="W995" s="9"/>
      <c r="X995" s="9"/>
      <c r="Y995" s="9"/>
      <c r="Z995" s="9"/>
    </row>
    <row x14ac:dyDescent="0.25" r="996" customHeight="1" ht="18.75">
      <c r="A996" s="9"/>
      <c r="B996" s="18"/>
      <c r="C996" s="18"/>
      <c r="D996" s="18"/>
      <c r="E996" s="18"/>
      <c r="F996" s="19"/>
      <c r="G996" s="8"/>
      <c r="H996" s="21"/>
      <c r="I996" s="22"/>
      <c r="J996" s="18"/>
      <c r="K996" s="18"/>
      <c r="L996" s="18"/>
      <c r="M996" s="19"/>
      <c r="N996" s="19"/>
      <c r="O996" s="22"/>
      <c r="P996" s="18"/>
      <c r="Q996" s="18"/>
      <c r="R996" s="9"/>
      <c r="S996" s="9"/>
      <c r="T996" s="9"/>
      <c r="U996" s="9"/>
      <c r="V996" s="9"/>
      <c r="W996" s="9"/>
      <c r="X996" s="9"/>
      <c r="Y996" s="9"/>
      <c r="Z996" s="9"/>
    </row>
    <row x14ac:dyDescent="0.25" r="997" customHeight="1" ht="18.75">
      <c r="A997" s="9"/>
      <c r="B997" s="18"/>
      <c r="C997" s="18"/>
      <c r="D997" s="18"/>
      <c r="E997" s="18"/>
      <c r="F997" s="19"/>
      <c r="G997" s="8"/>
      <c r="H997" s="21"/>
      <c r="I997" s="22"/>
      <c r="J997" s="18"/>
      <c r="K997" s="18"/>
      <c r="L997" s="18"/>
      <c r="M997" s="19"/>
      <c r="N997" s="19"/>
      <c r="O997" s="22"/>
      <c r="P997" s="18"/>
      <c r="Q997" s="18"/>
      <c r="R997" s="9"/>
      <c r="S997" s="9"/>
      <c r="T997" s="9"/>
      <c r="U997" s="9"/>
      <c r="V997" s="9"/>
      <c r="W997" s="9"/>
      <c r="X997" s="9"/>
      <c r="Y997" s="9"/>
      <c r="Z997" s="9"/>
    </row>
    <row x14ac:dyDescent="0.25" r="998" customHeight="1" ht="18.75">
      <c r="A998" s="9"/>
      <c r="B998" s="18"/>
      <c r="C998" s="18"/>
      <c r="D998" s="18"/>
      <c r="E998" s="18"/>
      <c r="F998" s="19"/>
      <c r="G998" s="8"/>
      <c r="H998" s="21"/>
      <c r="I998" s="22"/>
      <c r="J998" s="18"/>
      <c r="K998" s="18"/>
      <c r="L998" s="18"/>
      <c r="M998" s="19"/>
      <c r="N998" s="19"/>
      <c r="O998" s="22"/>
      <c r="P998" s="18"/>
      <c r="Q998" s="18"/>
      <c r="R998" s="9"/>
      <c r="S998" s="9"/>
      <c r="T998" s="9"/>
      <c r="U998" s="9"/>
      <c r="V998" s="9"/>
      <c r="W998" s="9"/>
      <c r="X998" s="9"/>
      <c r="Y998" s="9"/>
      <c r="Z998" s="9"/>
    </row>
    <row x14ac:dyDescent="0.25" r="999" customHeight="1" ht="18.75">
      <c r="A999" s="9"/>
      <c r="B999" s="18"/>
      <c r="C999" s="18"/>
      <c r="D999" s="18"/>
      <c r="E999" s="18"/>
      <c r="F999" s="19"/>
      <c r="G999" s="8"/>
      <c r="H999" s="21"/>
      <c r="I999" s="22"/>
      <c r="J999" s="18"/>
      <c r="K999" s="18"/>
      <c r="L999" s="18"/>
      <c r="M999" s="19"/>
      <c r="N999" s="19"/>
      <c r="O999" s="22"/>
      <c r="P999" s="18"/>
      <c r="Q999" s="18"/>
      <c r="R999" s="9"/>
      <c r="S999" s="9"/>
      <c r="T999" s="9"/>
      <c r="U999" s="9"/>
      <c r="V999" s="9"/>
      <c r="W999" s="9"/>
      <c r="X999" s="9"/>
      <c r="Y999" s="9"/>
      <c r="Z999" s="9"/>
    </row>
    <row x14ac:dyDescent="0.25" r="1000" customHeight="1" ht="18.75">
      <c r="A1000" s="9"/>
      <c r="B1000" s="18"/>
      <c r="C1000" s="18"/>
      <c r="D1000" s="18"/>
      <c r="E1000" s="18"/>
      <c r="F1000" s="19"/>
      <c r="G1000" s="8"/>
      <c r="H1000" s="21"/>
      <c r="I1000" s="22"/>
      <c r="J1000" s="18"/>
      <c r="K1000" s="18"/>
      <c r="L1000" s="18"/>
      <c r="M1000" s="19"/>
      <c r="N1000" s="19"/>
      <c r="O1000" s="22"/>
      <c r="P1000" s="18"/>
      <c r="Q1000" s="18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00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1" width="6.147857142857143" customWidth="1" bestFit="1"/>
    <col min="2" max="2" style="12" width="10.862142857142858" customWidth="1" bestFit="1"/>
    <col min="3" max="3" style="12" width="6.147857142857143" customWidth="1" bestFit="1"/>
    <col min="4" max="4" style="12" width="6.147857142857143" customWidth="1" bestFit="1"/>
    <col min="5" max="5" style="12" width="7.862142857142857" customWidth="1" bestFit="1"/>
    <col min="6" max="6" style="11" width="9.290714285714287" customWidth="1" bestFit="1"/>
    <col min="7" max="7" style="11" width="8.576428571428572" customWidth="1" bestFit="1"/>
    <col min="8" max="8" style="13" width="9.290714285714287" customWidth="1" bestFit="1"/>
    <col min="9" max="9" style="13" width="9.290714285714287" customWidth="1" bestFit="1"/>
    <col min="10" max="10" style="13" width="9.290714285714287" customWidth="1" bestFit="1"/>
    <col min="11" max="11" style="12" width="10.862142857142858" customWidth="1" bestFit="1"/>
    <col min="12" max="12" style="12" width="24.433571428571426" customWidth="1" bestFit="1"/>
    <col min="13" max="13" style="12" width="18.719285714285714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x14ac:dyDescent="0.25" r="2" customHeight="1" ht="18.75" hidden="1">
      <c r="A2" s="4">
        <v>15</v>
      </c>
      <c r="B2" s="5" t="s">
        <v>13</v>
      </c>
      <c r="C2" s="5"/>
      <c r="D2" s="5"/>
      <c r="E2" s="5" t="s">
        <v>14</v>
      </c>
      <c r="F2" s="4">
        <v>10000000</v>
      </c>
      <c r="G2" s="4">
        <v>900000</v>
      </c>
      <c r="H2" s="6">
        <v>45784</v>
      </c>
      <c r="I2" s="6">
        <v>45723</v>
      </c>
      <c r="J2" s="6">
        <v>46818</v>
      </c>
      <c r="K2" s="5"/>
      <c r="L2" s="5"/>
      <c r="M2" s="5" t="s">
        <v>15</v>
      </c>
    </row>
    <row x14ac:dyDescent="0.25" r="3" customHeight="1" ht="18.75" hidden="1">
      <c r="A3" s="4">
        <v>17</v>
      </c>
      <c r="B3" s="5" t="s">
        <v>16</v>
      </c>
      <c r="C3" s="5"/>
      <c r="D3" s="5"/>
      <c r="E3" s="5" t="s">
        <v>14</v>
      </c>
      <c r="F3" s="4">
        <v>30000000</v>
      </c>
      <c r="G3" s="4">
        <v>2400000</v>
      </c>
      <c r="H3" s="6">
        <v>46149</v>
      </c>
      <c r="I3" s="6">
        <v>46088</v>
      </c>
      <c r="J3" s="6">
        <v>47183</v>
      </c>
      <c r="K3" s="5"/>
      <c r="L3" s="5" t="s">
        <v>17</v>
      </c>
      <c r="M3" s="5" t="s">
        <v>15</v>
      </c>
    </row>
    <row x14ac:dyDescent="0.25" r="4" customHeight="1" ht="18.75">
      <c r="A4" s="4">
        <v>64</v>
      </c>
      <c r="B4" s="5" t="s">
        <v>16</v>
      </c>
      <c r="C4" s="5"/>
      <c r="D4" s="5" t="s">
        <v>18</v>
      </c>
      <c r="E4" s="5" t="s">
        <v>19</v>
      </c>
      <c r="F4" s="4">
        <v>60000000</v>
      </c>
      <c r="G4" s="4">
        <v>4056000</v>
      </c>
      <c r="H4" s="6">
        <v>45408</v>
      </c>
      <c r="I4" s="6">
        <v>45348</v>
      </c>
      <c r="J4" s="6">
        <v>46443</v>
      </c>
      <c r="K4" s="5" t="s">
        <v>20</v>
      </c>
      <c r="L4" s="5"/>
      <c r="M4" s="5" t="s">
        <v>21</v>
      </c>
    </row>
    <row x14ac:dyDescent="0.25" r="5" customHeight="1" ht="18.75" hidden="1">
      <c r="A5" s="4">
        <v>65</v>
      </c>
      <c r="B5" s="5" t="s">
        <v>16</v>
      </c>
      <c r="C5" s="5"/>
      <c r="D5" s="5" t="s">
        <v>22</v>
      </c>
      <c r="E5" s="5" t="s">
        <v>23</v>
      </c>
      <c r="F5" s="4">
        <v>20000000</v>
      </c>
      <c r="G5" s="4">
        <v>1528000</v>
      </c>
      <c r="H5" s="6">
        <v>46152</v>
      </c>
      <c r="I5" s="6">
        <v>46091</v>
      </c>
      <c r="J5" s="6">
        <v>47186</v>
      </c>
      <c r="K5" s="5" t="s">
        <v>24</v>
      </c>
      <c r="L5" s="5"/>
      <c r="M5" s="5" t="s">
        <v>15</v>
      </c>
    </row>
    <row x14ac:dyDescent="0.25" r="6" customHeight="1" ht="18.75" hidden="1">
      <c r="A6" s="4">
        <v>100</v>
      </c>
      <c r="B6" s="5" t="s">
        <v>16</v>
      </c>
      <c r="C6" s="5"/>
      <c r="D6" s="5"/>
      <c r="E6" s="5" t="s">
        <v>25</v>
      </c>
      <c r="F6" s="4">
        <v>20000000</v>
      </c>
      <c r="G6" s="4">
        <v>1600000</v>
      </c>
      <c r="H6" s="6">
        <v>46047</v>
      </c>
      <c r="I6" s="6">
        <v>45848</v>
      </c>
      <c r="J6" s="6">
        <v>46943</v>
      </c>
      <c r="K6" s="5"/>
      <c r="L6" s="5" t="s">
        <v>26</v>
      </c>
      <c r="M6" s="5" t="s">
        <v>15</v>
      </c>
    </row>
    <row x14ac:dyDescent="0.25" r="7" customHeight="1" ht="18.75" hidden="1">
      <c r="A7" s="4">
        <v>102</v>
      </c>
      <c r="B7" s="5" t="s">
        <v>27</v>
      </c>
      <c r="C7" s="5"/>
      <c r="D7" s="5"/>
      <c r="E7" s="5" t="s">
        <v>28</v>
      </c>
      <c r="F7" s="4">
        <v>3000000</v>
      </c>
      <c r="G7" s="4">
        <v>300000</v>
      </c>
      <c r="H7" s="6">
        <v>46030</v>
      </c>
      <c r="I7" s="6">
        <v>45969</v>
      </c>
      <c r="J7" s="6">
        <v>47064</v>
      </c>
      <c r="K7" s="5"/>
      <c r="L7" s="5"/>
      <c r="M7" s="5" t="s">
        <v>15</v>
      </c>
    </row>
    <row x14ac:dyDescent="0.25" r="8" customHeight="1" ht="18.75" hidden="1">
      <c r="A8" s="4">
        <v>150</v>
      </c>
      <c r="B8" s="5" t="s">
        <v>16</v>
      </c>
      <c r="C8" s="5"/>
      <c r="D8" s="5" t="s">
        <v>29</v>
      </c>
      <c r="E8" s="5" t="s">
        <v>30</v>
      </c>
      <c r="F8" s="4">
        <v>10250000</v>
      </c>
      <c r="G8" s="4">
        <v>800000</v>
      </c>
      <c r="H8" s="6">
        <v>46107</v>
      </c>
      <c r="I8" s="6">
        <v>46048</v>
      </c>
      <c r="J8" s="6">
        <v>47143</v>
      </c>
      <c r="K8" s="5" t="s">
        <v>31</v>
      </c>
      <c r="L8" s="5"/>
      <c r="M8" s="5" t="s">
        <v>15</v>
      </c>
    </row>
    <row x14ac:dyDescent="0.25" r="9" customHeight="1" ht="18.75" hidden="1">
      <c r="A9" s="4">
        <v>151</v>
      </c>
      <c r="B9" s="5" t="s">
        <v>16</v>
      </c>
      <c r="C9" s="5"/>
      <c r="D9" s="5"/>
      <c r="E9" s="5" t="s">
        <v>32</v>
      </c>
      <c r="F9" s="4">
        <v>40000000</v>
      </c>
      <c r="G9" s="4">
        <v>2528000</v>
      </c>
      <c r="H9" s="6">
        <v>46208</v>
      </c>
      <c r="I9" s="6">
        <v>46022</v>
      </c>
      <c r="J9" s="6">
        <v>47117</v>
      </c>
      <c r="K9" s="5"/>
      <c r="L9" s="5" t="s">
        <v>33</v>
      </c>
      <c r="M9" s="5" t="s">
        <v>15</v>
      </c>
    </row>
    <row x14ac:dyDescent="0.25" r="10" customHeight="1" ht="18.75" hidden="1">
      <c r="A10" s="4">
        <v>184</v>
      </c>
      <c r="B10" s="5" t="s">
        <v>16</v>
      </c>
      <c r="C10" s="5"/>
      <c r="D10" s="5"/>
      <c r="E10" s="5" t="s">
        <v>34</v>
      </c>
      <c r="F10" s="4">
        <v>60000000</v>
      </c>
      <c r="G10" s="7"/>
      <c r="H10" s="6">
        <v>44145</v>
      </c>
      <c r="I10" s="6">
        <v>44084</v>
      </c>
      <c r="J10" s="6">
        <v>45178</v>
      </c>
      <c r="K10" s="5"/>
      <c r="L10" s="5"/>
      <c r="M10" s="5" t="s">
        <v>15</v>
      </c>
    </row>
    <row x14ac:dyDescent="0.25" r="11" customHeight="1" ht="18.75" hidden="1">
      <c r="A11" s="4">
        <v>234</v>
      </c>
      <c r="B11" s="5" t="s">
        <v>16</v>
      </c>
      <c r="C11" s="5"/>
      <c r="D11" s="5"/>
      <c r="E11" s="5" t="s">
        <v>35</v>
      </c>
      <c r="F11" s="4">
        <v>10000000</v>
      </c>
      <c r="G11" s="4">
        <v>800000</v>
      </c>
      <c r="H11" s="6">
        <v>46145</v>
      </c>
      <c r="I11" s="6">
        <v>46084</v>
      </c>
      <c r="J11" s="6">
        <v>47179</v>
      </c>
      <c r="K11" s="5" t="s">
        <v>36</v>
      </c>
      <c r="L11" s="5"/>
      <c r="M11" s="5" t="s">
        <v>15</v>
      </c>
    </row>
    <row x14ac:dyDescent="0.25" r="12" customHeight="1" ht="18.75" hidden="1">
      <c r="A12" s="4">
        <v>239</v>
      </c>
      <c r="B12" s="5" t="s">
        <v>16</v>
      </c>
      <c r="C12" s="5"/>
      <c r="D12" s="5"/>
      <c r="E12" s="5" t="s">
        <v>37</v>
      </c>
      <c r="F12" s="4">
        <v>10000000</v>
      </c>
      <c r="G12" s="4">
        <v>800000</v>
      </c>
      <c r="H12" s="6">
        <v>46145</v>
      </c>
      <c r="I12" s="6">
        <v>46084</v>
      </c>
      <c r="J12" s="6">
        <v>47179</v>
      </c>
      <c r="K12" s="5" t="s">
        <v>38</v>
      </c>
      <c r="L12" s="5"/>
      <c r="M12" s="5" t="s">
        <v>15</v>
      </c>
    </row>
    <row x14ac:dyDescent="0.25" r="13" customHeight="1" ht="18.75" hidden="1">
      <c r="A13" s="4">
        <v>273</v>
      </c>
      <c r="B13" s="5" t="s">
        <v>16</v>
      </c>
      <c r="C13" s="5"/>
      <c r="D13" s="5"/>
      <c r="E13" s="5" t="s">
        <v>39</v>
      </c>
      <c r="F13" s="4">
        <v>20000000</v>
      </c>
      <c r="G13" s="4">
        <v>1600000</v>
      </c>
      <c r="H13" s="6">
        <v>45902</v>
      </c>
      <c r="I13" s="6">
        <v>45840</v>
      </c>
      <c r="J13" s="6">
        <v>46935</v>
      </c>
      <c r="K13" s="5"/>
      <c r="L13" s="5"/>
      <c r="M13" s="5" t="s">
        <v>15</v>
      </c>
    </row>
    <row x14ac:dyDescent="0.25" r="14" customHeight="1" ht="18.75" hidden="1">
      <c r="A14" s="4">
        <v>276</v>
      </c>
      <c r="B14" s="5" t="s">
        <v>16</v>
      </c>
      <c r="C14" s="5"/>
      <c r="D14" s="5" t="s">
        <v>18</v>
      </c>
      <c r="E14" s="5" t="s">
        <v>40</v>
      </c>
      <c r="F14" s="4">
        <v>60000000</v>
      </c>
      <c r="G14" s="4">
        <v>4056000</v>
      </c>
      <c r="H14" s="6">
        <v>46196</v>
      </c>
      <c r="I14" s="6">
        <v>46135</v>
      </c>
      <c r="J14" s="6">
        <v>47230</v>
      </c>
      <c r="K14" s="5"/>
      <c r="L14" s="5" t="s">
        <v>41</v>
      </c>
      <c r="M14" s="5" t="s">
        <v>15</v>
      </c>
    </row>
    <row x14ac:dyDescent="0.25" r="15" customHeight="1" ht="18.75" hidden="1">
      <c r="A15" s="4">
        <v>277</v>
      </c>
      <c r="B15" s="5" t="s">
        <v>16</v>
      </c>
      <c r="C15" s="5"/>
      <c r="D15" s="5"/>
      <c r="E15" s="5" t="s">
        <v>42</v>
      </c>
      <c r="F15" s="4">
        <v>20000000</v>
      </c>
      <c r="G15" s="4">
        <v>1528000</v>
      </c>
      <c r="H15" s="6">
        <v>46081</v>
      </c>
      <c r="I15" s="6">
        <v>46019</v>
      </c>
      <c r="J15" s="6">
        <v>47114</v>
      </c>
      <c r="K15" s="5"/>
      <c r="L15" s="5"/>
      <c r="M15" s="5" t="s">
        <v>15</v>
      </c>
    </row>
    <row x14ac:dyDescent="0.25" r="16" customHeight="1" ht="18.75" hidden="1">
      <c r="A16" s="4">
        <v>278</v>
      </c>
      <c r="B16" s="5" t="s">
        <v>16</v>
      </c>
      <c r="C16" s="5"/>
      <c r="D16" s="5"/>
      <c r="E16" s="5" t="s">
        <v>43</v>
      </c>
      <c r="F16" s="4">
        <v>10000000</v>
      </c>
      <c r="G16" s="4">
        <v>800000</v>
      </c>
      <c r="H16" s="6">
        <v>46173</v>
      </c>
      <c r="I16" s="6">
        <v>46112</v>
      </c>
      <c r="J16" s="6">
        <v>47207</v>
      </c>
      <c r="K16" s="5" t="s">
        <v>44</v>
      </c>
      <c r="L16" s="5"/>
      <c r="M16" s="5" t="s">
        <v>15</v>
      </c>
    </row>
    <row x14ac:dyDescent="0.25" r="17" customHeight="1" ht="18.75" hidden="1">
      <c r="A17" s="4">
        <v>302</v>
      </c>
      <c r="B17" s="5" t="s">
        <v>16</v>
      </c>
      <c r="C17" s="5"/>
      <c r="D17" s="5"/>
      <c r="E17" s="5" t="s">
        <v>45</v>
      </c>
      <c r="F17" s="4">
        <v>60000000</v>
      </c>
      <c r="G17" s="4">
        <v>4800000</v>
      </c>
      <c r="H17" s="6">
        <v>46042</v>
      </c>
      <c r="I17" s="6">
        <v>45981</v>
      </c>
      <c r="J17" s="6">
        <v>47076</v>
      </c>
      <c r="K17" s="5"/>
      <c r="L17" s="5" t="s">
        <v>46</v>
      </c>
      <c r="M17" s="5" t="s">
        <v>15</v>
      </c>
    </row>
    <row x14ac:dyDescent="0.25" r="18" customHeight="1" ht="18.75" hidden="1">
      <c r="A18" s="4">
        <v>309</v>
      </c>
      <c r="B18" s="5" t="s">
        <v>16</v>
      </c>
      <c r="C18" s="5"/>
      <c r="D18" s="5" t="s">
        <v>22</v>
      </c>
      <c r="E18" s="5" t="s">
        <v>47</v>
      </c>
      <c r="F18" s="4">
        <v>10000000</v>
      </c>
      <c r="G18" s="4">
        <v>800000</v>
      </c>
      <c r="H18" s="6">
        <v>46156</v>
      </c>
      <c r="I18" s="6">
        <v>46095</v>
      </c>
      <c r="J18" s="6">
        <v>47190</v>
      </c>
      <c r="K18" s="5"/>
      <c r="L18" s="5"/>
      <c r="M18" s="5" t="s">
        <v>15</v>
      </c>
    </row>
    <row x14ac:dyDescent="0.25" r="19" customHeight="1" ht="18.75" hidden="1">
      <c r="A19" s="4">
        <v>330</v>
      </c>
      <c r="B19" s="5" t="s">
        <v>16</v>
      </c>
      <c r="C19" s="5" t="s">
        <v>48</v>
      </c>
      <c r="D19" s="5"/>
      <c r="E19" s="5" t="s">
        <v>49</v>
      </c>
      <c r="F19" s="4">
        <v>10000000</v>
      </c>
      <c r="G19" s="4">
        <v>1200000</v>
      </c>
      <c r="H19" s="6">
        <v>46193</v>
      </c>
      <c r="I19" s="6">
        <v>46132</v>
      </c>
      <c r="J19" s="6">
        <v>47227</v>
      </c>
      <c r="K19" s="5" t="s">
        <v>50</v>
      </c>
      <c r="L19" s="5"/>
      <c r="M19" s="5" t="s">
        <v>15</v>
      </c>
    </row>
    <row x14ac:dyDescent="0.25" r="20" customHeight="1" ht="18.75" hidden="1">
      <c r="A20" s="4">
        <v>346</v>
      </c>
      <c r="B20" s="5" t="s">
        <v>16</v>
      </c>
      <c r="C20" s="5"/>
      <c r="D20" s="5"/>
      <c r="E20" s="5" t="s">
        <v>51</v>
      </c>
      <c r="F20" s="4">
        <v>10000000</v>
      </c>
      <c r="G20" s="4">
        <v>400000</v>
      </c>
      <c r="H20" s="6">
        <v>45470</v>
      </c>
      <c r="I20" s="6">
        <v>45409</v>
      </c>
      <c r="J20" s="6">
        <v>46503</v>
      </c>
      <c r="K20" s="5" t="s">
        <v>52</v>
      </c>
      <c r="L20" s="5"/>
      <c r="M20" s="5" t="s">
        <v>15</v>
      </c>
    </row>
    <row x14ac:dyDescent="0.25" r="21" customHeight="1" ht="18.75" hidden="1">
      <c r="A21" s="4">
        <v>352</v>
      </c>
      <c r="B21" s="5" t="s">
        <v>16</v>
      </c>
      <c r="C21" s="5"/>
      <c r="D21" s="5"/>
      <c r="E21" s="5" t="s">
        <v>53</v>
      </c>
      <c r="F21" s="4">
        <v>10000000</v>
      </c>
      <c r="G21" s="4">
        <v>800000</v>
      </c>
      <c r="H21" s="6">
        <v>45997</v>
      </c>
      <c r="I21" s="6">
        <v>45936</v>
      </c>
      <c r="J21" s="6">
        <v>47031</v>
      </c>
      <c r="K21" s="5"/>
      <c r="L21" s="5"/>
      <c r="M21" s="5" t="s">
        <v>15</v>
      </c>
    </row>
    <row x14ac:dyDescent="0.25" r="22" customHeight="1" ht="18.75" hidden="1">
      <c r="A22" s="4">
        <v>362</v>
      </c>
      <c r="B22" s="5" t="s">
        <v>16</v>
      </c>
      <c r="C22" s="5"/>
      <c r="D22" s="5"/>
      <c r="E22" s="5" t="s">
        <v>54</v>
      </c>
      <c r="F22" s="4">
        <v>30000000</v>
      </c>
      <c r="G22" s="4">
        <v>1528000</v>
      </c>
      <c r="H22" s="6">
        <v>46027</v>
      </c>
      <c r="I22" s="6">
        <v>45966</v>
      </c>
      <c r="J22" s="6">
        <v>47061</v>
      </c>
      <c r="K22" s="5"/>
      <c r="L22" s="5"/>
      <c r="M22" s="5" t="s">
        <v>15</v>
      </c>
    </row>
    <row x14ac:dyDescent="0.25" r="23" customHeight="1" ht="18.75" hidden="1">
      <c r="A23" s="4">
        <v>365</v>
      </c>
      <c r="B23" s="5" t="s">
        <v>16</v>
      </c>
      <c r="C23" s="5" t="s">
        <v>55</v>
      </c>
      <c r="D23" s="5" t="s">
        <v>56</v>
      </c>
      <c r="E23" s="5" t="s">
        <v>57</v>
      </c>
      <c r="F23" s="4">
        <v>20000000</v>
      </c>
      <c r="G23" s="4">
        <v>1000000</v>
      </c>
      <c r="H23" s="6">
        <v>46061</v>
      </c>
      <c r="I23" s="6">
        <v>45999</v>
      </c>
      <c r="J23" s="6">
        <v>47094</v>
      </c>
      <c r="K23" s="5"/>
      <c r="L23" s="5" t="s">
        <v>58</v>
      </c>
      <c r="M23" s="5" t="s">
        <v>15</v>
      </c>
    </row>
    <row x14ac:dyDescent="0.25" r="24" customHeight="1" ht="18.75" hidden="1">
      <c r="A24" s="4">
        <v>381</v>
      </c>
      <c r="B24" s="5" t="s">
        <v>16</v>
      </c>
      <c r="C24" s="5"/>
      <c r="D24" s="5"/>
      <c r="E24" s="5" t="s">
        <v>59</v>
      </c>
      <c r="F24" s="4">
        <v>10000000</v>
      </c>
      <c r="G24" s="7"/>
      <c r="H24" s="6">
        <v>45819</v>
      </c>
      <c r="I24" s="6">
        <v>45758</v>
      </c>
      <c r="J24" s="6">
        <v>46853</v>
      </c>
      <c r="K24" s="5" t="s">
        <v>60</v>
      </c>
      <c r="L24" s="5"/>
      <c r="M24" s="5" t="s">
        <v>15</v>
      </c>
    </row>
    <row x14ac:dyDescent="0.25" r="25" customHeight="1" ht="18.75" hidden="1">
      <c r="A25" s="4">
        <v>382</v>
      </c>
      <c r="B25" s="5" t="s">
        <v>16</v>
      </c>
      <c r="C25" s="5"/>
      <c r="D25" s="5"/>
      <c r="E25" s="5" t="s">
        <v>59</v>
      </c>
      <c r="F25" s="4">
        <v>10000000</v>
      </c>
      <c r="G25" s="7"/>
      <c r="H25" s="6">
        <v>46184</v>
      </c>
      <c r="I25" s="6">
        <v>46123</v>
      </c>
      <c r="J25" s="6">
        <v>47218</v>
      </c>
      <c r="K25" s="5"/>
      <c r="L25" s="5" t="s">
        <v>61</v>
      </c>
      <c r="M25" s="5" t="s">
        <v>15</v>
      </c>
    </row>
    <row x14ac:dyDescent="0.25" r="26" customHeight="1" ht="18.75" hidden="1">
      <c r="A26" s="4">
        <v>386</v>
      </c>
      <c r="B26" s="5" t="s">
        <v>16</v>
      </c>
      <c r="C26" s="5"/>
      <c r="D26" s="5"/>
      <c r="E26" s="5" t="s">
        <v>62</v>
      </c>
      <c r="F26" s="4">
        <v>20000000</v>
      </c>
      <c r="G26" s="4">
        <v>1528000</v>
      </c>
      <c r="H26" s="6">
        <v>46056</v>
      </c>
      <c r="I26" s="6">
        <v>45994</v>
      </c>
      <c r="J26" s="6">
        <v>47089</v>
      </c>
      <c r="K26" s="5"/>
      <c r="L26" s="5" t="s">
        <v>63</v>
      </c>
      <c r="M26" s="5" t="s">
        <v>15</v>
      </c>
    </row>
    <row x14ac:dyDescent="0.25" r="27" customHeight="1" ht="18.75">
      <c r="A27" s="4">
        <v>406</v>
      </c>
      <c r="B27" s="5" t="s">
        <v>16</v>
      </c>
      <c r="C27" s="5" t="s">
        <v>48</v>
      </c>
      <c r="D27" s="5" t="s">
        <v>64</v>
      </c>
      <c r="E27" s="5" t="s">
        <v>65</v>
      </c>
      <c r="F27" s="4">
        <v>10000000</v>
      </c>
      <c r="G27" s="4">
        <v>1200000</v>
      </c>
      <c r="H27" s="6">
        <v>46116</v>
      </c>
      <c r="I27" s="6">
        <v>46057</v>
      </c>
      <c r="J27" s="6">
        <v>47152</v>
      </c>
      <c r="K27" s="5"/>
      <c r="L27" s="5" t="s">
        <v>66</v>
      </c>
      <c r="M27" s="5" t="s">
        <v>21</v>
      </c>
    </row>
    <row x14ac:dyDescent="0.25" r="28" customHeight="1" ht="18.75" hidden="1">
      <c r="A28" s="4">
        <v>410</v>
      </c>
      <c r="B28" s="5" t="s">
        <v>16</v>
      </c>
      <c r="C28" s="5" t="s">
        <v>67</v>
      </c>
      <c r="D28" s="5" t="s">
        <v>68</v>
      </c>
      <c r="E28" s="5" t="s">
        <v>69</v>
      </c>
      <c r="F28" s="4">
        <v>60000000</v>
      </c>
      <c r="G28" s="4">
        <v>4800000</v>
      </c>
      <c r="H28" s="6">
        <v>45951</v>
      </c>
      <c r="I28" s="6">
        <v>45890</v>
      </c>
      <c r="J28" s="6">
        <v>46985</v>
      </c>
      <c r="K28" s="5"/>
      <c r="L28" s="5" t="s">
        <v>70</v>
      </c>
      <c r="M28" s="5" t="s">
        <v>15</v>
      </c>
    </row>
    <row x14ac:dyDescent="0.25" r="29" customHeight="1" ht="18.75" hidden="1">
      <c r="A29" s="4">
        <v>423</v>
      </c>
      <c r="B29" s="5" t="s">
        <v>16</v>
      </c>
      <c r="C29" s="5"/>
      <c r="D29" s="5"/>
      <c r="E29" s="5" t="s">
        <v>71</v>
      </c>
      <c r="F29" s="4">
        <v>20000000</v>
      </c>
      <c r="G29" s="4">
        <v>1600000</v>
      </c>
      <c r="H29" s="6">
        <v>45904</v>
      </c>
      <c r="I29" s="6">
        <v>45842</v>
      </c>
      <c r="J29" s="6">
        <v>46937</v>
      </c>
      <c r="K29" s="5"/>
      <c r="L29" s="5"/>
      <c r="M29" s="5" t="s">
        <v>15</v>
      </c>
    </row>
    <row x14ac:dyDescent="0.25" r="30" customHeight="1" ht="18.75" hidden="1">
      <c r="A30" s="4">
        <v>425</v>
      </c>
      <c r="B30" s="5" t="s">
        <v>16</v>
      </c>
      <c r="C30" s="5"/>
      <c r="D30" s="5"/>
      <c r="E30" s="5" t="s">
        <v>72</v>
      </c>
      <c r="F30" s="4">
        <v>10000000</v>
      </c>
      <c r="G30" s="4">
        <v>800000</v>
      </c>
      <c r="H30" s="6">
        <v>45997</v>
      </c>
      <c r="I30" s="6">
        <v>45936</v>
      </c>
      <c r="J30" s="6">
        <v>47031</v>
      </c>
      <c r="K30" s="5"/>
      <c r="L30" s="5"/>
      <c r="M30" s="5" t="s">
        <v>15</v>
      </c>
    </row>
    <row x14ac:dyDescent="0.25" r="31" customHeight="1" ht="18.75">
      <c r="A31" s="4">
        <v>427</v>
      </c>
      <c r="B31" s="5" t="s">
        <v>16</v>
      </c>
      <c r="C31" s="5"/>
      <c r="D31" s="5" t="s">
        <v>18</v>
      </c>
      <c r="E31" s="5" t="s">
        <v>73</v>
      </c>
      <c r="F31" s="4">
        <v>60000000</v>
      </c>
      <c r="G31" s="4">
        <v>4056000</v>
      </c>
      <c r="H31" s="6">
        <v>45408</v>
      </c>
      <c r="I31" s="6">
        <v>45348</v>
      </c>
      <c r="J31" s="6">
        <v>46443</v>
      </c>
      <c r="K31" s="5" t="s">
        <v>74</v>
      </c>
      <c r="L31" s="5"/>
      <c r="M31" s="5" t="s">
        <v>21</v>
      </c>
    </row>
    <row x14ac:dyDescent="0.25" r="32" customHeight="1" ht="18.75" hidden="1">
      <c r="A32" s="4">
        <v>429</v>
      </c>
      <c r="B32" s="5" t="s">
        <v>16</v>
      </c>
      <c r="C32" s="5"/>
      <c r="D32" s="5" t="s">
        <v>75</v>
      </c>
      <c r="E32" s="5" t="s">
        <v>76</v>
      </c>
      <c r="F32" s="4">
        <v>30000000</v>
      </c>
      <c r="G32" s="4">
        <v>1500000</v>
      </c>
      <c r="H32" s="6">
        <v>46112</v>
      </c>
      <c r="I32" s="6">
        <v>46053</v>
      </c>
      <c r="J32" s="6">
        <v>47148</v>
      </c>
      <c r="K32" s="5"/>
      <c r="L32" s="5" t="s">
        <v>77</v>
      </c>
      <c r="M32" s="5" t="s">
        <v>15</v>
      </c>
    </row>
    <row x14ac:dyDescent="0.25" r="33" customHeight="1" ht="18.75" hidden="1">
      <c r="A33" s="4">
        <v>437</v>
      </c>
      <c r="B33" s="5" t="s">
        <v>16</v>
      </c>
      <c r="C33" s="5"/>
      <c r="D33" s="5"/>
      <c r="E33" s="5" t="s">
        <v>78</v>
      </c>
      <c r="F33" s="4">
        <v>40000000</v>
      </c>
      <c r="G33" s="4">
        <v>25028000</v>
      </c>
      <c r="H33" s="6">
        <v>46162</v>
      </c>
      <c r="I33" s="6">
        <v>46101</v>
      </c>
      <c r="J33" s="6">
        <v>47196</v>
      </c>
      <c r="K33" s="5" t="s">
        <v>79</v>
      </c>
      <c r="L33" s="5"/>
      <c r="M33" s="5" t="s">
        <v>15</v>
      </c>
    </row>
    <row x14ac:dyDescent="0.25" r="34" customHeight="1" ht="18.75" hidden="1">
      <c r="A34" s="4">
        <v>440</v>
      </c>
      <c r="B34" s="5" t="s">
        <v>16</v>
      </c>
      <c r="C34" s="5" t="s">
        <v>80</v>
      </c>
      <c r="D34" s="5"/>
      <c r="E34" s="5" t="s">
        <v>81</v>
      </c>
      <c r="F34" s="4">
        <v>30000000</v>
      </c>
      <c r="G34" s="4">
        <v>2028000</v>
      </c>
      <c r="H34" s="6">
        <v>46151</v>
      </c>
      <c r="I34" s="6">
        <v>46090</v>
      </c>
      <c r="J34" s="6">
        <v>47185</v>
      </c>
      <c r="K34" s="5" t="s">
        <v>82</v>
      </c>
      <c r="L34" s="5" t="s">
        <v>83</v>
      </c>
      <c r="M34" s="5" t="s">
        <v>15</v>
      </c>
    </row>
    <row x14ac:dyDescent="0.25" r="35" customHeight="1" ht="18.75">
      <c r="A35" s="4">
        <v>449</v>
      </c>
      <c r="B35" s="5" t="s">
        <v>16</v>
      </c>
      <c r="C35" s="5"/>
      <c r="D35" s="5"/>
      <c r="E35" s="5" t="s">
        <v>84</v>
      </c>
      <c r="F35" s="4">
        <v>10000000</v>
      </c>
      <c r="G35" s="4">
        <v>800000</v>
      </c>
      <c r="H35" s="6">
        <v>46192</v>
      </c>
      <c r="I35" s="6">
        <v>46131</v>
      </c>
      <c r="J35" s="6">
        <v>47226</v>
      </c>
      <c r="K35" s="5" t="s">
        <v>85</v>
      </c>
      <c r="L35" s="5" t="s">
        <v>86</v>
      </c>
      <c r="M35" s="5" t="s">
        <v>21</v>
      </c>
    </row>
    <row x14ac:dyDescent="0.25" r="36" customHeight="1" ht="18.75">
      <c r="A36" s="4">
        <v>454</v>
      </c>
      <c r="B36" s="5" t="s">
        <v>16</v>
      </c>
      <c r="C36" s="5"/>
      <c r="D36" s="5"/>
      <c r="E36" s="5" t="s">
        <v>87</v>
      </c>
      <c r="F36" s="4">
        <v>60000000</v>
      </c>
      <c r="G36" s="4">
        <v>4800000</v>
      </c>
      <c r="H36" s="6">
        <v>46094</v>
      </c>
      <c r="I36" s="6">
        <v>46035</v>
      </c>
      <c r="J36" s="6">
        <v>47130</v>
      </c>
      <c r="K36" s="5"/>
      <c r="L36" s="5"/>
      <c r="M36" s="5" t="s">
        <v>21</v>
      </c>
    </row>
    <row x14ac:dyDescent="0.25" r="37" customHeight="1" ht="18.75" hidden="1">
      <c r="A37" s="4">
        <v>467</v>
      </c>
      <c r="B37" s="5" t="s">
        <v>16</v>
      </c>
      <c r="C37" s="5" t="s">
        <v>88</v>
      </c>
      <c r="D37" s="5"/>
      <c r="E37" s="5" t="s">
        <v>89</v>
      </c>
      <c r="F37" s="4">
        <v>20000000</v>
      </c>
      <c r="G37" s="4">
        <v>1800000</v>
      </c>
      <c r="H37" s="6">
        <v>46202</v>
      </c>
      <c r="I37" s="6">
        <v>46141</v>
      </c>
      <c r="J37" s="6">
        <v>47236</v>
      </c>
      <c r="K37" s="5" t="s">
        <v>90</v>
      </c>
      <c r="L37" s="5"/>
      <c r="M37" s="5" t="s">
        <v>15</v>
      </c>
    </row>
    <row x14ac:dyDescent="0.25" r="38" customHeight="1" ht="18.75" hidden="1">
      <c r="A38" s="4">
        <v>489</v>
      </c>
      <c r="B38" s="5" t="s">
        <v>16</v>
      </c>
      <c r="C38" s="5"/>
      <c r="D38" s="5"/>
      <c r="E38" s="5" t="s">
        <v>91</v>
      </c>
      <c r="F38" s="4">
        <v>30000000</v>
      </c>
      <c r="G38" s="4">
        <v>2400000</v>
      </c>
      <c r="H38" s="6">
        <v>45929</v>
      </c>
      <c r="I38" s="6">
        <v>45867</v>
      </c>
      <c r="J38" s="6">
        <v>46962</v>
      </c>
      <c r="K38" s="5"/>
      <c r="L38" s="5"/>
      <c r="M38" s="5" t="s">
        <v>15</v>
      </c>
    </row>
    <row x14ac:dyDescent="0.25" r="39" customHeight="1" ht="18.75" hidden="1">
      <c r="A39" s="4">
        <v>522</v>
      </c>
      <c r="B39" s="5" t="s">
        <v>16</v>
      </c>
      <c r="C39" s="5"/>
      <c r="D39" s="5"/>
      <c r="E39" s="5" t="s">
        <v>92</v>
      </c>
      <c r="F39" s="4">
        <v>30000000</v>
      </c>
      <c r="G39" s="4">
        <v>2400000</v>
      </c>
      <c r="H39" s="6">
        <v>45881</v>
      </c>
      <c r="I39" s="6">
        <v>45820</v>
      </c>
      <c r="J39" s="6">
        <v>46915</v>
      </c>
      <c r="K39" s="5"/>
      <c r="L39" s="5"/>
      <c r="M39" s="5" t="s">
        <v>15</v>
      </c>
    </row>
    <row x14ac:dyDescent="0.25" r="40" customHeight="1" ht="18.75" hidden="1">
      <c r="A40" s="4">
        <v>528</v>
      </c>
      <c r="B40" s="5" t="s">
        <v>16</v>
      </c>
      <c r="C40" s="5"/>
      <c r="D40" s="5"/>
      <c r="E40" s="5" t="s">
        <v>93</v>
      </c>
      <c r="F40" s="4">
        <v>60000000</v>
      </c>
      <c r="G40" s="4">
        <v>4056000</v>
      </c>
      <c r="H40" s="6">
        <v>46193</v>
      </c>
      <c r="I40" s="6">
        <v>46132</v>
      </c>
      <c r="J40" s="6">
        <v>47227</v>
      </c>
      <c r="K40" s="5"/>
      <c r="L40" s="5"/>
      <c r="M40" s="5" t="s">
        <v>15</v>
      </c>
    </row>
    <row x14ac:dyDescent="0.25" r="41" customHeight="1" ht="18.75">
      <c r="A41" s="4">
        <v>537</v>
      </c>
      <c r="B41" s="5" t="s">
        <v>16</v>
      </c>
      <c r="C41" s="5"/>
      <c r="D41" s="5"/>
      <c r="E41" s="5" t="s">
        <v>94</v>
      </c>
      <c r="F41" s="4">
        <v>10000000</v>
      </c>
      <c r="G41" s="4">
        <v>800000</v>
      </c>
      <c r="H41" s="6">
        <v>45813</v>
      </c>
      <c r="I41" s="6">
        <v>45752</v>
      </c>
      <c r="J41" s="6">
        <v>46847</v>
      </c>
      <c r="K41" s="5" t="s">
        <v>95</v>
      </c>
      <c r="L41" s="5"/>
      <c r="M41" s="5" t="s">
        <v>21</v>
      </c>
    </row>
    <row x14ac:dyDescent="0.25" r="42" customHeight="1" ht="18.75" hidden="1">
      <c r="A42" s="4">
        <v>539</v>
      </c>
      <c r="B42" s="5" t="s">
        <v>16</v>
      </c>
      <c r="C42" s="5" t="s">
        <v>96</v>
      </c>
      <c r="D42" s="5" t="s">
        <v>97</v>
      </c>
      <c r="E42" s="5" t="s">
        <v>98</v>
      </c>
      <c r="F42" s="4">
        <v>20000000</v>
      </c>
      <c r="G42" s="4">
        <v>1528000</v>
      </c>
      <c r="H42" s="6">
        <v>45748</v>
      </c>
      <c r="I42" s="6">
        <v>45689</v>
      </c>
      <c r="J42" s="6">
        <v>46783</v>
      </c>
      <c r="K42" s="5"/>
      <c r="L42" s="5"/>
      <c r="M42" s="5" t="s">
        <v>15</v>
      </c>
    </row>
    <row x14ac:dyDescent="0.25" r="43" customHeight="1" ht="18.75">
      <c r="A43" s="4">
        <v>559</v>
      </c>
      <c r="B43" s="5" t="s">
        <v>16</v>
      </c>
      <c r="C43" s="5"/>
      <c r="D43" s="5" t="s">
        <v>18</v>
      </c>
      <c r="E43" s="5" t="s">
        <v>99</v>
      </c>
      <c r="F43" s="4">
        <v>30000000</v>
      </c>
      <c r="G43" s="4">
        <v>2400000</v>
      </c>
      <c r="H43" s="6">
        <v>45636</v>
      </c>
      <c r="I43" s="6">
        <v>45575</v>
      </c>
      <c r="J43" s="6">
        <v>46669</v>
      </c>
      <c r="K43" s="5"/>
      <c r="L43" s="5"/>
      <c r="M43" s="5" t="s">
        <v>21</v>
      </c>
    </row>
    <row x14ac:dyDescent="0.25" r="44" customHeight="1" ht="18.75" hidden="1">
      <c r="A44" s="4">
        <v>579</v>
      </c>
      <c r="B44" s="5" t="s">
        <v>16</v>
      </c>
      <c r="C44" s="5"/>
      <c r="D44" s="5"/>
      <c r="E44" s="5" t="s">
        <v>100</v>
      </c>
      <c r="F44" s="4">
        <v>60000000</v>
      </c>
      <c r="G44" s="4">
        <v>4800000</v>
      </c>
      <c r="H44" s="6">
        <v>45910</v>
      </c>
      <c r="I44" s="6">
        <v>45848</v>
      </c>
      <c r="J44" s="6">
        <v>46943</v>
      </c>
      <c r="K44" s="5"/>
      <c r="L44" s="5"/>
      <c r="M44" s="5" t="s">
        <v>15</v>
      </c>
    </row>
    <row x14ac:dyDescent="0.25" r="45" customHeight="1" ht="18.75" hidden="1">
      <c r="A45" s="4">
        <v>580</v>
      </c>
      <c r="B45" s="5" t="s">
        <v>16</v>
      </c>
      <c r="C45" s="5"/>
      <c r="D45" s="5"/>
      <c r="E45" s="5" t="s">
        <v>101</v>
      </c>
      <c r="F45" s="4">
        <v>20000000</v>
      </c>
      <c r="G45" s="4">
        <v>1000000</v>
      </c>
      <c r="H45" s="6">
        <v>46046</v>
      </c>
      <c r="I45" s="6">
        <v>45985</v>
      </c>
      <c r="J45" s="6">
        <v>47080</v>
      </c>
      <c r="K45" s="5"/>
      <c r="L45" s="5"/>
      <c r="M45" s="5" t="s">
        <v>15</v>
      </c>
    </row>
    <row x14ac:dyDescent="0.25" r="46" customHeight="1" ht="18.75" hidden="1">
      <c r="A46" s="4">
        <v>583</v>
      </c>
      <c r="B46" s="5" t="s">
        <v>16</v>
      </c>
      <c r="C46" s="5"/>
      <c r="D46" s="5"/>
      <c r="E46" s="5" t="s">
        <v>102</v>
      </c>
      <c r="F46" s="4">
        <v>60000000</v>
      </c>
      <c r="G46" s="4">
        <v>4800000</v>
      </c>
      <c r="H46" s="6">
        <v>45950</v>
      </c>
      <c r="I46" s="6">
        <v>45889</v>
      </c>
      <c r="J46" s="6">
        <v>46984</v>
      </c>
      <c r="K46" s="5"/>
      <c r="L46" s="5"/>
      <c r="M46" s="5" t="s">
        <v>15</v>
      </c>
    </row>
    <row x14ac:dyDescent="0.25" r="47" customHeight="1" ht="18.75" hidden="1">
      <c r="A47" s="4">
        <v>589</v>
      </c>
      <c r="B47" s="5" t="s">
        <v>16</v>
      </c>
      <c r="C47" s="5"/>
      <c r="D47" s="5"/>
      <c r="E47" s="5" t="s">
        <v>103</v>
      </c>
      <c r="F47" s="4">
        <v>30000000</v>
      </c>
      <c r="G47" s="4">
        <v>2028000</v>
      </c>
      <c r="H47" s="6">
        <v>46007</v>
      </c>
      <c r="I47" s="6">
        <v>45946</v>
      </c>
      <c r="J47" s="6">
        <v>47041</v>
      </c>
      <c r="K47" s="5"/>
      <c r="L47" s="5"/>
      <c r="M47" s="5" t="s">
        <v>15</v>
      </c>
    </row>
    <row x14ac:dyDescent="0.25" r="48" customHeight="1" ht="18.75">
      <c r="A48" s="4">
        <v>601</v>
      </c>
      <c r="B48" s="5" t="s">
        <v>16</v>
      </c>
      <c r="C48" s="5"/>
      <c r="D48" s="5"/>
      <c r="E48" s="5" t="s">
        <v>104</v>
      </c>
      <c r="F48" s="4">
        <v>10000000</v>
      </c>
      <c r="G48" s="4">
        <v>800000</v>
      </c>
      <c r="H48" s="6">
        <v>46041</v>
      </c>
      <c r="I48" s="6">
        <v>45980</v>
      </c>
      <c r="J48" s="6">
        <v>47075</v>
      </c>
      <c r="K48" s="5"/>
      <c r="L48" s="5"/>
      <c r="M48" s="5" t="s">
        <v>21</v>
      </c>
    </row>
    <row x14ac:dyDescent="0.25" r="49" customHeight="1" ht="18.75" hidden="1">
      <c r="A49" s="4">
        <v>610</v>
      </c>
      <c r="B49" s="5" t="s">
        <v>16</v>
      </c>
      <c r="C49" s="5"/>
      <c r="D49" s="5"/>
      <c r="E49" s="5" t="s">
        <v>105</v>
      </c>
      <c r="F49" s="4">
        <v>10000000</v>
      </c>
      <c r="G49" s="4">
        <v>800000</v>
      </c>
      <c r="H49" s="6">
        <v>46044</v>
      </c>
      <c r="I49" s="6">
        <v>45983</v>
      </c>
      <c r="J49" s="6">
        <v>47078</v>
      </c>
      <c r="K49" s="5"/>
      <c r="L49" s="5"/>
      <c r="M49" s="5" t="s">
        <v>15</v>
      </c>
    </row>
    <row x14ac:dyDescent="0.25" r="50" customHeight="1" ht="18.75" hidden="1">
      <c r="A50" s="4">
        <v>616</v>
      </c>
      <c r="B50" s="5" t="s">
        <v>16</v>
      </c>
      <c r="C50" s="5"/>
      <c r="D50" s="5"/>
      <c r="E50" s="5" t="s">
        <v>106</v>
      </c>
      <c r="F50" s="4">
        <v>60000000</v>
      </c>
      <c r="G50" s="4">
        <v>4800000</v>
      </c>
      <c r="H50" s="6">
        <v>46094</v>
      </c>
      <c r="I50" s="6">
        <v>46035</v>
      </c>
      <c r="J50" s="6">
        <v>47130</v>
      </c>
      <c r="K50" s="5"/>
      <c r="L50" s="5"/>
      <c r="M50" s="5" t="s">
        <v>15</v>
      </c>
    </row>
    <row x14ac:dyDescent="0.25" r="51" customHeight="1" ht="18.75" hidden="1">
      <c r="A51" s="4">
        <v>626</v>
      </c>
      <c r="B51" s="5" t="s">
        <v>16</v>
      </c>
      <c r="C51" s="5"/>
      <c r="D51" s="5" t="s">
        <v>107</v>
      </c>
      <c r="E51" s="5" t="s">
        <v>108</v>
      </c>
      <c r="F51" s="4">
        <v>10000000</v>
      </c>
      <c r="G51" s="7"/>
      <c r="H51" s="6">
        <v>46097</v>
      </c>
      <c r="I51" s="6">
        <v>46038</v>
      </c>
      <c r="J51" s="6">
        <v>47133</v>
      </c>
      <c r="K51" s="5" t="s">
        <v>109</v>
      </c>
      <c r="L51" s="5" t="s">
        <v>110</v>
      </c>
      <c r="M51" s="5" t="s">
        <v>15</v>
      </c>
    </row>
    <row x14ac:dyDescent="0.25" r="52" customHeight="1" ht="18.75" hidden="1">
      <c r="A52" s="4">
        <v>637</v>
      </c>
      <c r="B52" s="5" t="s">
        <v>16</v>
      </c>
      <c r="C52" s="5"/>
      <c r="D52" s="5"/>
      <c r="E52" s="5" t="s">
        <v>111</v>
      </c>
      <c r="F52" s="4">
        <v>10000000</v>
      </c>
      <c r="G52" s="7"/>
      <c r="H52" s="6">
        <v>46050</v>
      </c>
      <c r="I52" s="6">
        <v>45989</v>
      </c>
      <c r="J52" s="6">
        <v>47084</v>
      </c>
      <c r="K52" s="5"/>
      <c r="L52" s="5" t="s">
        <v>112</v>
      </c>
      <c r="M52" s="5" t="s">
        <v>15</v>
      </c>
    </row>
    <row x14ac:dyDescent="0.25" r="53" customHeight="1" ht="18.75" hidden="1">
      <c r="A53" s="4">
        <v>640</v>
      </c>
      <c r="B53" s="5" t="s">
        <v>113</v>
      </c>
      <c r="C53" s="5"/>
      <c r="D53" s="5"/>
      <c r="E53" s="5" t="s">
        <v>18</v>
      </c>
      <c r="F53" s="4">
        <v>30000000</v>
      </c>
      <c r="G53" s="4">
        <v>2400000</v>
      </c>
      <c r="H53" s="6">
        <v>45636</v>
      </c>
      <c r="I53" s="6">
        <v>45575</v>
      </c>
      <c r="J53" s="6">
        <v>46669</v>
      </c>
      <c r="K53" s="5"/>
      <c r="L53" s="5"/>
      <c r="M53" s="5" t="s">
        <v>15</v>
      </c>
    </row>
    <row x14ac:dyDescent="0.25" r="54" customHeight="1" ht="18.75" hidden="1">
      <c r="A54" s="4">
        <v>641</v>
      </c>
      <c r="B54" s="5" t="s">
        <v>113</v>
      </c>
      <c r="C54" s="5"/>
      <c r="D54" s="5"/>
      <c r="E54" s="5" t="s">
        <v>18</v>
      </c>
      <c r="F54" s="4">
        <v>30000000</v>
      </c>
      <c r="G54" s="4">
        <v>2400000</v>
      </c>
      <c r="H54" s="6">
        <v>45657</v>
      </c>
      <c r="I54" s="6">
        <v>45596</v>
      </c>
      <c r="J54" s="6">
        <v>46690</v>
      </c>
      <c r="K54" s="5"/>
      <c r="L54" s="5"/>
      <c r="M54" s="5" t="s">
        <v>15</v>
      </c>
    </row>
    <row x14ac:dyDescent="0.25" r="55" customHeight="1" ht="18.75" hidden="1">
      <c r="A55" s="4">
        <v>656</v>
      </c>
      <c r="B55" s="5" t="s">
        <v>16</v>
      </c>
      <c r="C55" s="5"/>
      <c r="D55" s="5" t="s">
        <v>114</v>
      </c>
      <c r="E55" s="5" t="s">
        <v>115</v>
      </c>
      <c r="F55" s="4">
        <v>1000000</v>
      </c>
      <c r="G55" s="4">
        <v>800000</v>
      </c>
      <c r="H55" s="6">
        <v>46064</v>
      </c>
      <c r="I55" s="6">
        <v>46002</v>
      </c>
      <c r="J55" s="6">
        <v>47097</v>
      </c>
      <c r="K55" s="5"/>
      <c r="L55" s="5"/>
      <c r="M55" s="5" t="s">
        <v>15</v>
      </c>
    </row>
    <row x14ac:dyDescent="0.25" r="56" customHeight="1" ht="18.75" hidden="1">
      <c r="A56" s="4">
        <v>658</v>
      </c>
      <c r="B56" s="5" t="s">
        <v>16</v>
      </c>
      <c r="C56" s="5" t="s">
        <v>116</v>
      </c>
      <c r="D56" s="5" t="s">
        <v>117</v>
      </c>
      <c r="E56" s="5" t="s">
        <v>118</v>
      </c>
      <c r="F56" s="4">
        <v>10000000</v>
      </c>
      <c r="G56" s="4">
        <v>500000</v>
      </c>
      <c r="H56" s="6">
        <v>46114</v>
      </c>
      <c r="I56" s="6">
        <v>46056</v>
      </c>
      <c r="J56" s="6">
        <v>47151</v>
      </c>
      <c r="K56" s="5"/>
      <c r="L56" s="5"/>
      <c r="M56" s="5" t="s">
        <v>15</v>
      </c>
    </row>
    <row x14ac:dyDescent="0.25" r="57" customHeight="1" ht="18.75" hidden="1">
      <c r="A57" s="4">
        <v>661</v>
      </c>
      <c r="B57" s="5" t="s">
        <v>16</v>
      </c>
      <c r="C57" s="5"/>
      <c r="D57" s="5"/>
      <c r="E57" s="5" t="s">
        <v>119</v>
      </c>
      <c r="F57" s="4">
        <v>10000000</v>
      </c>
      <c r="G57" s="4">
        <v>500000</v>
      </c>
      <c r="H57" s="6">
        <v>45463</v>
      </c>
      <c r="I57" s="6">
        <v>45402</v>
      </c>
      <c r="J57" s="6">
        <v>46496</v>
      </c>
      <c r="K57" s="5" t="s">
        <v>120</v>
      </c>
      <c r="L57" s="5"/>
      <c r="M57" s="5" t="s">
        <v>15</v>
      </c>
    </row>
    <row x14ac:dyDescent="0.25" r="58" customHeight="1" ht="18.75">
      <c r="A58" s="4">
        <v>665</v>
      </c>
      <c r="B58" s="5" t="s">
        <v>13</v>
      </c>
      <c r="C58" s="5"/>
      <c r="D58" s="5"/>
      <c r="E58" s="5" t="s">
        <v>121</v>
      </c>
      <c r="F58" s="4">
        <v>10000000</v>
      </c>
      <c r="G58" s="7"/>
      <c r="H58" s="6">
        <v>45782</v>
      </c>
      <c r="I58" s="6">
        <v>45721</v>
      </c>
      <c r="J58" s="6">
        <v>46816</v>
      </c>
      <c r="K58" s="5"/>
      <c r="L58" s="5" t="s">
        <v>122</v>
      </c>
      <c r="M58" s="5" t="s">
        <v>21</v>
      </c>
    </row>
    <row x14ac:dyDescent="0.25" r="59" customHeight="1" ht="18.75">
      <c r="A59" s="4">
        <v>666</v>
      </c>
      <c r="B59" s="5" t="s">
        <v>16</v>
      </c>
      <c r="C59" s="5"/>
      <c r="D59" s="5"/>
      <c r="E59" s="5" t="s">
        <v>121</v>
      </c>
      <c r="F59" s="4">
        <v>60000000</v>
      </c>
      <c r="G59" s="4">
        <v>4056000</v>
      </c>
      <c r="H59" s="6">
        <v>45903</v>
      </c>
      <c r="I59" s="6">
        <v>45841</v>
      </c>
      <c r="J59" s="6">
        <v>46936</v>
      </c>
      <c r="K59" s="5"/>
      <c r="L59" s="5" t="s">
        <v>123</v>
      </c>
      <c r="M59" s="5" t="s">
        <v>21</v>
      </c>
    </row>
    <row x14ac:dyDescent="0.25" r="60" customHeight="1" ht="18.75" hidden="1">
      <c r="A60" s="4">
        <v>689</v>
      </c>
      <c r="B60" s="5" t="s">
        <v>16</v>
      </c>
      <c r="C60" s="5"/>
      <c r="D60" s="5" t="s">
        <v>75</v>
      </c>
      <c r="E60" s="5" t="s">
        <v>124</v>
      </c>
      <c r="F60" s="4">
        <v>60000000</v>
      </c>
      <c r="G60" s="4">
        <v>4056000</v>
      </c>
      <c r="H60" s="6">
        <v>46140</v>
      </c>
      <c r="I60" s="6">
        <v>46081</v>
      </c>
      <c r="J60" s="6">
        <v>47176</v>
      </c>
      <c r="K60" s="5" t="s">
        <v>125</v>
      </c>
      <c r="L60" s="5"/>
      <c r="M60" s="5" t="s">
        <v>15</v>
      </c>
    </row>
    <row x14ac:dyDescent="0.25" r="61" customHeight="1" ht="18.75" hidden="1">
      <c r="A61" s="4">
        <v>700</v>
      </c>
      <c r="B61" s="5" t="s">
        <v>113</v>
      </c>
      <c r="C61" s="5"/>
      <c r="D61" s="5"/>
      <c r="E61" s="5" t="s">
        <v>126</v>
      </c>
      <c r="F61" s="4">
        <v>60000000</v>
      </c>
      <c r="G61" s="4">
        <v>4800000</v>
      </c>
      <c r="H61" s="6">
        <v>45593</v>
      </c>
      <c r="I61" s="6">
        <v>45532</v>
      </c>
      <c r="J61" s="6">
        <v>46626</v>
      </c>
      <c r="K61" s="5"/>
      <c r="L61" s="5"/>
      <c r="M61" s="5" t="s">
        <v>15</v>
      </c>
    </row>
    <row x14ac:dyDescent="0.25" r="62" customHeight="1" ht="18.75" hidden="1">
      <c r="A62" s="4">
        <v>739</v>
      </c>
      <c r="B62" s="5" t="s">
        <v>16</v>
      </c>
      <c r="C62" s="5" t="s">
        <v>55</v>
      </c>
      <c r="D62" s="5" t="s">
        <v>56</v>
      </c>
      <c r="E62" s="5" t="s">
        <v>127</v>
      </c>
      <c r="F62" s="7"/>
      <c r="G62" s="7"/>
      <c r="H62" s="6"/>
      <c r="I62" s="6"/>
      <c r="J62" s="6"/>
      <c r="K62" s="5"/>
      <c r="L62" s="5"/>
      <c r="M62" s="5" t="s">
        <v>15</v>
      </c>
    </row>
    <row x14ac:dyDescent="0.25" r="63" customHeight="1" ht="18.75" hidden="1">
      <c r="A63" s="4">
        <v>755</v>
      </c>
      <c r="B63" s="5" t="s">
        <v>16</v>
      </c>
      <c r="C63" s="5"/>
      <c r="D63" s="5"/>
      <c r="E63" s="5" t="s">
        <v>128</v>
      </c>
      <c r="F63" s="4">
        <v>20000000</v>
      </c>
      <c r="G63" s="4">
        <v>1528000</v>
      </c>
      <c r="H63" s="6">
        <v>46002</v>
      </c>
      <c r="I63" s="6">
        <v>45941</v>
      </c>
      <c r="J63" s="6">
        <v>47036</v>
      </c>
      <c r="K63" s="5"/>
      <c r="L63" s="5"/>
      <c r="M63" s="5" t="s">
        <v>15</v>
      </c>
    </row>
    <row x14ac:dyDescent="0.25" r="64" customHeight="1" ht="18.75" hidden="1">
      <c r="A64" s="4">
        <v>760</v>
      </c>
      <c r="B64" s="5" t="s">
        <v>16</v>
      </c>
      <c r="C64" s="5" t="s">
        <v>129</v>
      </c>
      <c r="D64" s="5" t="s">
        <v>130</v>
      </c>
      <c r="E64" s="5" t="s">
        <v>131</v>
      </c>
      <c r="F64" s="4">
        <v>40000000</v>
      </c>
      <c r="G64" s="4">
        <v>2900000</v>
      </c>
      <c r="H64" s="6">
        <v>46235</v>
      </c>
      <c r="I64" s="6">
        <v>46174</v>
      </c>
      <c r="J64" s="6">
        <v>47269</v>
      </c>
      <c r="K64" s="5"/>
      <c r="L64" s="5"/>
      <c r="M64" s="5" t="s">
        <v>15</v>
      </c>
    </row>
    <row x14ac:dyDescent="0.25" r="65" customHeight="1" ht="18.75">
      <c r="A65" s="4">
        <v>763</v>
      </c>
      <c r="B65" s="5" t="s">
        <v>16</v>
      </c>
      <c r="C65" s="5"/>
      <c r="D65" s="5"/>
      <c r="E65" s="5" t="s">
        <v>132</v>
      </c>
      <c r="F65" s="4">
        <v>10000000</v>
      </c>
      <c r="G65" s="4">
        <v>800000</v>
      </c>
      <c r="H65" s="6">
        <v>45861</v>
      </c>
      <c r="I65" s="6">
        <v>45800</v>
      </c>
      <c r="J65" s="6">
        <v>46895</v>
      </c>
      <c r="K65" s="5"/>
      <c r="L65" s="5"/>
      <c r="M65" s="5" t="s">
        <v>21</v>
      </c>
    </row>
    <row x14ac:dyDescent="0.25" r="66" customHeight="1" ht="18.75" hidden="1">
      <c r="A66" s="4">
        <v>779</v>
      </c>
      <c r="B66" s="5" t="s">
        <v>16</v>
      </c>
      <c r="C66" s="5"/>
      <c r="D66" s="5" t="s">
        <v>34</v>
      </c>
      <c r="E66" s="5" t="s">
        <v>133</v>
      </c>
      <c r="F66" s="4">
        <v>30000000</v>
      </c>
      <c r="G66" s="4">
        <v>2028000</v>
      </c>
      <c r="H66" s="6">
        <v>46114</v>
      </c>
      <c r="I66" s="6">
        <v>46055</v>
      </c>
      <c r="J66" s="6">
        <v>47150</v>
      </c>
      <c r="K66" s="5" t="s">
        <v>134</v>
      </c>
      <c r="L66" s="5"/>
      <c r="M66" s="5" t="s">
        <v>15</v>
      </c>
    </row>
    <row x14ac:dyDescent="0.25" r="67" customHeight="1" ht="18.75" hidden="1">
      <c r="A67" s="4">
        <v>797</v>
      </c>
      <c r="B67" s="5" t="s">
        <v>16</v>
      </c>
      <c r="C67" s="5"/>
      <c r="D67" s="5"/>
      <c r="E67" s="5" t="s">
        <v>135</v>
      </c>
      <c r="F67" s="4">
        <v>10000000</v>
      </c>
      <c r="G67" s="4">
        <v>800000</v>
      </c>
      <c r="H67" s="6">
        <v>46110</v>
      </c>
      <c r="I67" s="6">
        <v>46051</v>
      </c>
      <c r="J67" s="6">
        <v>47146</v>
      </c>
      <c r="K67" s="5"/>
      <c r="L67" s="5"/>
      <c r="M67" s="5" t="s">
        <v>15</v>
      </c>
    </row>
    <row x14ac:dyDescent="0.25" r="68" customHeight="1" ht="18.75">
      <c r="A68" s="4">
        <v>800</v>
      </c>
      <c r="B68" s="5" t="s">
        <v>16</v>
      </c>
      <c r="C68" s="5"/>
      <c r="D68" s="5"/>
      <c r="E68" s="5" t="s">
        <v>136</v>
      </c>
      <c r="F68" s="4">
        <v>30000000</v>
      </c>
      <c r="G68" s="4">
        <v>2028000</v>
      </c>
      <c r="H68" s="6">
        <v>46042</v>
      </c>
      <c r="I68" s="6">
        <v>45981</v>
      </c>
      <c r="J68" s="6">
        <v>47076</v>
      </c>
      <c r="K68" s="5"/>
      <c r="L68" s="5"/>
      <c r="M68" s="5" t="s">
        <v>21</v>
      </c>
    </row>
    <row x14ac:dyDescent="0.25" r="69" customHeight="1" ht="18.75" hidden="1">
      <c r="A69" s="4">
        <v>804</v>
      </c>
      <c r="B69" s="5" t="s">
        <v>16</v>
      </c>
      <c r="C69" s="5"/>
      <c r="D69" s="5"/>
      <c r="E69" s="5" t="s">
        <v>137</v>
      </c>
      <c r="F69" s="4">
        <v>5000000</v>
      </c>
      <c r="G69" s="4">
        <v>800000</v>
      </c>
      <c r="H69" s="6">
        <v>46114</v>
      </c>
      <c r="I69" s="6">
        <v>46055</v>
      </c>
      <c r="J69" s="6">
        <v>47150</v>
      </c>
      <c r="K69" s="5"/>
      <c r="L69" s="5" t="s">
        <v>138</v>
      </c>
      <c r="M69" s="5" t="s">
        <v>15</v>
      </c>
    </row>
    <row x14ac:dyDescent="0.25" r="70" customHeight="1" ht="18.75" hidden="1">
      <c r="A70" s="4">
        <v>824</v>
      </c>
      <c r="B70" s="5" t="s">
        <v>16</v>
      </c>
      <c r="C70" s="5"/>
      <c r="D70" s="5"/>
      <c r="E70" s="5" t="s">
        <v>139</v>
      </c>
      <c r="F70" s="4">
        <v>30000000</v>
      </c>
      <c r="G70" s="4">
        <v>2028000</v>
      </c>
      <c r="H70" s="6">
        <v>46064</v>
      </c>
      <c r="I70" s="6">
        <v>46002</v>
      </c>
      <c r="J70" s="6">
        <v>47097</v>
      </c>
      <c r="K70" s="5"/>
      <c r="L70" s="5"/>
      <c r="M70" s="5" t="s">
        <v>15</v>
      </c>
    </row>
    <row x14ac:dyDescent="0.25" r="71" customHeight="1" ht="18.75" hidden="1">
      <c r="A71" s="4">
        <v>826</v>
      </c>
      <c r="B71" s="5" t="s">
        <v>16</v>
      </c>
      <c r="C71" s="5"/>
      <c r="D71" s="5"/>
      <c r="E71" s="5" t="s">
        <v>140</v>
      </c>
      <c r="F71" s="4">
        <v>10000000</v>
      </c>
      <c r="G71" s="4">
        <v>800000</v>
      </c>
      <c r="H71" s="6">
        <v>45995</v>
      </c>
      <c r="I71" s="6">
        <v>45934</v>
      </c>
      <c r="J71" s="6">
        <v>47029</v>
      </c>
      <c r="K71" s="5"/>
      <c r="L71" s="5"/>
      <c r="M71" s="5" t="s">
        <v>15</v>
      </c>
    </row>
    <row x14ac:dyDescent="0.25" r="72" customHeight="1" ht="18.75" hidden="1">
      <c r="A72" s="4">
        <v>834</v>
      </c>
      <c r="B72" s="5" t="s">
        <v>16</v>
      </c>
      <c r="C72" s="5" t="s">
        <v>80</v>
      </c>
      <c r="D72" s="5" t="s">
        <v>97</v>
      </c>
      <c r="E72" s="5" t="s">
        <v>141</v>
      </c>
      <c r="F72" s="4">
        <v>30000000</v>
      </c>
      <c r="G72" s="4">
        <v>2028000</v>
      </c>
      <c r="H72" s="6">
        <v>46167</v>
      </c>
      <c r="I72" s="6">
        <v>46106</v>
      </c>
      <c r="J72" s="6">
        <v>47201</v>
      </c>
      <c r="K72" s="5"/>
      <c r="L72" s="5" t="s">
        <v>142</v>
      </c>
      <c r="M72" s="5" t="s">
        <v>15</v>
      </c>
    </row>
    <row x14ac:dyDescent="0.25" r="73" customHeight="1" ht="18.75">
      <c r="A73" s="4">
        <v>837</v>
      </c>
      <c r="B73" s="5" t="s">
        <v>16</v>
      </c>
      <c r="C73" s="5" t="s">
        <v>143</v>
      </c>
      <c r="D73" s="5" t="s">
        <v>22</v>
      </c>
      <c r="E73" s="5" t="s">
        <v>144</v>
      </c>
      <c r="F73" s="4">
        <v>120000000</v>
      </c>
      <c r="G73" s="4">
        <v>9600000</v>
      </c>
      <c r="H73" s="6">
        <v>46088</v>
      </c>
      <c r="I73" s="6">
        <v>46029</v>
      </c>
      <c r="J73" s="6">
        <v>47124</v>
      </c>
      <c r="K73" s="5"/>
      <c r="L73" s="5" t="s">
        <v>145</v>
      </c>
      <c r="M73" s="5" t="s">
        <v>21</v>
      </c>
    </row>
    <row x14ac:dyDescent="0.25" r="74" customHeight="1" ht="18.75">
      <c r="A74" s="8"/>
      <c r="B74" s="9"/>
      <c r="C74" s="9"/>
      <c r="D74" s="9"/>
      <c r="E74" s="9"/>
      <c r="F74" s="8"/>
      <c r="G74" s="8"/>
      <c r="H74" s="10"/>
      <c r="I74" s="10"/>
      <c r="J74" s="10"/>
      <c r="K74" s="9"/>
      <c r="L74" s="9"/>
      <c r="M74" s="9"/>
    </row>
    <row x14ac:dyDescent="0.25" r="75" customHeight="1" ht="18.75">
      <c r="A75" s="8"/>
      <c r="B75" s="9"/>
      <c r="C75" s="9"/>
      <c r="D75" s="9"/>
      <c r="E75" s="9"/>
      <c r="F75" s="8"/>
      <c r="G75" s="8"/>
      <c r="H75" s="10"/>
      <c r="I75" s="10"/>
      <c r="J75" s="10"/>
      <c r="K75" s="9"/>
      <c r="L75" s="9"/>
      <c r="M75" s="9"/>
    </row>
    <row x14ac:dyDescent="0.25" r="76" customHeight="1" ht="18.75">
      <c r="A76" s="8"/>
      <c r="B76" s="9"/>
      <c r="C76" s="9"/>
      <c r="D76" s="9"/>
      <c r="E76" s="9"/>
      <c r="F76" s="8"/>
      <c r="G76" s="8"/>
      <c r="H76" s="10"/>
      <c r="I76" s="10"/>
      <c r="J76" s="10"/>
      <c r="K76" s="9"/>
      <c r="L76" s="9"/>
      <c r="M76" s="9"/>
    </row>
    <row x14ac:dyDescent="0.25" r="77" customHeight="1" ht="18.75">
      <c r="A77" s="8"/>
      <c r="B77" s="9"/>
      <c r="C77" s="9"/>
      <c r="D77" s="9"/>
      <c r="E77" s="9"/>
      <c r="F77" s="8"/>
      <c r="G77" s="8"/>
      <c r="H77" s="10"/>
      <c r="I77" s="10"/>
      <c r="J77" s="10"/>
      <c r="K77" s="9"/>
      <c r="L77" s="9"/>
      <c r="M77" s="9"/>
    </row>
    <row x14ac:dyDescent="0.25" r="78" customHeight="1" ht="18.75">
      <c r="A78" s="8"/>
      <c r="B78" s="9"/>
      <c r="C78" s="9"/>
      <c r="D78" s="9"/>
      <c r="E78" s="9"/>
      <c r="F78" s="8"/>
      <c r="G78" s="8"/>
      <c r="H78" s="10"/>
      <c r="I78" s="10"/>
      <c r="J78" s="10"/>
      <c r="K78" s="9"/>
      <c r="L78" s="9"/>
      <c r="M78" s="9"/>
    </row>
    <row x14ac:dyDescent="0.25" r="79" customHeight="1" ht="18.75">
      <c r="A79" s="8"/>
      <c r="B79" s="9"/>
      <c r="C79" s="9"/>
      <c r="D79" s="9"/>
      <c r="E79" s="9"/>
      <c r="F79" s="8"/>
      <c r="G79" s="8"/>
      <c r="H79" s="10"/>
      <c r="I79" s="10"/>
      <c r="J79" s="10"/>
      <c r="K79" s="9"/>
      <c r="L79" s="9"/>
      <c r="M79" s="9"/>
    </row>
    <row x14ac:dyDescent="0.25" r="80" customHeight="1" ht="18.75">
      <c r="A80" s="8"/>
      <c r="B80" s="9"/>
      <c r="C80" s="9"/>
      <c r="D80" s="9"/>
      <c r="E80" s="9"/>
      <c r="F80" s="8"/>
      <c r="G80" s="8"/>
      <c r="H80" s="10"/>
      <c r="I80" s="10"/>
      <c r="J80" s="10"/>
      <c r="K80" s="9"/>
      <c r="L80" s="9"/>
      <c r="M80" s="9"/>
    </row>
    <row x14ac:dyDescent="0.25" r="81" customHeight="1" ht="18.75">
      <c r="A81" s="8"/>
      <c r="B81" s="9"/>
      <c r="C81" s="9"/>
      <c r="D81" s="9"/>
      <c r="E81" s="9"/>
      <c r="F81" s="8"/>
      <c r="G81" s="8"/>
      <c r="H81" s="10"/>
      <c r="I81" s="10"/>
      <c r="J81" s="10"/>
      <c r="K81" s="9"/>
      <c r="L81" s="9"/>
      <c r="M81" s="9"/>
    </row>
    <row x14ac:dyDescent="0.25" r="82" customHeight="1" ht="18.75">
      <c r="A82" s="8"/>
      <c r="B82" s="9"/>
      <c r="C82" s="9"/>
      <c r="D82" s="9"/>
      <c r="E82" s="9"/>
      <c r="F82" s="8"/>
      <c r="G82" s="8"/>
      <c r="H82" s="10"/>
      <c r="I82" s="10"/>
      <c r="J82" s="10"/>
      <c r="K82" s="9"/>
      <c r="L82" s="9"/>
      <c r="M82" s="9"/>
    </row>
    <row x14ac:dyDescent="0.25" r="83" customHeight="1" ht="18.75">
      <c r="A83" s="8"/>
      <c r="B83" s="9"/>
      <c r="C83" s="9"/>
      <c r="D83" s="9"/>
      <c r="E83" s="9"/>
      <c r="F83" s="8"/>
      <c r="G83" s="8"/>
      <c r="H83" s="10"/>
      <c r="I83" s="10"/>
      <c r="J83" s="10"/>
      <c r="K83" s="9"/>
      <c r="L83" s="9"/>
      <c r="M83" s="9"/>
    </row>
    <row x14ac:dyDescent="0.25" r="84" customHeight="1" ht="18.75">
      <c r="A84" s="8"/>
      <c r="B84" s="9"/>
      <c r="C84" s="9"/>
      <c r="D84" s="9"/>
      <c r="E84" s="9"/>
      <c r="F84" s="8"/>
      <c r="G84" s="8"/>
      <c r="H84" s="10"/>
      <c r="I84" s="10"/>
      <c r="J84" s="10"/>
      <c r="K84" s="9"/>
      <c r="L84" s="9"/>
      <c r="M84" s="9"/>
    </row>
    <row x14ac:dyDescent="0.25" r="85" customHeight="1" ht="18.75">
      <c r="A85" s="8"/>
      <c r="B85" s="9"/>
      <c r="C85" s="9"/>
      <c r="D85" s="9"/>
      <c r="E85" s="9"/>
      <c r="F85" s="8"/>
      <c r="G85" s="8"/>
      <c r="H85" s="10"/>
      <c r="I85" s="10"/>
      <c r="J85" s="10"/>
      <c r="K85" s="9"/>
      <c r="L85" s="9"/>
      <c r="M85" s="9"/>
    </row>
    <row x14ac:dyDescent="0.25" r="86" customHeight="1" ht="18.75">
      <c r="A86" s="8"/>
      <c r="B86" s="9"/>
      <c r="C86" s="9"/>
      <c r="D86" s="9"/>
      <c r="E86" s="9"/>
      <c r="F86" s="8"/>
      <c r="G86" s="8"/>
      <c r="H86" s="10"/>
      <c r="I86" s="10"/>
      <c r="J86" s="10"/>
      <c r="K86" s="9"/>
      <c r="L86" s="9"/>
      <c r="M86" s="9"/>
    </row>
    <row x14ac:dyDescent="0.25" r="87" customHeight="1" ht="18.75">
      <c r="A87" s="8"/>
      <c r="B87" s="9"/>
      <c r="C87" s="9"/>
      <c r="D87" s="9"/>
      <c r="E87" s="9"/>
      <c r="F87" s="8"/>
      <c r="G87" s="8"/>
      <c r="H87" s="10"/>
      <c r="I87" s="10"/>
      <c r="J87" s="10"/>
      <c r="K87" s="9"/>
      <c r="L87" s="9"/>
      <c r="M87" s="9"/>
    </row>
    <row x14ac:dyDescent="0.25" r="88" customHeight="1" ht="18.75">
      <c r="A88" s="8"/>
      <c r="B88" s="9"/>
      <c r="C88" s="9"/>
      <c r="D88" s="9"/>
      <c r="E88" s="9"/>
      <c r="F88" s="8"/>
      <c r="G88" s="8"/>
      <c r="H88" s="10"/>
      <c r="I88" s="10"/>
      <c r="J88" s="10"/>
      <c r="K88" s="9"/>
      <c r="L88" s="9"/>
      <c r="M88" s="9"/>
    </row>
    <row x14ac:dyDescent="0.25" r="89" customHeight="1" ht="18.75">
      <c r="A89" s="8"/>
      <c r="B89" s="9"/>
      <c r="C89" s="9"/>
      <c r="D89" s="9"/>
      <c r="E89" s="9"/>
      <c r="F89" s="8"/>
      <c r="G89" s="8"/>
      <c r="H89" s="10"/>
      <c r="I89" s="10"/>
      <c r="J89" s="10"/>
      <c r="K89" s="9"/>
      <c r="L89" s="9"/>
      <c r="M89" s="9"/>
    </row>
    <row x14ac:dyDescent="0.25" r="90" customHeight="1" ht="18.75">
      <c r="A90" s="8"/>
      <c r="B90" s="9"/>
      <c r="C90" s="9"/>
      <c r="D90" s="9"/>
      <c r="E90" s="9"/>
      <c r="F90" s="8"/>
      <c r="G90" s="8"/>
      <c r="H90" s="10"/>
      <c r="I90" s="10"/>
      <c r="J90" s="10"/>
      <c r="K90" s="9"/>
      <c r="L90" s="9"/>
      <c r="M90" s="9"/>
    </row>
    <row x14ac:dyDescent="0.25" r="91" customHeight="1" ht="18.75">
      <c r="A91" s="8"/>
      <c r="B91" s="9"/>
      <c r="C91" s="9"/>
      <c r="D91" s="9"/>
      <c r="E91" s="9"/>
      <c r="F91" s="8"/>
      <c r="G91" s="8"/>
      <c r="H91" s="10"/>
      <c r="I91" s="10"/>
      <c r="J91" s="10"/>
      <c r="K91" s="9"/>
      <c r="L91" s="9"/>
      <c r="M91" s="9"/>
    </row>
    <row x14ac:dyDescent="0.25" r="92" customHeight="1" ht="18.75">
      <c r="A92" s="8"/>
      <c r="B92" s="9"/>
      <c r="C92" s="9"/>
      <c r="D92" s="9"/>
      <c r="E92" s="9"/>
      <c r="F92" s="8"/>
      <c r="G92" s="8"/>
      <c r="H92" s="10"/>
      <c r="I92" s="10"/>
      <c r="J92" s="10"/>
      <c r="K92" s="9"/>
      <c r="L92" s="9"/>
      <c r="M92" s="9"/>
    </row>
    <row x14ac:dyDescent="0.25" r="93" customHeight="1" ht="18.75">
      <c r="A93" s="8"/>
      <c r="B93" s="9"/>
      <c r="C93" s="9"/>
      <c r="D93" s="9"/>
      <c r="E93" s="9"/>
      <c r="F93" s="8"/>
      <c r="G93" s="8"/>
      <c r="H93" s="10"/>
      <c r="I93" s="10"/>
      <c r="J93" s="10"/>
      <c r="K93" s="9"/>
      <c r="L93" s="9"/>
      <c r="M93" s="9"/>
    </row>
    <row x14ac:dyDescent="0.25" r="94" customHeight="1" ht="18.75">
      <c r="A94" s="8"/>
      <c r="B94" s="9"/>
      <c r="C94" s="9"/>
      <c r="D94" s="9"/>
      <c r="E94" s="9"/>
      <c r="F94" s="8"/>
      <c r="G94" s="8"/>
      <c r="H94" s="10"/>
      <c r="I94" s="10"/>
      <c r="J94" s="10"/>
      <c r="K94" s="9"/>
      <c r="L94" s="9"/>
      <c r="M94" s="9"/>
    </row>
    <row x14ac:dyDescent="0.25" r="95" customHeight="1" ht="18.75">
      <c r="A95" s="8"/>
      <c r="B95" s="9"/>
      <c r="C95" s="9"/>
      <c r="D95" s="9"/>
      <c r="E95" s="9"/>
      <c r="F95" s="8"/>
      <c r="G95" s="8"/>
      <c r="H95" s="10"/>
      <c r="I95" s="10"/>
      <c r="J95" s="10"/>
      <c r="K95" s="9"/>
      <c r="L95" s="9"/>
      <c r="M95" s="9"/>
    </row>
    <row x14ac:dyDescent="0.25" r="96" customHeight="1" ht="18.75">
      <c r="A96" s="8"/>
      <c r="B96" s="9"/>
      <c r="C96" s="9"/>
      <c r="D96" s="9"/>
      <c r="E96" s="9"/>
      <c r="F96" s="8"/>
      <c r="G96" s="8"/>
      <c r="H96" s="10"/>
      <c r="I96" s="10"/>
      <c r="J96" s="10"/>
      <c r="K96" s="9"/>
      <c r="L96" s="9"/>
      <c r="M96" s="9"/>
    </row>
    <row x14ac:dyDescent="0.25" r="97" customHeight="1" ht="18.75">
      <c r="A97" s="8"/>
      <c r="B97" s="9"/>
      <c r="C97" s="9"/>
      <c r="D97" s="9"/>
      <c r="E97" s="9"/>
      <c r="F97" s="8"/>
      <c r="G97" s="8"/>
      <c r="H97" s="10"/>
      <c r="I97" s="10"/>
      <c r="J97" s="10"/>
      <c r="K97" s="9"/>
      <c r="L97" s="9"/>
      <c r="M97" s="9"/>
    </row>
    <row x14ac:dyDescent="0.25" r="98" customHeight="1" ht="18.75">
      <c r="A98" s="8"/>
      <c r="B98" s="9"/>
      <c r="C98" s="9"/>
      <c r="D98" s="9"/>
      <c r="E98" s="9"/>
      <c r="F98" s="8"/>
      <c r="G98" s="8"/>
      <c r="H98" s="10"/>
      <c r="I98" s="10"/>
      <c r="J98" s="10"/>
      <c r="K98" s="9"/>
      <c r="L98" s="9"/>
      <c r="M98" s="9"/>
    </row>
    <row x14ac:dyDescent="0.25" r="99" customHeight="1" ht="18.75">
      <c r="A99" s="8"/>
      <c r="B99" s="9"/>
      <c r="C99" s="9"/>
      <c r="D99" s="9"/>
      <c r="E99" s="9"/>
      <c r="F99" s="8"/>
      <c r="G99" s="8"/>
      <c r="H99" s="10"/>
      <c r="I99" s="10"/>
      <c r="J99" s="10"/>
      <c r="K99" s="9"/>
      <c r="L99" s="9"/>
      <c r="M99" s="9"/>
    </row>
    <row x14ac:dyDescent="0.25" r="100" customHeight="1" ht="18.75">
      <c r="A100" s="8"/>
      <c r="B100" s="9"/>
      <c r="C100" s="9"/>
      <c r="D100" s="9"/>
      <c r="E100" s="9"/>
      <c r="F100" s="8"/>
      <c r="G100" s="8"/>
      <c r="H100" s="10"/>
      <c r="I100" s="10"/>
      <c r="J100" s="10"/>
      <c r="K100" s="9"/>
      <c r="L100" s="9"/>
      <c r="M100" s="9"/>
    </row>
    <row x14ac:dyDescent="0.25" r="101" customHeight="1" ht="18.75">
      <c r="A101" s="8"/>
      <c r="B101" s="9"/>
      <c r="C101" s="9"/>
      <c r="D101" s="9"/>
      <c r="E101" s="9"/>
      <c r="F101" s="8"/>
      <c r="G101" s="8"/>
      <c r="H101" s="10"/>
      <c r="I101" s="10"/>
      <c r="J101" s="10"/>
      <c r="K101" s="9"/>
      <c r="L101" s="9"/>
      <c r="M101" s="9"/>
    </row>
    <row x14ac:dyDescent="0.25" r="102" customHeight="1" ht="18.75">
      <c r="A102" s="8"/>
      <c r="B102" s="9"/>
      <c r="C102" s="9"/>
      <c r="D102" s="9"/>
      <c r="E102" s="9"/>
      <c r="F102" s="8"/>
      <c r="G102" s="8"/>
      <c r="H102" s="10"/>
      <c r="I102" s="10"/>
      <c r="J102" s="10"/>
      <c r="K102" s="9"/>
      <c r="L102" s="9"/>
      <c r="M102" s="9"/>
    </row>
    <row x14ac:dyDescent="0.25" r="103" customHeight="1" ht="18.75">
      <c r="A103" s="8"/>
      <c r="B103" s="9"/>
      <c r="C103" s="9"/>
      <c r="D103" s="9"/>
      <c r="E103" s="9"/>
      <c r="F103" s="8"/>
      <c r="G103" s="8"/>
      <c r="H103" s="10"/>
      <c r="I103" s="10"/>
      <c r="J103" s="10"/>
      <c r="K103" s="9"/>
      <c r="L103" s="9"/>
      <c r="M103" s="9"/>
    </row>
    <row x14ac:dyDescent="0.25" r="104" customHeight="1" ht="18.75">
      <c r="A104" s="8"/>
      <c r="B104" s="9"/>
      <c r="C104" s="9"/>
      <c r="D104" s="9"/>
      <c r="E104" s="9"/>
      <c r="F104" s="8"/>
      <c r="G104" s="8"/>
      <c r="H104" s="10"/>
      <c r="I104" s="10"/>
      <c r="J104" s="10"/>
      <c r="K104" s="9"/>
      <c r="L104" s="9"/>
      <c r="M104" s="9"/>
    </row>
    <row x14ac:dyDescent="0.25" r="105" customHeight="1" ht="18.75">
      <c r="A105" s="8"/>
      <c r="B105" s="9"/>
      <c r="C105" s="9"/>
      <c r="D105" s="9"/>
      <c r="E105" s="9"/>
      <c r="F105" s="8"/>
      <c r="G105" s="8"/>
      <c r="H105" s="10"/>
      <c r="I105" s="10"/>
      <c r="J105" s="10"/>
      <c r="K105" s="9"/>
      <c r="L105" s="9"/>
      <c r="M105" s="9"/>
    </row>
    <row x14ac:dyDescent="0.25" r="106" customHeight="1" ht="18.75">
      <c r="A106" s="8"/>
      <c r="B106" s="9"/>
      <c r="C106" s="9"/>
      <c r="D106" s="9"/>
      <c r="E106" s="9"/>
      <c r="F106" s="8"/>
      <c r="G106" s="8"/>
      <c r="H106" s="10"/>
      <c r="I106" s="10"/>
      <c r="J106" s="10"/>
      <c r="K106" s="9"/>
      <c r="L106" s="9"/>
      <c r="M106" s="9"/>
    </row>
    <row x14ac:dyDescent="0.25" r="107" customHeight="1" ht="18.75">
      <c r="A107" s="8"/>
      <c r="B107" s="9"/>
      <c r="C107" s="9"/>
      <c r="D107" s="9"/>
      <c r="E107" s="9"/>
      <c r="F107" s="8"/>
      <c r="G107" s="8"/>
      <c r="H107" s="10"/>
      <c r="I107" s="10"/>
      <c r="J107" s="10"/>
      <c r="K107" s="9"/>
      <c r="L107" s="9"/>
      <c r="M107" s="9"/>
    </row>
    <row x14ac:dyDescent="0.25" r="108" customHeight="1" ht="18.75">
      <c r="A108" s="8"/>
      <c r="B108" s="9"/>
      <c r="C108" s="9"/>
      <c r="D108" s="9"/>
      <c r="E108" s="9"/>
      <c r="F108" s="8"/>
      <c r="G108" s="8"/>
      <c r="H108" s="10"/>
      <c r="I108" s="10"/>
      <c r="J108" s="10"/>
      <c r="K108" s="9"/>
      <c r="L108" s="9"/>
      <c r="M108" s="9"/>
    </row>
    <row x14ac:dyDescent="0.25" r="109" customHeight="1" ht="18.75">
      <c r="A109" s="8"/>
      <c r="B109" s="9"/>
      <c r="C109" s="9"/>
      <c r="D109" s="9"/>
      <c r="E109" s="9"/>
      <c r="F109" s="8"/>
      <c r="G109" s="8"/>
      <c r="H109" s="10"/>
      <c r="I109" s="10"/>
      <c r="J109" s="10"/>
      <c r="K109" s="9"/>
      <c r="L109" s="9"/>
      <c r="M109" s="9"/>
    </row>
    <row x14ac:dyDescent="0.25" r="110" customHeight="1" ht="18.75">
      <c r="A110" s="8"/>
      <c r="B110" s="9"/>
      <c r="C110" s="9"/>
      <c r="D110" s="9"/>
      <c r="E110" s="9"/>
      <c r="F110" s="8"/>
      <c r="G110" s="8"/>
      <c r="H110" s="10"/>
      <c r="I110" s="10"/>
      <c r="J110" s="10"/>
      <c r="K110" s="9"/>
      <c r="L110" s="9"/>
      <c r="M110" s="9"/>
    </row>
    <row x14ac:dyDescent="0.25" r="111" customHeight="1" ht="18.75">
      <c r="A111" s="8"/>
      <c r="B111" s="9"/>
      <c r="C111" s="9"/>
      <c r="D111" s="9"/>
      <c r="E111" s="9"/>
      <c r="F111" s="8"/>
      <c r="G111" s="8"/>
      <c r="H111" s="10"/>
      <c r="I111" s="10"/>
      <c r="J111" s="10"/>
      <c r="K111" s="9"/>
      <c r="L111" s="9"/>
      <c r="M111" s="9"/>
    </row>
    <row x14ac:dyDescent="0.25" r="112" customHeight="1" ht="18.75">
      <c r="A112" s="8"/>
      <c r="B112" s="9"/>
      <c r="C112" s="9"/>
      <c r="D112" s="9"/>
      <c r="E112" s="9"/>
      <c r="F112" s="8"/>
      <c r="G112" s="8"/>
      <c r="H112" s="10"/>
      <c r="I112" s="10"/>
      <c r="J112" s="10"/>
      <c r="K112" s="9"/>
      <c r="L112" s="9"/>
      <c r="M112" s="9"/>
    </row>
    <row x14ac:dyDescent="0.25" r="113" customHeight="1" ht="18.75">
      <c r="A113" s="8"/>
      <c r="B113" s="9"/>
      <c r="C113" s="9"/>
      <c r="D113" s="9"/>
      <c r="E113" s="9"/>
      <c r="F113" s="8"/>
      <c r="G113" s="8"/>
      <c r="H113" s="10"/>
      <c r="I113" s="10"/>
      <c r="J113" s="10"/>
      <c r="K113" s="9"/>
      <c r="L113" s="9"/>
      <c r="M113" s="9"/>
    </row>
    <row x14ac:dyDescent="0.25" r="114" customHeight="1" ht="18.75">
      <c r="A114" s="8"/>
      <c r="B114" s="9"/>
      <c r="C114" s="9"/>
      <c r="D114" s="9"/>
      <c r="E114" s="9"/>
      <c r="F114" s="8"/>
      <c r="G114" s="8"/>
      <c r="H114" s="10"/>
      <c r="I114" s="10"/>
      <c r="J114" s="10"/>
      <c r="K114" s="9"/>
      <c r="L114" s="9"/>
      <c r="M114" s="9"/>
    </row>
    <row x14ac:dyDescent="0.25" r="115" customHeight="1" ht="18.75">
      <c r="A115" s="8"/>
      <c r="B115" s="9"/>
      <c r="C115" s="9"/>
      <c r="D115" s="9"/>
      <c r="E115" s="9"/>
      <c r="F115" s="8"/>
      <c r="G115" s="8"/>
      <c r="H115" s="10"/>
      <c r="I115" s="10"/>
      <c r="J115" s="10"/>
      <c r="K115" s="9"/>
      <c r="L115" s="9"/>
      <c r="M115" s="9"/>
    </row>
    <row x14ac:dyDescent="0.25" r="116" customHeight="1" ht="18.75">
      <c r="A116" s="8"/>
      <c r="B116" s="9"/>
      <c r="C116" s="9"/>
      <c r="D116" s="9"/>
      <c r="E116" s="9"/>
      <c r="F116" s="8"/>
      <c r="G116" s="8"/>
      <c r="H116" s="10"/>
      <c r="I116" s="10"/>
      <c r="J116" s="10"/>
      <c r="K116" s="9"/>
      <c r="L116" s="9"/>
      <c r="M116" s="9"/>
    </row>
    <row x14ac:dyDescent="0.25" r="117" customHeight="1" ht="18.75">
      <c r="A117" s="8"/>
      <c r="B117" s="9"/>
      <c r="C117" s="9"/>
      <c r="D117" s="9"/>
      <c r="E117" s="9"/>
      <c r="F117" s="8"/>
      <c r="G117" s="8"/>
      <c r="H117" s="10"/>
      <c r="I117" s="10"/>
      <c r="J117" s="10"/>
      <c r="K117" s="9"/>
      <c r="L117" s="9"/>
      <c r="M117" s="9"/>
    </row>
    <row x14ac:dyDescent="0.25" r="118" customHeight="1" ht="18.75">
      <c r="A118" s="8"/>
      <c r="B118" s="9"/>
      <c r="C118" s="9"/>
      <c r="D118" s="9"/>
      <c r="E118" s="9"/>
      <c r="F118" s="8"/>
      <c r="G118" s="8"/>
      <c r="H118" s="10"/>
      <c r="I118" s="10"/>
      <c r="J118" s="10"/>
      <c r="K118" s="9"/>
      <c r="L118" s="9"/>
      <c r="M118" s="9"/>
    </row>
    <row x14ac:dyDescent="0.25" r="119" customHeight="1" ht="18.75">
      <c r="A119" s="8"/>
      <c r="B119" s="9"/>
      <c r="C119" s="9"/>
      <c r="D119" s="9"/>
      <c r="E119" s="9"/>
      <c r="F119" s="8"/>
      <c r="G119" s="8"/>
      <c r="H119" s="10"/>
      <c r="I119" s="10"/>
      <c r="J119" s="10"/>
      <c r="K119" s="9"/>
      <c r="L119" s="9"/>
      <c r="M119" s="9"/>
    </row>
    <row x14ac:dyDescent="0.25" r="120" customHeight="1" ht="18.75">
      <c r="A120" s="8"/>
      <c r="B120" s="9"/>
      <c r="C120" s="9"/>
      <c r="D120" s="9"/>
      <c r="E120" s="9"/>
      <c r="F120" s="8"/>
      <c r="G120" s="8"/>
      <c r="H120" s="10"/>
      <c r="I120" s="10"/>
      <c r="J120" s="10"/>
      <c r="K120" s="9"/>
      <c r="L120" s="9"/>
      <c r="M120" s="9"/>
    </row>
    <row x14ac:dyDescent="0.25" r="121" customHeight="1" ht="18.75">
      <c r="A121" s="8"/>
      <c r="B121" s="9"/>
      <c r="C121" s="9"/>
      <c r="D121" s="9"/>
      <c r="E121" s="9"/>
      <c r="F121" s="8"/>
      <c r="G121" s="8"/>
      <c r="H121" s="10"/>
      <c r="I121" s="10"/>
      <c r="J121" s="10"/>
      <c r="K121" s="9"/>
      <c r="L121" s="9"/>
      <c r="M121" s="9"/>
    </row>
    <row x14ac:dyDescent="0.25" r="122" customHeight="1" ht="18.75">
      <c r="A122" s="8"/>
      <c r="B122" s="9"/>
      <c r="C122" s="9"/>
      <c r="D122" s="9"/>
      <c r="E122" s="9"/>
      <c r="F122" s="8"/>
      <c r="G122" s="8"/>
      <c r="H122" s="10"/>
      <c r="I122" s="10"/>
      <c r="J122" s="10"/>
      <c r="K122" s="9"/>
      <c r="L122" s="9"/>
      <c r="M122" s="9"/>
    </row>
    <row x14ac:dyDescent="0.25" r="123" customHeight="1" ht="18.75">
      <c r="A123" s="8"/>
      <c r="B123" s="9"/>
      <c r="C123" s="9"/>
      <c r="D123" s="9"/>
      <c r="E123" s="9"/>
      <c r="F123" s="8"/>
      <c r="G123" s="8"/>
      <c r="H123" s="10"/>
      <c r="I123" s="10"/>
      <c r="J123" s="10"/>
      <c r="K123" s="9"/>
      <c r="L123" s="9"/>
      <c r="M123" s="9"/>
    </row>
    <row x14ac:dyDescent="0.25" r="124" customHeight="1" ht="18.75">
      <c r="A124" s="8"/>
      <c r="B124" s="9"/>
      <c r="C124" s="9"/>
      <c r="D124" s="9"/>
      <c r="E124" s="9"/>
      <c r="F124" s="8"/>
      <c r="G124" s="8"/>
      <c r="H124" s="10"/>
      <c r="I124" s="10"/>
      <c r="J124" s="10"/>
      <c r="K124" s="9"/>
      <c r="L124" s="9"/>
      <c r="M124" s="9"/>
    </row>
    <row x14ac:dyDescent="0.25" r="125" customHeight="1" ht="18.75">
      <c r="A125" s="8"/>
      <c r="B125" s="9"/>
      <c r="C125" s="9"/>
      <c r="D125" s="9"/>
      <c r="E125" s="9"/>
      <c r="F125" s="8"/>
      <c r="G125" s="8"/>
      <c r="H125" s="10"/>
      <c r="I125" s="10"/>
      <c r="J125" s="10"/>
      <c r="K125" s="9"/>
      <c r="L125" s="9"/>
      <c r="M125" s="9"/>
    </row>
    <row x14ac:dyDescent="0.25" r="126" customHeight="1" ht="18.75">
      <c r="A126" s="8"/>
      <c r="B126" s="9"/>
      <c r="C126" s="9"/>
      <c r="D126" s="9"/>
      <c r="E126" s="9"/>
      <c r="F126" s="8"/>
      <c r="G126" s="8"/>
      <c r="H126" s="10"/>
      <c r="I126" s="10"/>
      <c r="J126" s="10"/>
      <c r="K126" s="9"/>
      <c r="L126" s="9"/>
      <c r="M126" s="9"/>
    </row>
    <row x14ac:dyDescent="0.25" r="127" customHeight="1" ht="18.75">
      <c r="A127" s="8"/>
      <c r="B127" s="9"/>
      <c r="C127" s="9"/>
      <c r="D127" s="9"/>
      <c r="E127" s="9"/>
      <c r="F127" s="8"/>
      <c r="G127" s="8"/>
      <c r="H127" s="10"/>
      <c r="I127" s="10"/>
      <c r="J127" s="10"/>
      <c r="K127" s="9"/>
      <c r="L127" s="9"/>
      <c r="M127" s="9"/>
    </row>
    <row x14ac:dyDescent="0.25" r="128" customHeight="1" ht="18.75">
      <c r="A128" s="8"/>
      <c r="B128" s="9"/>
      <c r="C128" s="9"/>
      <c r="D128" s="9"/>
      <c r="E128" s="9"/>
      <c r="F128" s="8"/>
      <c r="G128" s="8"/>
      <c r="H128" s="10"/>
      <c r="I128" s="10"/>
      <c r="J128" s="10"/>
      <c r="K128" s="9"/>
      <c r="L128" s="9"/>
      <c r="M128" s="9"/>
    </row>
    <row x14ac:dyDescent="0.25" r="129" customHeight="1" ht="18.75">
      <c r="A129" s="8"/>
      <c r="B129" s="9"/>
      <c r="C129" s="9"/>
      <c r="D129" s="9"/>
      <c r="E129" s="9"/>
      <c r="F129" s="8"/>
      <c r="G129" s="8"/>
      <c r="H129" s="10"/>
      <c r="I129" s="10"/>
      <c r="J129" s="10"/>
      <c r="K129" s="9"/>
      <c r="L129" s="9"/>
      <c r="M129" s="9"/>
    </row>
    <row x14ac:dyDescent="0.25" r="130" customHeight="1" ht="18.75">
      <c r="A130" s="8"/>
      <c r="B130" s="9"/>
      <c r="C130" s="9"/>
      <c r="D130" s="9"/>
      <c r="E130" s="9"/>
      <c r="F130" s="8"/>
      <c r="G130" s="8"/>
      <c r="H130" s="10"/>
      <c r="I130" s="10"/>
      <c r="J130" s="10"/>
      <c r="K130" s="9"/>
      <c r="L130" s="9"/>
      <c r="M130" s="9"/>
    </row>
    <row x14ac:dyDescent="0.25" r="131" customHeight="1" ht="18.75">
      <c r="A131" s="8"/>
      <c r="B131" s="9"/>
      <c r="C131" s="9"/>
      <c r="D131" s="9"/>
      <c r="E131" s="9"/>
      <c r="F131" s="8"/>
      <c r="G131" s="8"/>
      <c r="H131" s="10"/>
      <c r="I131" s="10"/>
      <c r="J131" s="10"/>
      <c r="K131" s="9"/>
      <c r="L131" s="9"/>
      <c r="M131" s="9"/>
    </row>
    <row x14ac:dyDescent="0.25" r="132" customHeight="1" ht="18.75">
      <c r="A132" s="8"/>
      <c r="B132" s="9"/>
      <c r="C132" s="9"/>
      <c r="D132" s="9"/>
      <c r="E132" s="9"/>
      <c r="F132" s="8"/>
      <c r="G132" s="8"/>
      <c r="H132" s="10"/>
      <c r="I132" s="10"/>
      <c r="J132" s="10"/>
      <c r="K132" s="9"/>
      <c r="L132" s="9"/>
      <c r="M132" s="9"/>
    </row>
    <row x14ac:dyDescent="0.25" r="133" customHeight="1" ht="18.75">
      <c r="A133" s="8"/>
      <c r="B133" s="9"/>
      <c r="C133" s="9"/>
      <c r="D133" s="9"/>
      <c r="E133" s="9"/>
      <c r="F133" s="8"/>
      <c r="G133" s="8"/>
      <c r="H133" s="10"/>
      <c r="I133" s="10"/>
      <c r="J133" s="10"/>
      <c r="K133" s="9"/>
      <c r="L133" s="9"/>
      <c r="M133" s="9"/>
    </row>
    <row x14ac:dyDescent="0.25" r="134" customHeight="1" ht="18.75">
      <c r="A134" s="8"/>
      <c r="B134" s="9"/>
      <c r="C134" s="9"/>
      <c r="D134" s="9"/>
      <c r="E134" s="9"/>
      <c r="F134" s="8"/>
      <c r="G134" s="8"/>
      <c r="H134" s="10"/>
      <c r="I134" s="10"/>
      <c r="J134" s="10"/>
      <c r="K134" s="9"/>
      <c r="L134" s="9"/>
      <c r="M134" s="9"/>
    </row>
    <row x14ac:dyDescent="0.25" r="135" customHeight="1" ht="18.75">
      <c r="A135" s="8"/>
      <c r="B135" s="9"/>
      <c r="C135" s="9"/>
      <c r="D135" s="9"/>
      <c r="E135" s="9"/>
      <c r="F135" s="8"/>
      <c r="G135" s="8"/>
      <c r="H135" s="10"/>
      <c r="I135" s="10"/>
      <c r="J135" s="10"/>
      <c r="K135" s="9"/>
      <c r="L135" s="9"/>
      <c r="M135" s="9"/>
    </row>
    <row x14ac:dyDescent="0.25" r="136" customHeight="1" ht="18.75">
      <c r="A136" s="8"/>
      <c r="B136" s="9"/>
      <c r="C136" s="9"/>
      <c r="D136" s="9"/>
      <c r="E136" s="9"/>
      <c r="F136" s="8"/>
      <c r="G136" s="8"/>
      <c r="H136" s="10"/>
      <c r="I136" s="10"/>
      <c r="J136" s="10"/>
      <c r="K136" s="9"/>
      <c r="L136" s="9"/>
      <c r="M136" s="9"/>
    </row>
    <row x14ac:dyDescent="0.25" r="137" customHeight="1" ht="18.75">
      <c r="A137" s="8"/>
      <c r="B137" s="9"/>
      <c r="C137" s="9"/>
      <c r="D137" s="9"/>
      <c r="E137" s="9"/>
      <c r="F137" s="8"/>
      <c r="G137" s="8"/>
      <c r="H137" s="10"/>
      <c r="I137" s="10"/>
      <c r="J137" s="10"/>
      <c r="K137" s="9"/>
      <c r="L137" s="9"/>
      <c r="M137" s="9"/>
    </row>
    <row x14ac:dyDescent="0.25" r="138" customHeight="1" ht="18.75">
      <c r="A138" s="8"/>
      <c r="B138" s="9"/>
      <c r="C138" s="9"/>
      <c r="D138" s="9"/>
      <c r="E138" s="9"/>
      <c r="F138" s="8"/>
      <c r="G138" s="8"/>
      <c r="H138" s="10"/>
      <c r="I138" s="10"/>
      <c r="J138" s="10"/>
      <c r="K138" s="9"/>
      <c r="L138" s="9"/>
      <c r="M138" s="9"/>
    </row>
    <row x14ac:dyDescent="0.25" r="139" customHeight="1" ht="18.75">
      <c r="A139" s="8"/>
      <c r="B139" s="9"/>
      <c r="C139" s="9"/>
      <c r="D139" s="9"/>
      <c r="E139" s="9"/>
      <c r="F139" s="8"/>
      <c r="G139" s="8"/>
      <c r="H139" s="10"/>
      <c r="I139" s="10"/>
      <c r="J139" s="10"/>
      <c r="K139" s="9"/>
      <c r="L139" s="9"/>
      <c r="M139" s="9"/>
    </row>
    <row x14ac:dyDescent="0.25" r="140" customHeight="1" ht="18.75">
      <c r="A140" s="8"/>
      <c r="B140" s="9"/>
      <c r="C140" s="9"/>
      <c r="D140" s="9"/>
      <c r="E140" s="9"/>
      <c r="F140" s="8"/>
      <c r="G140" s="8"/>
      <c r="H140" s="10"/>
      <c r="I140" s="10"/>
      <c r="J140" s="10"/>
      <c r="K140" s="9"/>
      <c r="L140" s="9"/>
      <c r="M140" s="9"/>
    </row>
    <row x14ac:dyDescent="0.25" r="141" customHeight="1" ht="18.75">
      <c r="A141" s="8"/>
      <c r="B141" s="9"/>
      <c r="C141" s="9"/>
      <c r="D141" s="9"/>
      <c r="E141" s="9"/>
      <c r="F141" s="8"/>
      <c r="G141" s="8"/>
      <c r="H141" s="10"/>
      <c r="I141" s="10"/>
      <c r="J141" s="10"/>
      <c r="K141" s="9"/>
      <c r="L141" s="9"/>
      <c r="M141" s="9"/>
    </row>
    <row x14ac:dyDescent="0.25" r="142" customHeight="1" ht="18.75">
      <c r="A142" s="8"/>
      <c r="B142" s="9"/>
      <c r="C142" s="9"/>
      <c r="D142" s="9"/>
      <c r="E142" s="9"/>
      <c r="F142" s="8"/>
      <c r="G142" s="8"/>
      <c r="H142" s="10"/>
      <c r="I142" s="10"/>
      <c r="J142" s="10"/>
      <c r="K142" s="9"/>
      <c r="L142" s="9"/>
      <c r="M142" s="9"/>
    </row>
    <row x14ac:dyDescent="0.25" r="143" customHeight="1" ht="18.75">
      <c r="A143" s="8"/>
      <c r="B143" s="9"/>
      <c r="C143" s="9"/>
      <c r="D143" s="9"/>
      <c r="E143" s="9"/>
      <c r="F143" s="8"/>
      <c r="G143" s="8"/>
      <c r="H143" s="10"/>
      <c r="I143" s="10"/>
      <c r="J143" s="10"/>
      <c r="K143" s="9"/>
      <c r="L143" s="9"/>
      <c r="M143" s="9"/>
    </row>
    <row x14ac:dyDescent="0.25" r="144" customHeight="1" ht="18.75">
      <c r="A144" s="8"/>
      <c r="B144" s="9"/>
      <c r="C144" s="9"/>
      <c r="D144" s="9"/>
      <c r="E144" s="9"/>
      <c r="F144" s="8"/>
      <c r="G144" s="8"/>
      <c r="H144" s="10"/>
      <c r="I144" s="10"/>
      <c r="J144" s="10"/>
      <c r="K144" s="9"/>
      <c r="L144" s="9"/>
      <c r="M144" s="9"/>
    </row>
    <row x14ac:dyDescent="0.25" r="145" customHeight="1" ht="18.75">
      <c r="A145" s="8"/>
      <c r="B145" s="9"/>
      <c r="C145" s="9"/>
      <c r="D145" s="9"/>
      <c r="E145" s="9"/>
      <c r="F145" s="8"/>
      <c r="G145" s="8"/>
      <c r="H145" s="10"/>
      <c r="I145" s="10"/>
      <c r="J145" s="10"/>
      <c r="K145" s="9"/>
      <c r="L145" s="9"/>
      <c r="M145" s="9"/>
    </row>
    <row x14ac:dyDescent="0.25" r="146" customHeight="1" ht="18.75">
      <c r="A146" s="8"/>
      <c r="B146" s="9"/>
      <c r="C146" s="9"/>
      <c r="D146" s="9"/>
      <c r="E146" s="9"/>
      <c r="F146" s="8"/>
      <c r="G146" s="8"/>
      <c r="H146" s="10"/>
      <c r="I146" s="10"/>
      <c r="J146" s="10"/>
      <c r="K146" s="9"/>
      <c r="L146" s="9"/>
      <c r="M146" s="9"/>
    </row>
    <row x14ac:dyDescent="0.25" r="147" customHeight="1" ht="18.75">
      <c r="A147" s="8"/>
      <c r="B147" s="9"/>
      <c r="C147" s="9"/>
      <c r="D147" s="9"/>
      <c r="E147" s="9"/>
      <c r="F147" s="8"/>
      <c r="G147" s="8"/>
      <c r="H147" s="10"/>
      <c r="I147" s="10"/>
      <c r="J147" s="10"/>
      <c r="K147" s="9"/>
      <c r="L147" s="9"/>
      <c r="M147" s="9"/>
    </row>
    <row x14ac:dyDescent="0.25" r="148" customHeight="1" ht="18.75">
      <c r="A148" s="8"/>
      <c r="B148" s="9"/>
      <c r="C148" s="9"/>
      <c r="D148" s="9"/>
      <c r="E148" s="9"/>
      <c r="F148" s="8"/>
      <c r="G148" s="8"/>
      <c r="H148" s="10"/>
      <c r="I148" s="10"/>
      <c r="J148" s="10"/>
      <c r="K148" s="9"/>
      <c r="L148" s="9"/>
      <c r="M148" s="9"/>
    </row>
    <row x14ac:dyDescent="0.25" r="149" customHeight="1" ht="18.75">
      <c r="A149" s="8"/>
      <c r="B149" s="9"/>
      <c r="C149" s="9"/>
      <c r="D149" s="9"/>
      <c r="E149" s="9"/>
      <c r="F149" s="8"/>
      <c r="G149" s="8"/>
      <c r="H149" s="10"/>
      <c r="I149" s="10"/>
      <c r="J149" s="10"/>
      <c r="K149" s="9"/>
      <c r="L149" s="9"/>
      <c r="M149" s="9"/>
    </row>
    <row x14ac:dyDescent="0.25" r="150" customHeight="1" ht="18.75">
      <c r="A150" s="8"/>
      <c r="B150" s="9"/>
      <c r="C150" s="9"/>
      <c r="D150" s="9"/>
      <c r="E150" s="9"/>
      <c r="F150" s="8"/>
      <c r="G150" s="8"/>
      <c r="H150" s="10"/>
      <c r="I150" s="10"/>
      <c r="J150" s="10"/>
      <c r="K150" s="9"/>
      <c r="L150" s="9"/>
      <c r="M150" s="9"/>
    </row>
    <row x14ac:dyDescent="0.25" r="151" customHeight="1" ht="18.75">
      <c r="A151" s="8"/>
      <c r="B151" s="9"/>
      <c r="C151" s="9"/>
      <c r="D151" s="9"/>
      <c r="E151" s="9"/>
      <c r="F151" s="8"/>
      <c r="G151" s="8"/>
      <c r="H151" s="10"/>
      <c r="I151" s="10"/>
      <c r="J151" s="10"/>
      <c r="K151" s="9"/>
      <c r="L151" s="9"/>
      <c r="M151" s="9"/>
    </row>
    <row x14ac:dyDescent="0.25" r="152" customHeight="1" ht="18.75">
      <c r="A152" s="8"/>
      <c r="B152" s="9"/>
      <c r="C152" s="9"/>
      <c r="D152" s="9"/>
      <c r="E152" s="9"/>
      <c r="F152" s="8"/>
      <c r="G152" s="8"/>
      <c r="H152" s="10"/>
      <c r="I152" s="10"/>
      <c r="J152" s="10"/>
      <c r="K152" s="9"/>
      <c r="L152" s="9"/>
      <c r="M152" s="9"/>
    </row>
    <row x14ac:dyDescent="0.25" r="153" customHeight="1" ht="18.75">
      <c r="A153" s="8"/>
      <c r="B153" s="9"/>
      <c r="C153" s="9"/>
      <c r="D153" s="9"/>
      <c r="E153" s="9"/>
      <c r="F153" s="8"/>
      <c r="G153" s="8"/>
      <c r="H153" s="10"/>
      <c r="I153" s="10"/>
      <c r="J153" s="10"/>
      <c r="K153" s="9"/>
      <c r="L153" s="9"/>
      <c r="M153" s="9"/>
    </row>
    <row x14ac:dyDescent="0.25" r="154" customHeight="1" ht="18.75">
      <c r="A154" s="8"/>
      <c r="B154" s="9"/>
      <c r="C154" s="9"/>
      <c r="D154" s="9"/>
      <c r="E154" s="9"/>
      <c r="F154" s="8"/>
      <c r="G154" s="8"/>
      <c r="H154" s="10"/>
      <c r="I154" s="10"/>
      <c r="J154" s="10"/>
      <c r="K154" s="9"/>
      <c r="L154" s="9"/>
      <c r="M154" s="9"/>
    </row>
    <row x14ac:dyDescent="0.25" r="155" customHeight="1" ht="18.75">
      <c r="A155" s="8"/>
      <c r="B155" s="9"/>
      <c r="C155" s="9"/>
      <c r="D155" s="9"/>
      <c r="E155" s="9"/>
      <c r="F155" s="8"/>
      <c r="G155" s="8"/>
      <c r="H155" s="10"/>
      <c r="I155" s="10"/>
      <c r="J155" s="10"/>
      <c r="K155" s="9"/>
      <c r="L155" s="9"/>
      <c r="M155" s="9"/>
    </row>
    <row x14ac:dyDescent="0.25" r="156" customHeight="1" ht="18.75">
      <c r="A156" s="8"/>
      <c r="B156" s="9"/>
      <c r="C156" s="9"/>
      <c r="D156" s="9"/>
      <c r="E156" s="9"/>
      <c r="F156" s="8"/>
      <c r="G156" s="8"/>
      <c r="H156" s="10"/>
      <c r="I156" s="10"/>
      <c r="J156" s="10"/>
      <c r="K156" s="9"/>
      <c r="L156" s="9"/>
      <c r="M156" s="9"/>
    </row>
    <row x14ac:dyDescent="0.25" r="157" customHeight="1" ht="18.75">
      <c r="A157" s="8"/>
      <c r="B157" s="9"/>
      <c r="C157" s="9"/>
      <c r="D157" s="9"/>
      <c r="E157" s="9"/>
      <c r="F157" s="8"/>
      <c r="G157" s="8"/>
      <c r="H157" s="10"/>
      <c r="I157" s="10"/>
      <c r="J157" s="10"/>
      <c r="K157" s="9"/>
      <c r="L157" s="9"/>
      <c r="M157" s="9"/>
    </row>
    <row x14ac:dyDescent="0.25" r="158" customHeight="1" ht="18.75">
      <c r="A158" s="8"/>
      <c r="B158" s="9"/>
      <c r="C158" s="9"/>
      <c r="D158" s="9"/>
      <c r="E158" s="9"/>
      <c r="F158" s="8"/>
      <c r="G158" s="8"/>
      <c r="H158" s="10"/>
      <c r="I158" s="10"/>
      <c r="J158" s="10"/>
      <c r="K158" s="9"/>
      <c r="L158" s="9"/>
      <c r="M158" s="9"/>
    </row>
    <row x14ac:dyDescent="0.25" r="159" customHeight="1" ht="18.75">
      <c r="A159" s="8"/>
      <c r="B159" s="9"/>
      <c r="C159" s="9"/>
      <c r="D159" s="9"/>
      <c r="E159" s="9"/>
      <c r="F159" s="8"/>
      <c r="G159" s="8"/>
      <c r="H159" s="10"/>
      <c r="I159" s="10"/>
      <c r="J159" s="10"/>
      <c r="K159" s="9"/>
      <c r="L159" s="9"/>
      <c r="M159" s="9"/>
    </row>
    <row x14ac:dyDescent="0.25" r="160" customHeight="1" ht="18.75">
      <c r="A160" s="8"/>
      <c r="B160" s="9"/>
      <c r="C160" s="9"/>
      <c r="D160" s="9"/>
      <c r="E160" s="9"/>
      <c r="F160" s="8"/>
      <c r="G160" s="8"/>
      <c r="H160" s="10"/>
      <c r="I160" s="10"/>
      <c r="J160" s="10"/>
      <c r="K160" s="9"/>
      <c r="L160" s="9"/>
      <c r="M160" s="9"/>
    </row>
    <row x14ac:dyDescent="0.25" r="161" customHeight="1" ht="18.75">
      <c r="A161" s="8"/>
      <c r="B161" s="9"/>
      <c r="C161" s="9"/>
      <c r="D161" s="9"/>
      <c r="E161" s="9"/>
      <c r="F161" s="8"/>
      <c r="G161" s="8"/>
      <c r="H161" s="10"/>
      <c r="I161" s="10"/>
      <c r="J161" s="10"/>
      <c r="K161" s="9"/>
      <c r="L161" s="9"/>
      <c r="M161" s="9"/>
    </row>
    <row x14ac:dyDescent="0.25" r="162" customHeight="1" ht="18.75">
      <c r="A162" s="8"/>
      <c r="B162" s="9"/>
      <c r="C162" s="9"/>
      <c r="D162" s="9"/>
      <c r="E162" s="9"/>
      <c r="F162" s="8"/>
      <c r="G162" s="8"/>
      <c r="H162" s="10"/>
      <c r="I162" s="10"/>
      <c r="J162" s="10"/>
      <c r="K162" s="9"/>
      <c r="L162" s="9"/>
      <c r="M162" s="9"/>
    </row>
    <row x14ac:dyDescent="0.25" r="163" customHeight="1" ht="18.75">
      <c r="A163" s="8"/>
      <c r="B163" s="9"/>
      <c r="C163" s="9"/>
      <c r="D163" s="9"/>
      <c r="E163" s="9"/>
      <c r="F163" s="8"/>
      <c r="G163" s="8"/>
      <c r="H163" s="10"/>
      <c r="I163" s="10"/>
      <c r="J163" s="10"/>
      <c r="K163" s="9"/>
      <c r="L163" s="9"/>
      <c r="M163" s="9"/>
    </row>
    <row x14ac:dyDescent="0.25" r="164" customHeight="1" ht="18.75">
      <c r="A164" s="8"/>
      <c r="B164" s="9"/>
      <c r="C164" s="9"/>
      <c r="D164" s="9"/>
      <c r="E164" s="9"/>
      <c r="F164" s="8"/>
      <c r="G164" s="8"/>
      <c r="H164" s="10"/>
      <c r="I164" s="10"/>
      <c r="J164" s="10"/>
      <c r="K164" s="9"/>
      <c r="L164" s="9"/>
      <c r="M164" s="9"/>
    </row>
    <row x14ac:dyDescent="0.25" r="165" customHeight="1" ht="18.75">
      <c r="A165" s="8"/>
      <c r="B165" s="9"/>
      <c r="C165" s="9"/>
      <c r="D165" s="9"/>
      <c r="E165" s="9"/>
      <c r="F165" s="8"/>
      <c r="G165" s="8"/>
      <c r="H165" s="10"/>
      <c r="I165" s="10"/>
      <c r="J165" s="10"/>
      <c r="K165" s="9"/>
      <c r="L165" s="9"/>
      <c r="M165" s="9"/>
    </row>
    <row x14ac:dyDescent="0.25" r="166" customHeight="1" ht="18.75">
      <c r="A166" s="8"/>
      <c r="B166" s="9"/>
      <c r="C166" s="9"/>
      <c r="D166" s="9"/>
      <c r="E166" s="9"/>
      <c r="F166" s="8"/>
      <c r="G166" s="8"/>
      <c r="H166" s="10"/>
      <c r="I166" s="10"/>
      <c r="J166" s="10"/>
      <c r="K166" s="9"/>
      <c r="L166" s="9"/>
      <c r="M166" s="9"/>
    </row>
    <row x14ac:dyDescent="0.25" r="167" customHeight="1" ht="18.75">
      <c r="A167" s="8"/>
      <c r="B167" s="9"/>
      <c r="C167" s="9"/>
      <c r="D167" s="9"/>
      <c r="E167" s="9"/>
      <c r="F167" s="8"/>
      <c r="G167" s="8"/>
      <c r="H167" s="10"/>
      <c r="I167" s="10"/>
      <c r="J167" s="10"/>
      <c r="K167" s="9"/>
      <c r="L167" s="9"/>
      <c r="M167" s="9"/>
    </row>
    <row x14ac:dyDescent="0.25" r="168" customHeight="1" ht="18.75">
      <c r="A168" s="8"/>
      <c r="B168" s="9"/>
      <c r="C168" s="9"/>
      <c r="D168" s="9"/>
      <c r="E168" s="9"/>
      <c r="F168" s="8"/>
      <c r="G168" s="8"/>
      <c r="H168" s="10"/>
      <c r="I168" s="10"/>
      <c r="J168" s="10"/>
      <c r="K168" s="9"/>
      <c r="L168" s="9"/>
      <c r="M168" s="9"/>
    </row>
    <row x14ac:dyDescent="0.25" r="169" customHeight="1" ht="18.75">
      <c r="A169" s="8"/>
      <c r="B169" s="9"/>
      <c r="C169" s="9"/>
      <c r="D169" s="9"/>
      <c r="E169" s="9"/>
      <c r="F169" s="8"/>
      <c r="G169" s="8"/>
      <c r="H169" s="10"/>
      <c r="I169" s="10"/>
      <c r="J169" s="10"/>
      <c r="K169" s="9"/>
      <c r="L169" s="9"/>
      <c r="M169" s="9"/>
    </row>
    <row x14ac:dyDescent="0.25" r="170" customHeight="1" ht="18.75">
      <c r="A170" s="8"/>
      <c r="B170" s="9"/>
      <c r="C170" s="9"/>
      <c r="D170" s="9"/>
      <c r="E170" s="9"/>
      <c r="F170" s="8"/>
      <c r="G170" s="8"/>
      <c r="H170" s="10"/>
      <c r="I170" s="10"/>
      <c r="J170" s="10"/>
      <c r="K170" s="9"/>
      <c r="L170" s="9"/>
      <c r="M170" s="9"/>
    </row>
    <row x14ac:dyDescent="0.25" r="171" customHeight="1" ht="18.75">
      <c r="A171" s="8"/>
      <c r="B171" s="9"/>
      <c r="C171" s="9"/>
      <c r="D171" s="9"/>
      <c r="E171" s="9"/>
      <c r="F171" s="8"/>
      <c r="G171" s="8"/>
      <c r="H171" s="10"/>
      <c r="I171" s="10"/>
      <c r="J171" s="10"/>
      <c r="K171" s="9"/>
      <c r="L171" s="9"/>
      <c r="M171" s="9"/>
    </row>
    <row x14ac:dyDescent="0.25" r="172" customHeight="1" ht="18.75">
      <c r="A172" s="8"/>
      <c r="B172" s="9"/>
      <c r="C172" s="9"/>
      <c r="D172" s="9"/>
      <c r="E172" s="9"/>
      <c r="F172" s="8"/>
      <c r="G172" s="8"/>
      <c r="H172" s="10"/>
      <c r="I172" s="10"/>
      <c r="J172" s="10"/>
      <c r="K172" s="9"/>
      <c r="L172" s="9"/>
      <c r="M172" s="9"/>
    </row>
    <row x14ac:dyDescent="0.25" r="173" customHeight="1" ht="18.75">
      <c r="A173" s="8"/>
      <c r="B173" s="9"/>
      <c r="C173" s="9"/>
      <c r="D173" s="9"/>
      <c r="E173" s="9"/>
      <c r="F173" s="8"/>
      <c r="G173" s="8"/>
      <c r="H173" s="10"/>
      <c r="I173" s="10"/>
      <c r="J173" s="10"/>
      <c r="K173" s="9"/>
      <c r="L173" s="9"/>
      <c r="M173" s="9"/>
    </row>
    <row x14ac:dyDescent="0.25" r="174" customHeight="1" ht="18.75">
      <c r="A174" s="8"/>
      <c r="B174" s="9"/>
      <c r="C174" s="9"/>
      <c r="D174" s="9"/>
      <c r="E174" s="9"/>
      <c r="F174" s="8"/>
      <c r="G174" s="8"/>
      <c r="H174" s="10"/>
      <c r="I174" s="10"/>
      <c r="J174" s="10"/>
      <c r="K174" s="9"/>
      <c r="L174" s="9"/>
      <c r="M174" s="9"/>
    </row>
    <row x14ac:dyDescent="0.25" r="175" customHeight="1" ht="18.75">
      <c r="A175" s="8"/>
      <c r="B175" s="9"/>
      <c r="C175" s="9"/>
      <c r="D175" s="9"/>
      <c r="E175" s="9"/>
      <c r="F175" s="8"/>
      <c r="G175" s="8"/>
      <c r="H175" s="10"/>
      <c r="I175" s="10"/>
      <c r="J175" s="10"/>
      <c r="K175" s="9"/>
      <c r="L175" s="9"/>
      <c r="M175" s="9"/>
    </row>
    <row x14ac:dyDescent="0.25" r="176" customHeight="1" ht="18.75">
      <c r="A176" s="8"/>
      <c r="B176" s="9"/>
      <c r="C176" s="9"/>
      <c r="D176" s="9"/>
      <c r="E176" s="9"/>
      <c r="F176" s="8"/>
      <c r="G176" s="8"/>
      <c r="H176" s="10"/>
      <c r="I176" s="10"/>
      <c r="J176" s="10"/>
      <c r="K176" s="9"/>
      <c r="L176" s="9"/>
      <c r="M176" s="9"/>
    </row>
    <row x14ac:dyDescent="0.25" r="177" customHeight="1" ht="18.75">
      <c r="A177" s="8"/>
      <c r="B177" s="9"/>
      <c r="C177" s="9"/>
      <c r="D177" s="9"/>
      <c r="E177" s="9"/>
      <c r="F177" s="8"/>
      <c r="G177" s="8"/>
      <c r="H177" s="10"/>
      <c r="I177" s="10"/>
      <c r="J177" s="10"/>
      <c r="K177" s="9"/>
      <c r="L177" s="9"/>
      <c r="M177" s="9"/>
    </row>
    <row x14ac:dyDescent="0.25" r="178" customHeight="1" ht="18.75">
      <c r="A178" s="8"/>
      <c r="B178" s="9"/>
      <c r="C178" s="9"/>
      <c r="D178" s="9"/>
      <c r="E178" s="9"/>
      <c r="F178" s="8"/>
      <c r="G178" s="8"/>
      <c r="H178" s="10"/>
      <c r="I178" s="10"/>
      <c r="J178" s="10"/>
      <c r="K178" s="9"/>
      <c r="L178" s="9"/>
      <c r="M178" s="9"/>
    </row>
    <row x14ac:dyDescent="0.25" r="179" customHeight="1" ht="18.75">
      <c r="A179" s="8"/>
      <c r="B179" s="9"/>
      <c r="C179" s="9"/>
      <c r="D179" s="9"/>
      <c r="E179" s="9"/>
      <c r="F179" s="8"/>
      <c r="G179" s="8"/>
      <c r="H179" s="10"/>
      <c r="I179" s="10"/>
      <c r="J179" s="10"/>
      <c r="K179" s="9"/>
      <c r="L179" s="9"/>
      <c r="M179" s="9"/>
    </row>
    <row x14ac:dyDescent="0.25" r="180" customHeight="1" ht="18.75">
      <c r="A180" s="8"/>
      <c r="B180" s="9"/>
      <c r="C180" s="9"/>
      <c r="D180" s="9"/>
      <c r="E180" s="9"/>
      <c r="F180" s="8"/>
      <c r="G180" s="8"/>
      <c r="H180" s="10"/>
      <c r="I180" s="10"/>
      <c r="J180" s="10"/>
      <c r="K180" s="9"/>
      <c r="L180" s="9"/>
      <c r="M180" s="9"/>
    </row>
    <row x14ac:dyDescent="0.25" r="181" customHeight="1" ht="18.75">
      <c r="A181" s="8"/>
      <c r="B181" s="9"/>
      <c r="C181" s="9"/>
      <c r="D181" s="9"/>
      <c r="E181" s="9"/>
      <c r="F181" s="8"/>
      <c r="G181" s="8"/>
      <c r="H181" s="10"/>
      <c r="I181" s="10"/>
      <c r="J181" s="10"/>
      <c r="K181" s="9"/>
      <c r="L181" s="9"/>
      <c r="M181" s="9"/>
    </row>
    <row x14ac:dyDescent="0.25" r="182" customHeight="1" ht="18.75">
      <c r="A182" s="8"/>
      <c r="B182" s="9"/>
      <c r="C182" s="9"/>
      <c r="D182" s="9"/>
      <c r="E182" s="9"/>
      <c r="F182" s="8"/>
      <c r="G182" s="8"/>
      <c r="H182" s="10"/>
      <c r="I182" s="10"/>
      <c r="J182" s="10"/>
      <c r="K182" s="9"/>
      <c r="L182" s="9"/>
      <c r="M182" s="9"/>
    </row>
    <row x14ac:dyDescent="0.25" r="183" customHeight="1" ht="18.75">
      <c r="A183" s="8"/>
      <c r="B183" s="9"/>
      <c r="C183" s="9"/>
      <c r="D183" s="9"/>
      <c r="E183" s="9"/>
      <c r="F183" s="8"/>
      <c r="G183" s="8"/>
      <c r="H183" s="10"/>
      <c r="I183" s="10"/>
      <c r="J183" s="10"/>
      <c r="K183" s="9"/>
      <c r="L183" s="9"/>
      <c r="M183" s="9"/>
    </row>
    <row x14ac:dyDescent="0.25" r="184" customHeight="1" ht="18.75">
      <c r="A184" s="8"/>
      <c r="B184" s="9"/>
      <c r="C184" s="9"/>
      <c r="D184" s="9"/>
      <c r="E184" s="9"/>
      <c r="F184" s="8"/>
      <c r="G184" s="8"/>
      <c r="H184" s="10"/>
      <c r="I184" s="10"/>
      <c r="J184" s="10"/>
      <c r="K184" s="9"/>
      <c r="L184" s="9"/>
      <c r="M184" s="9"/>
    </row>
    <row x14ac:dyDescent="0.25" r="185" customHeight="1" ht="18.75">
      <c r="A185" s="8"/>
      <c r="B185" s="9"/>
      <c r="C185" s="9"/>
      <c r="D185" s="9"/>
      <c r="E185" s="9"/>
      <c r="F185" s="8"/>
      <c r="G185" s="8"/>
      <c r="H185" s="10"/>
      <c r="I185" s="10"/>
      <c r="J185" s="10"/>
      <c r="K185" s="9"/>
      <c r="L185" s="9"/>
      <c r="M185" s="9"/>
    </row>
    <row x14ac:dyDescent="0.25" r="186" customHeight="1" ht="18.75">
      <c r="A186" s="8"/>
      <c r="B186" s="9"/>
      <c r="C186" s="9"/>
      <c r="D186" s="9"/>
      <c r="E186" s="9"/>
      <c r="F186" s="8"/>
      <c r="G186" s="8"/>
      <c r="H186" s="10"/>
      <c r="I186" s="10"/>
      <c r="J186" s="10"/>
      <c r="K186" s="9"/>
      <c r="L186" s="9"/>
      <c r="M186" s="9"/>
    </row>
    <row x14ac:dyDescent="0.25" r="187" customHeight="1" ht="18.75">
      <c r="A187" s="8"/>
      <c r="B187" s="9"/>
      <c r="C187" s="9"/>
      <c r="D187" s="9"/>
      <c r="E187" s="9"/>
      <c r="F187" s="8"/>
      <c r="G187" s="8"/>
      <c r="H187" s="10"/>
      <c r="I187" s="10"/>
      <c r="J187" s="10"/>
      <c r="K187" s="9"/>
      <c r="L187" s="9"/>
      <c r="M187" s="9"/>
    </row>
    <row x14ac:dyDescent="0.25" r="188" customHeight="1" ht="18.75">
      <c r="A188" s="8"/>
      <c r="B188" s="9"/>
      <c r="C188" s="9"/>
      <c r="D188" s="9"/>
      <c r="E188" s="9"/>
      <c r="F188" s="8"/>
      <c r="G188" s="8"/>
      <c r="H188" s="10"/>
      <c r="I188" s="10"/>
      <c r="J188" s="10"/>
      <c r="K188" s="9"/>
      <c r="L188" s="9"/>
      <c r="M188" s="9"/>
    </row>
    <row x14ac:dyDescent="0.25" r="189" customHeight="1" ht="18.75">
      <c r="A189" s="8"/>
      <c r="B189" s="9"/>
      <c r="C189" s="9"/>
      <c r="D189" s="9"/>
      <c r="E189" s="9"/>
      <c r="F189" s="8"/>
      <c r="G189" s="8"/>
      <c r="H189" s="10"/>
      <c r="I189" s="10"/>
      <c r="J189" s="10"/>
      <c r="K189" s="9"/>
      <c r="L189" s="9"/>
      <c r="M189" s="9"/>
    </row>
    <row x14ac:dyDescent="0.25" r="190" customHeight="1" ht="18.75">
      <c r="A190" s="8"/>
      <c r="B190" s="9"/>
      <c r="C190" s="9"/>
      <c r="D190" s="9"/>
      <c r="E190" s="9"/>
      <c r="F190" s="8"/>
      <c r="G190" s="8"/>
      <c r="H190" s="10"/>
      <c r="I190" s="10"/>
      <c r="J190" s="10"/>
      <c r="K190" s="9"/>
      <c r="L190" s="9"/>
      <c r="M190" s="9"/>
    </row>
    <row x14ac:dyDescent="0.25" r="191" customHeight="1" ht="18.75">
      <c r="A191" s="8"/>
      <c r="B191" s="9"/>
      <c r="C191" s="9"/>
      <c r="D191" s="9"/>
      <c r="E191" s="9"/>
      <c r="F191" s="8"/>
      <c r="G191" s="8"/>
      <c r="H191" s="10"/>
      <c r="I191" s="10"/>
      <c r="J191" s="10"/>
      <c r="K191" s="9"/>
      <c r="L191" s="9"/>
      <c r="M191" s="9"/>
    </row>
    <row x14ac:dyDescent="0.25" r="192" customHeight="1" ht="18.75">
      <c r="A192" s="8"/>
      <c r="B192" s="9"/>
      <c r="C192" s="9"/>
      <c r="D192" s="9"/>
      <c r="E192" s="9"/>
      <c r="F192" s="8"/>
      <c r="G192" s="8"/>
      <c r="H192" s="10"/>
      <c r="I192" s="10"/>
      <c r="J192" s="10"/>
      <c r="K192" s="9"/>
      <c r="L192" s="9"/>
      <c r="M192" s="9"/>
    </row>
    <row x14ac:dyDescent="0.25" r="193" customHeight="1" ht="18.75">
      <c r="A193" s="8"/>
      <c r="B193" s="9"/>
      <c r="C193" s="9"/>
      <c r="D193" s="9"/>
      <c r="E193" s="9"/>
      <c r="F193" s="8"/>
      <c r="G193" s="8"/>
      <c r="H193" s="10"/>
      <c r="I193" s="10"/>
      <c r="J193" s="10"/>
      <c r="K193" s="9"/>
      <c r="L193" s="9"/>
      <c r="M193" s="9"/>
    </row>
    <row x14ac:dyDescent="0.25" r="194" customHeight="1" ht="18.75">
      <c r="A194" s="8"/>
      <c r="B194" s="9"/>
      <c r="C194" s="9"/>
      <c r="D194" s="9"/>
      <c r="E194" s="9"/>
      <c r="F194" s="8"/>
      <c r="G194" s="8"/>
      <c r="H194" s="10"/>
      <c r="I194" s="10"/>
      <c r="J194" s="10"/>
      <c r="K194" s="9"/>
      <c r="L194" s="9"/>
      <c r="M194" s="9"/>
    </row>
    <row x14ac:dyDescent="0.25" r="195" customHeight="1" ht="18.75">
      <c r="A195" s="8"/>
      <c r="B195" s="9"/>
      <c r="C195" s="9"/>
      <c r="D195" s="9"/>
      <c r="E195" s="9"/>
      <c r="F195" s="8"/>
      <c r="G195" s="8"/>
      <c r="H195" s="10"/>
      <c r="I195" s="10"/>
      <c r="J195" s="10"/>
      <c r="K195" s="9"/>
      <c r="L195" s="9"/>
      <c r="M195" s="9"/>
    </row>
    <row x14ac:dyDescent="0.25" r="196" customHeight="1" ht="18.75">
      <c r="A196" s="8"/>
      <c r="B196" s="9"/>
      <c r="C196" s="9"/>
      <c r="D196" s="9"/>
      <c r="E196" s="9"/>
      <c r="F196" s="8"/>
      <c r="G196" s="8"/>
      <c r="H196" s="10"/>
      <c r="I196" s="10"/>
      <c r="J196" s="10"/>
      <c r="K196" s="9"/>
      <c r="L196" s="9"/>
      <c r="M196" s="9"/>
    </row>
    <row x14ac:dyDescent="0.25" r="197" customHeight="1" ht="18.75">
      <c r="A197" s="8"/>
      <c r="B197" s="9"/>
      <c r="C197" s="9"/>
      <c r="D197" s="9"/>
      <c r="E197" s="9"/>
      <c r="F197" s="8"/>
      <c r="G197" s="8"/>
      <c r="H197" s="10"/>
      <c r="I197" s="10"/>
      <c r="J197" s="10"/>
      <c r="K197" s="9"/>
      <c r="L197" s="9"/>
      <c r="M197" s="9"/>
    </row>
    <row x14ac:dyDescent="0.25" r="198" customHeight="1" ht="18.75">
      <c r="A198" s="8"/>
      <c r="B198" s="9"/>
      <c r="C198" s="9"/>
      <c r="D198" s="9"/>
      <c r="E198" s="9"/>
      <c r="F198" s="8"/>
      <c r="G198" s="8"/>
      <c r="H198" s="10"/>
      <c r="I198" s="10"/>
      <c r="J198" s="10"/>
      <c r="K198" s="9"/>
      <c r="L198" s="9"/>
      <c r="M198" s="9"/>
    </row>
    <row x14ac:dyDescent="0.25" r="199" customHeight="1" ht="18.75">
      <c r="A199" s="8"/>
      <c r="B199" s="9"/>
      <c r="C199" s="9"/>
      <c r="D199" s="9"/>
      <c r="E199" s="9"/>
      <c r="F199" s="8"/>
      <c r="G199" s="8"/>
      <c r="H199" s="10"/>
      <c r="I199" s="10"/>
      <c r="J199" s="10"/>
      <c r="K199" s="9"/>
      <c r="L199" s="9"/>
      <c r="M199" s="9"/>
    </row>
    <row x14ac:dyDescent="0.25" r="200" customHeight="1" ht="18.75">
      <c r="A200" s="8"/>
      <c r="B200" s="9"/>
      <c r="C200" s="9"/>
      <c r="D200" s="9"/>
      <c r="E200" s="9"/>
      <c r="F200" s="8"/>
      <c r="G200" s="8"/>
      <c r="H200" s="10"/>
      <c r="I200" s="10"/>
      <c r="J200" s="10"/>
      <c r="K200" s="9"/>
      <c r="L200" s="9"/>
      <c r="M200" s="9"/>
    </row>
    <row x14ac:dyDescent="0.25" r="201" customHeight="1" ht="18.75">
      <c r="A201" s="8"/>
      <c r="B201" s="9"/>
      <c r="C201" s="9"/>
      <c r="D201" s="9"/>
      <c r="E201" s="9"/>
      <c r="F201" s="8"/>
      <c r="G201" s="8"/>
      <c r="H201" s="10"/>
      <c r="I201" s="10"/>
      <c r="J201" s="10"/>
      <c r="K201" s="9"/>
      <c r="L201" s="9"/>
      <c r="M201" s="9"/>
    </row>
    <row x14ac:dyDescent="0.25" r="202" customHeight="1" ht="18.75">
      <c r="A202" s="8"/>
      <c r="B202" s="9"/>
      <c r="C202" s="9"/>
      <c r="D202" s="9"/>
      <c r="E202" s="9"/>
      <c r="F202" s="8"/>
      <c r="G202" s="8"/>
      <c r="H202" s="10"/>
      <c r="I202" s="10"/>
      <c r="J202" s="10"/>
      <c r="K202" s="9"/>
      <c r="L202" s="9"/>
      <c r="M202" s="9"/>
    </row>
    <row x14ac:dyDescent="0.25" r="203" customHeight="1" ht="18.75">
      <c r="A203" s="8"/>
      <c r="B203" s="9"/>
      <c r="C203" s="9"/>
      <c r="D203" s="9"/>
      <c r="E203" s="9"/>
      <c r="F203" s="8"/>
      <c r="G203" s="8"/>
      <c r="H203" s="10"/>
      <c r="I203" s="10"/>
      <c r="J203" s="10"/>
      <c r="K203" s="9"/>
      <c r="L203" s="9"/>
      <c r="M203" s="9"/>
    </row>
    <row x14ac:dyDescent="0.25" r="204" customHeight="1" ht="18.75">
      <c r="A204" s="8"/>
      <c r="B204" s="9"/>
      <c r="C204" s="9"/>
      <c r="D204" s="9"/>
      <c r="E204" s="9"/>
      <c r="F204" s="8"/>
      <c r="G204" s="8"/>
      <c r="H204" s="10"/>
      <c r="I204" s="10"/>
      <c r="J204" s="10"/>
      <c r="K204" s="9"/>
      <c r="L204" s="9"/>
      <c r="M204" s="9"/>
    </row>
    <row x14ac:dyDescent="0.25" r="205" customHeight="1" ht="18.75">
      <c r="A205" s="8"/>
      <c r="B205" s="9"/>
      <c r="C205" s="9"/>
      <c r="D205" s="9"/>
      <c r="E205" s="9"/>
      <c r="F205" s="8"/>
      <c r="G205" s="8"/>
      <c r="H205" s="10"/>
      <c r="I205" s="10"/>
      <c r="J205" s="10"/>
      <c r="K205" s="9"/>
      <c r="L205" s="9"/>
      <c r="M205" s="9"/>
    </row>
    <row x14ac:dyDescent="0.25" r="206" customHeight="1" ht="18.75">
      <c r="A206" s="8"/>
      <c r="B206" s="9"/>
      <c r="C206" s="9"/>
      <c r="D206" s="9"/>
      <c r="E206" s="9"/>
      <c r="F206" s="8"/>
      <c r="G206" s="8"/>
      <c r="H206" s="10"/>
      <c r="I206" s="10"/>
      <c r="J206" s="10"/>
      <c r="K206" s="9"/>
      <c r="L206" s="9"/>
      <c r="M206" s="9"/>
    </row>
    <row x14ac:dyDescent="0.25" r="207" customHeight="1" ht="18.75">
      <c r="A207" s="8"/>
      <c r="B207" s="9"/>
      <c r="C207" s="9"/>
      <c r="D207" s="9"/>
      <c r="E207" s="9"/>
      <c r="F207" s="8"/>
      <c r="G207" s="8"/>
      <c r="H207" s="10"/>
      <c r="I207" s="10"/>
      <c r="J207" s="10"/>
      <c r="K207" s="9"/>
      <c r="L207" s="9"/>
      <c r="M207" s="9"/>
    </row>
    <row x14ac:dyDescent="0.25" r="208" customHeight="1" ht="18.75">
      <c r="A208" s="8"/>
      <c r="B208" s="9"/>
      <c r="C208" s="9"/>
      <c r="D208" s="9"/>
      <c r="E208" s="9"/>
      <c r="F208" s="8"/>
      <c r="G208" s="8"/>
      <c r="H208" s="10"/>
      <c r="I208" s="10"/>
      <c r="J208" s="10"/>
      <c r="K208" s="9"/>
      <c r="L208" s="9"/>
      <c r="M208" s="9"/>
    </row>
    <row x14ac:dyDescent="0.25" r="209" customHeight="1" ht="18.75">
      <c r="A209" s="8"/>
      <c r="B209" s="9"/>
      <c r="C209" s="9"/>
      <c r="D209" s="9"/>
      <c r="E209" s="9"/>
      <c r="F209" s="8"/>
      <c r="G209" s="8"/>
      <c r="H209" s="10"/>
      <c r="I209" s="10"/>
      <c r="J209" s="10"/>
      <c r="K209" s="9"/>
      <c r="L209" s="9"/>
      <c r="M209" s="9"/>
    </row>
    <row x14ac:dyDescent="0.25" r="210" customHeight="1" ht="18.75">
      <c r="A210" s="8"/>
      <c r="B210" s="9"/>
      <c r="C210" s="9"/>
      <c r="D210" s="9"/>
      <c r="E210" s="9"/>
      <c r="F210" s="8"/>
      <c r="G210" s="8"/>
      <c r="H210" s="10"/>
      <c r="I210" s="10"/>
      <c r="J210" s="10"/>
      <c r="K210" s="9"/>
      <c r="L210" s="9"/>
      <c r="M210" s="9"/>
    </row>
    <row x14ac:dyDescent="0.25" r="211" customHeight="1" ht="18.75">
      <c r="A211" s="8"/>
      <c r="B211" s="9"/>
      <c r="C211" s="9"/>
      <c r="D211" s="9"/>
      <c r="E211" s="9"/>
      <c r="F211" s="8"/>
      <c r="G211" s="8"/>
      <c r="H211" s="10"/>
      <c r="I211" s="10"/>
      <c r="J211" s="10"/>
      <c r="K211" s="9"/>
      <c r="L211" s="9"/>
      <c r="M211" s="9"/>
    </row>
    <row x14ac:dyDescent="0.25" r="212" customHeight="1" ht="18.75">
      <c r="A212" s="8"/>
      <c r="B212" s="9"/>
      <c r="C212" s="9"/>
      <c r="D212" s="9"/>
      <c r="E212" s="9"/>
      <c r="F212" s="8"/>
      <c r="G212" s="8"/>
      <c r="H212" s="10"/>
      <c r="I212" s="10"/>
      <c r="J212" s="10"/>
      <c r="K212" s="9"/>
      <c r="L212" s="9"/>
      <c r="M212" s="9"/>
    </row>
    <row x14ac:dyDescent="0.25" r="213" customHeight="1" ht="18.75">
      <c r="A213" s="8"/>
      <c r="B213" s="9"/>
      <c r="C213" s="9"/>
      <c r="D213" s="9"/>
      <c r="E213" s="9"/>
      <c r="F213" s="8"/>
      <c r="G213" s="8"/>
      <c r="H213" s="10"/>
      <c r="I213" s="10"/>
      <c r="J213" s="10"/>
      <c r="K213" s="9"/>
      <c r="L213" s="9"/>
      <c r="M213" s="9"/>
    </row>
    <row x14ac:dyDescent="0.25" r="214" customHeight="1" ht="18.75">
      <c r="A214" s="8"/>
      <c r="B214" s="9"/>
      <c r="C214" s="9"/>
      <c r="D214" s="9"/>
      <c r="E214" s="9"/>
      <c r="F214" s="8"/>
      <c r="G214" s="8"/>
      <c r="H214" s="10"/>
      <c r="I214" s="10"/>
      <c r="J214" s="10"/>
      <c r="K214" s="9"/>
      <c r="L214" s="9"/>
      <c r="M214" s="9"/>
    </row>
    <row x14ac:dyDescent="0.25" r="215" customHeight="1" ht="18.75">
      <c r="A215" s="8"/>
      <c r="B215" s="9"/>
      <c r="C215" s="9"/>
      <c r="D215" s="9"/>
      <c r="E215" s="9"/>
      <c r="F215" s="8"/>
      <c r="G215" s="8"/>
      <c r="H215" s="10"/>
      <c r="I215" s="10"/>
      <c r="J215" s="10"/>
      <c r="K215" s="9"/>
      <c r="L215" s="9"/>
      <c r="M215" s="9"/>
    </row>
    <row x14ac:dyDescent="0.25" r="216" customHeight="1" ht="18.75">
      <c r="A216" s="8"/>
      <c r="B216" s="9"/>
      <c r="C216" s="9"/>
      <c r="D216" s="9"/>
      <c r="E216" s="9"/>
      <c r="F216" s="8"/>
      <c r="G216" s="8"/>
      <c r="H216" s="10"/>
      <c r="I216" s="10"/>
      <c r="J216" s="10"/>
      <c r="K216" s="9"/>
      <c r="L216" s="9"/>
      <c r="M216" s="9"/>
    </row>
    <row x14ac:dyDescent="0.25" r="217" customHeight="1" ht="18.75">
      <c r="A217" s="8"/>
      <c r="B217" s="9"/>
      <c r="C217" s="9"/>
      <c r="D217" s="9"/>
      <c r="E217" s="9"/>
      <c r="F217" s="8"/>
      <c r="G217" s="8"/>
      <c r="H217" s="10"/>
      <c r="I217" s="10"/>
      <c r="J217" s="10"/>
      <c r="K217" s="9"/>
      <c r="L217" s="9"/>
      <c r="M217" s="9"/>
    </row>
    <row x14ac:dyDescent="0.25" r="218" customHeight="1" ht="18.75">
      <c r="A218" s="8"/>
      <c r="B218" s="9"/>
      <c r="C218" s="9"/>
      <c r="D218" s="9"/>
      <c r="E218" s="9"/>
      <c r="F218" s="8"/>
      <c r="G218" s="8"/>
      <c r="H218" s="10"/>
      <c r="I218" s="10"/>
      <c r="J218" s="10"/>
      <c r="K218" s="9"/>
      <c r="L218" s="9"/>
      <c r="M218" s="9"/>
    </row>
    <row x14ac:dyDescent="0.25" r="219" customHeight="1" ht="18.75">
      <c r="A219" s="8"/>
      <c r="B219" s="9"/>
      <c r="C219" s="9"/>
      <c r="D219" s="9"/>
      <c r="E219" s="9"/>
      <c r="F219" s="8"/>
      <c r="G219" s="8"/>
      <c r="H219" s="10"/>
      <c r="I219" s="10"/>
      <c r="J219" s="10"/>
      <c r="K219" s="9"/>
      <c r="L219" s="9"/>
      <c r="M219" s="9"/>
    </row>
    <row x14ac:dyDescent="0.25" r="220" customHeight="1" ht="18.75">
      <c r="A220" s="8"/>
      <c r="B220" s="9"/>
      <c r="C220" s="9"/>
      <c r="D220" s="9"/>
      <c r="E220" s="9"/>
      <c r="F220" s="8"/>
      <c r="G220" s="8"/>
      <c r="H220" s="10"/>
      <c r="I220" s="10"/>
      <c r="J220" s="10"/>
      <c r="K220" s="9"/>
      <c r="L220" s="9"/>
      <c r="M220" s="9"/>
    </row>
    <row x14ac:dyDescent="0.25" r="221" customHeight="1" ht="18.75">
      <c r="A221" s="8"/>
      <c r="B221" s="9"/>
      <c r="C221" s="9"/>
      <c r="D221" s="9"/>
      <c r="E221" s="9"/>
      <c r="F221" s="8"/>
      <c r="G221" s="8"/>
      <c r="H221" s="10"/>
      <c r="I221" s="10"/>
      <c r="J221" s="10"/>
      <c r="K221" s="9"/>
      <c r="L221" s="9"/>
      <c r="M221" s="9"/>
    </row>
    <row x14ac:dyDescent="0.25" r="222" customHeight="1" ht="18.75">
      <c r="A222" s="8"/>
      <c r="B222" s="9"/>
      <c r="C222" s="9"/>
      <c r="D222" s="9"/>
      <c r="E222" s="9"/>
      <c r="F222" s="8"/>
      <c r="G222" s="8"/>
      <c r="H222" s="10"/>
      <c r="I222" s="10"/>
      <c r="J222" s="10"/>
      <c r="K222" s="9"/>
      <c r="L222" s="9"/>
      <c r="M222" s="9"/>
    </row>
    <row x14ac:dyDescent="0.25" r="223" customHeight="1" ht="18.75">
      <c r="A223" s="8"/>
      <c r="B223" s="9"/>
      <c r="C223" s="9"/>
      <c r="D223" s="9"/>
      <c r="E223" s="9"/>
      <c r="F223" s="8"/>
      <c r="G223" s="8"/>
      <c r="H223" s="10"/>
      <c r="I223" s="10"/>
      <c r="J223" s="10"/>
      <c r="K223" s="9"/>
      <c r="L223" s="9"/>
      <c r="M223" s="9"/>
    </row>
    <row x14ac:dyDescent="0.25" r="224" customHeight="1" ht="18.75">
      <c r="A224" s="8"/>
      <c r="B224" s="9"/>
      <c r="C224" s="9"/>
      <c r="D224" s="9"/>
      <c r="E224" s="9"/>
      <c r="F224" s="8"/>
      <c r="G224" s="8"/>
      <c r="H224" s="10"/>
      <c r="I224" s="10"/>
      <c r="J224" s="10"/>
      <c r="K224" s="9"/>
      <c r="L224" s="9"/>
      <c r="M224" s="9"/>
    </row>
    <row x14ac:dyDescent="0.25" r="225" customHeight="1" ht="18.75">
      <c r="A225" s="8"/>
      <c r="B225" s="9"/>
      <c r="C225" s="9"/>
      <c r="D225" s="9"/>
      <c r="E225" s="9"/>
      <c r="F225" s="8"/>
      <c r="G225" s="8"/>
      <c r="H225" s="10"/>
      <c r="I225" s="10"/>
      <c r="J225" s="10"/>
      <c r="K225" s="9"/>
      <c r="L225" s="9"/>
      <c r="M225" s="9"/>
    </row>
    <row x14ac:dyDescent="0.25" r="226" customHeight="1" ht="18.75">
      <c r="A226" s="8"/>
      <c r="B226" s="9"/>
      <c r="C226" s="9"/>
      <c r="D226" s="9"/>
      <c r="E226" s="9"/>
      <c r="F226" s="8"/>
      <c r="G226" s="8"/>
      <c r="H226" s="10"/>
      <c r="I226" s="10"/>
      <c r="J226" s="10"/>
      <c r="K226" s="9"/>
      <c r="L226" s="9"/>
      <c r="M226" s="9"/>
    </row>
    <row x14ac:dyDescent="0.25" r="227" customHeight="1" ht="18.75">
      <c r="A227" s="8"/>
      <c r="B227" s="9"/>
      <c r="C227" s="9"/>
      <c r="D227" s="9"/>
      <c r="E227" s="9"/>
      <c r="F227" s="8"/>
      <c r="G227" s="8"/>
      <c r="H227" s="10"/>
      <c r="I227" s="10"/>
      <c r="J227" s="10"/>
      <c r="K227" s="9"/>
      <c r="L227" s="9"/>
      <c r="M227" s="9"/>
    </row>
    <row x14ac:dyDescent="0.25" r="228" customHeight="1" ht="18.75">
      <c r="A228" s="8"/>
      <c r="B228" s="9"/>
      <c r="C228" s="9"/>
      <c r="D228" s="9"/>
      <c r="E228" s="9"/>
      <c r="F228" s="8"/>
      <c r="G228" s="8"/>
      <c r="H228" s="10"/>
      <c r="I228" s="10"/>
      <c r="J228" s="10"/>
      <c r="K228" s="9"/>
      <c r="L228" s="9"/>
      <c r="M228" s="9"/>
    </row>
    <row x14ac:dyDescent="0.25" r="229" customHeight="1" ht="18.75">
      <c r="A229" s="8"/>
      <c r="B229" s="9"/>
      <c r="C229" s="9"/>
      <c r="D229" s="9"/>
      <c r="E229" s="9"/>
      <c r="F229" s="8"/>
      <c r="G229" s="8"/>
      <c r="H229" s="10"/>
      <c r="I229" s="10"/>
      <c r="J229" s="10"/>
      <c r="K229" s="9"/>
      <c r="L229" s="9"/>
      <c r="M229" s="9"/>
    </row>
    <row x14ac:dyDescent="0.25" r="230" customHeight="1" ht="18.75">
      <c r="A230" s="8"/>
      <c r="B230" s="9"/>
      <c r="C230" s="9"/>
      <c r="D230" s="9"/>
      <c r="E230" s="9"/>
      <c r="F230" s="8"/>
      <c r="G230" s="8"/>
      <c r="H230" s="10"/>
      <c r="I230" s="10"/>
      <c r="J230" s="10"/>
      <c r="K230" s="9"/>
      <c r="L230" s="9"/>
      <c r="M230" s="9"/>
    </row>
    <row x14ac:dyDescent="0.25" r="231" customHeight="1" ht="18.75">
      <c r="A231" s="8"/>
      <c r="B231" s="9"/>
      <c r="C231" s="9"/>
      <c r="D231" s="9"/>
      <c r="E231" s="9"/>
      <c r="F231" s="8"/>
      <c r="G231" s="8"/>
      <c r="H231" s="10"/>
      <c r="I231" s="10"/>
      <c r="J231" s="10"/>
      <c r="K231" s="9"/>
      <c r="L231" s="9"/>
      <c r="M231" s="9"/>
    </row>
    <row x14ac:dyDescent="0.25" r="232" customHeight="1" ht="18.75">
      <c r="A232" s="8"/>
      <c r="B232" s="9"/>
      <c r="C232" s="9"/>
      <c r="D232" s="9"/>
      <c r="E232" s="9"/>
      <c r="F232" s="8"/>
      <c r="G232" s="8"/>
      <c r="H232" s="10"/>
      <c r="I232" s="10"/>
      <c r="J232" s="10"/>
      <c r="K232" s="9"/>
      <c r="L232" s="9"/>
      <c r="M232" s="9"/>
    </row>
    <row x14ac:dyDescent="0.25" r="233" customHeight="1" ht="18.75">
      <c r="A233" s="8"/>
      <c r="B233" s="9"/>
      <c r="C233" s="9"/>
      <c r="D233" s="9"/>
      <c r="E233" s="9"/>
      <c r="F233" s="8"/>
      <c r="G233" s="8"/>
      <c r="H233" s="10"/>
      <c r="I233" s="10"/>
      <c r="J233" s="10"/>
      <c r="K233" s="9"/>
      <c r="L233" s="9"/>
      <c r="M233" s="9"/>
    </row>
    <row x14ac:dyDescent="0.25" r="234" customHeight="1" ht="18.75">
      <c r="A234" s="8"/>
      <c r="B234" s="9"/>
      <c r="C234" s="9"/>
      <c r="D234" s="9"/>
      <c r="E234" s="9"/>
      <c r="F234" s="8"/>
      <c r="G234" s="8"/>
      <c r="H234" s="10"/>
      <c r="I234" s="10"/>
      <c r="J234" s="10"/>
      <c r="K234" s="9"/>
      <c r="L234" s="9"/>
      <c r="M234" s="9"/>
    </row>
    <row x14ac:dyDescent="0.25" r="235" customHeight="1" ht="18.75">
      <c r="A235" s="8"/>
      <c r="B235" s="9"/>
      <c r="C235" s="9"/>
      <c r="D235" s="9"/>
      <c r="E235" s="9"/>
      <c r="F235" s="8"/>
      <c r="G235" s="8"/>
      <c r="H235" s="10"/>
      <c r="I235" s="10"/>
      <c r="J235" s="10"/>
      <c r="K235" s="9"/>
      <c r="L235" s="9"/>
      <c r="M235" s="9"/>
    </row>
    <row x14ac:dyDescent="0.25" r="236" customHeight="1" ht="18.75">
      <c r="A236" s="8"/>
      <c r="B236" s="9"/>
      <c r="C236" s="9"/>
      <c r="D236" s="9"/>
      <c r="E236" s="9"/>
      <c r="F236" s="8"/>
      <c r="G236" s="8"/>
      <c r="H236" s="10"/>
      <c r="I236" s="10"/>
      <c r="J236" s="10"/>
      <c r="K236" s="9"/>
      <c r="L236" s="9"/>
      <c r="M236" s="9"/>
    </row>
    <row x14ac:dyDescent="0.25" r="237" customHeight="1" ht="18.75">
      <c r="A237" s="8"/>
      <c r="B237" s="9"/>
      <c r="C237" s="9"/>
      <c r="D237" s="9"/>
      <c r="E237" s="9"/>
      <c r="F237" s="8"/>
      <c r="G237" s="8"/>
      <c r="H237" s="10"/>
      <c r="I237" s="10"/>
      <c r="J237" s="10"/>
      <c r="K237" s="9"/>
      <c r="L237" s="9"/>
      <c r="M237" s="9"/>
    </row>
    <row x14ac:dyDescent="0.25" r="238" customHeight="1" ht="18.75">
      <c r="A238" s="8"/>
      <c r="B238" s="9"/>
      <c r="C238" s="9"/>
      <c r="D238" s="9"/>
      <c r="E238" s="9"/>
      <c r="F238" s="8"/>
      <c r="G238" s="8"/>
      <c r="H238" s="10"/>
      <c r="I238" s="10"/>
      <c r="J238" s="10"/>
      <c r="K238" s="9"/>
      <c r="L238" s="9"/>
      <c r="M238" s="9"/>
    </row>
    <row x14ac:dyDescent="0.25" r="239" customHeight="1" ht="18.75">
      <c r="A239" s="8"/>
      <c r="B239" s="9"/>
      <c r="C239" s="9"/>
      <c r="D239" s="9"/>
      <c r="E239" s="9"/>
      <c r="F239" s="8"/>
      <c r="G239" s="8"/>
      <c r="H239" s="10"/>
      <c r="I239" s="10"/>
      <c r="J239" s="10"/>
      <c r="K239" s="9"/>
      <c r="L239" s="9"/>
      <c r="M239" s="9"/>
    </row>
    <row x14ac:dyDescent="0.25" r="240" customHeight="1" ht="18.75">
      <c r="A240" s="8"/>
      <c r="B240" s="9"/>
      <c r="C240" s="9"/>
      <c r="D240" s="9"/>
      <c r="E240" s="9"/>
      <c r="F240" s="8"/>
      <c r="G240" s="8"/>
      <c r="H240" s="10"/>
      <c r="I240" s="10"/>
      <c r="J240" s="10"/>
      <c r="K240" s="9"/>
      <c r="L240" s="9"/>
      <c r="M240" s="9"/>
    </row>
    <row x14ac:dyDescent="0.25" r="241" customHeight="1" ht="18.75">
      <c r="A241" s="8"/>
      <c r="B241" s="9"/>
      <c r="C241" s="9"/>
      <c r="D241" s="9"/>
      <c r="E241" s="9"/>
      <c r="F241" s="8"/>
      <c r="G241" s="8"/>
      <c r="H241" s="10"/>
      <c r="I241" s="10"/>
      <c r="J241" s="10"/>
      <c r="K241" s="9"/>
      <c r="L241" s="9"/>
      <c r="M241" s="9"/>
    </row>
    <row x14ac:dyDescent="0.25" r="242" customHeight="1" ht="18.75">
      <c r="A242" s="8"/>
      <c r="B242" s="9"/>
      <c r="C242" s="9"/>
      <c r="D242" s="9"/>
      <c r="E242" s="9"/>
      <c r="F242" s="8"/>
      <c r="G242" s="8"/>
      <c r="H242" s="10"/>
      <c r="I242" s="10"/>
      <c r="J242" s="10"/>
      <c r="K242" s="9"/>
      <c r="L242" s="9"/>
      <c r="M242" s="9"/>
    </row>
    <row x14ac:dyDescent="0.25" r="243" customHeight="1" ht="18.75">
      <c r="A243" s="8"/>
      <c r="B243" s="9"/>
      <c r="C243" s="9"/>
      <c r="D243" s="9"/>
      <c r="E243" s="9"/>
      <c r="F243" s="8"/>
      <c r="G243" s="8"/>
      <c r="H243" s="10"/>
      <c r="I243" s="10"/>
      <c r="J243" s="10"/>
      <c r="K243" s="9"/>
      <c r="L243" s="9"/>
      <c r="M243" s="9"/>
    </row>
    <row x14ac:dyDescent="0.25" r="244" customHeight="1" ht="18.75">
      <c r="A244" s="8"/>
      <c r="B244" s="9"/>
      <c r="C244" s="9"/>
      <c r="D244" s="9"/>
      <c r="E244" s="9"/>
      <c r="F244" s="8"/>
      <c r="G244" s="8"/>
      <c r="H244" s="10"/>
      <c r="I244" s="10"/>
      <c r="J244" s="10"/>
      <c r="K244" s="9"/>
      <c r="L244" s="9"/>
      <c r="M244" s="9"/>
    </row>
    <row x14ac:dyDescent="0.25" r="245" customHeight="1" ht="18.75">
      <c r="A245" s="8"/>
      <c r="B245" s="9"/>
      <c r="C245" s="9"/>
      <c r="D245" s="9"/>
      <c r="E245" s="9"/>
      <c r="F245" s="8"/>
      <c r="G245" s="8"/>
      <c r="H245" s="10"/>
      <c r="I245" s="10"/>
      <c r="J245" s="10"/>
      <c r="K245" s="9"/>
      <c r="L245" s="9"/>
      <c r="M245" s="9"/>
    </row>
    <row x14ac:dyDescent="0.25" r="246" customHeight="1" ht="18.75">
      <c r="A246" s="8"/>
      <c r="B246" s="9"/>
      <c r="C246" s="9"/>
      <c r="D246" s="9"/>
      <c r="E246" s="9"/>
      <c r="F246" s="8"/>
      <c r="G246" s="8"/>
      <c r="H246" s="10"/>
      <c r="I246" s="10"/>
      <c r="J246" s="10"/>
      <c r="K246" s="9"/>
      <c r="L246" s="9"/>
      <c r="M246" s="9"/>
    </row>
    <row x14ac:dyDescent="0.25" r="247" customHeight="1" ht="18.75">
      <c r="A247" s="8"/>
      <c r="B247" s="9"/>
      <c r="C247" s="9"/>
      <c r="D247" s="9"/>
      <c r="E247" s="9"/>
      <c r="F247" s="8"/>
      <c r="G247" s="8"/>
      <c r="H247" s="10"/>
      <c r="I247" s="10"/>
      <c r="J247" s="10"/>
      <c r="K247" s="9"/>
      <c r="L247" s="9"/>
      <c r="M247" s="9"/>
    </row>
    <row x14ac:dyDescent="0.25" r="248" customHeight="1" ht="18.75">
      <c r="A248" s="8"/>
      <c r="B248" s="9"/>
      <c r="C248" s="9"/>
      <c r="D248" s="9"/>
      <c r="E248" s="9"/>
      <c r="F248" s="8"/>
      <c r="G248" s="8"/>
      <c r="H248" s="10"/>
      <c r="I248" s="10"/>
      <c r="J248" s="10"/>
      <c r="K248" s="9"/>
      <c r="L248" s="9"/>
      <c r="M248" s="9"/>
    </row>
    <row x14ac:dyDescent="0.25" r="249" customHeight="1" ht="18.75">
      <c r="A249" s="8"/>
      <c r="B249" s="9"/>
      <c r="C249" s="9"/>
      <c r="D249" s="9"/>
      <c r="E249" s="9"/>
      <c r="F249" s="8"/>
      <c r="G249" s="8"/>
      <c r="H249" s="10"/>
      <c r="I249" s="10"/>
      <c r="J249" s="10"/>
      <c r="K249" s="9"/>
      <c r="L249" s="9"/>
      <c r="M249" s="9"/>
    </row>
    <row x14ac:dyDescent="0.25" r="250" customHeight="1" ht="18.75">
      <c r="A250" s="8"/>
      <c r="B250" s="9"/>
      <c r="C250" s="9"/>
      <c r="D250" s="9"/>
      <c r="E250" s="9"/>
      <c r="F250" s="8"/>
      <c r="G250" s="8"/>
      <c r="H250" s="10"/>
      <c r="I250" s="10"/>
      <c r="J250" s="10"/>
      <c r="K250" s="9"/>
      <c r="L250" s="9"/>
      <c r="M250" s="9"/>
    </row>
    <row x14ac:dyDescent="0.25" r="251" customHeight="1" ht="18.75">
      <c r="A251" s="8"/>
      <c r="B251" s="9"/>
      <c r="C251" s="9"/>
      <c r="D251" s="9"/>
      <c r="E251" s="9"/>
      <c r="F251" s="8"/>
      <c r="G251" s="8"/>
      <c r="H251" s="10"/>
      <c r="I251" s="10"/>
      <c r="J251" s="10"/>
      <c r="K251" s="9"/>
      <c r="L251" s="9"/>
      <c r="M251" s="9"/>
    </row>
    <row x14ac:dyDescent="0.25" r="252" customHeight="1" ht="18.75">
      <c r="A252" s="8"/>
      <c r="B252" s="9"/>
      <c r="C252" s="9"/>
      <c r="D252" s="9"/>
      <c r="E252" s="9"/>
      <c r="F252" s="8"/>
      <c r="G252" s="8"/>
      <c r="H252" s="10"/>
      <c r="I252" s="10"/>
      <c r="J252" s="10"/>
      <c r="K252" s="9"/>
      <c r="L252" s="9"/>
      <c r="M252" s="9"/>
    </row>
    <row x14ac:dyDescent="0.25" r="253" customHeight="1" ht="18.75">
      <c r="A253" s="8"/>
      <c r="B253" s="9"/>
      <c r="C253" s="9"/>
      <c r="D253" s="9"/>
      <c r="E253" s="9"/>
      <c r="F253" s="8"/>
      <c r="G253" s="8"/>
      <c r="H253" s="10"/>
      <c r="I253" s="10"/>
      <c r="J253" s="10"/>
      <c r="K253" s="9"/>
      <c r="L253" s="9"/>
      <c r="M253" s="9"/>
    </row>
    <row x14ac:dyDescent="0.25" r="254" customHeight="1" ht="18.75">
      <c r="A254" s="8"/>
      <c r="B254" s="9"/>
      <c r="C254" s="9"/>
      <c r="D254" s="9"/>
      <c r="E254" s="9"/>
      <c r="F254" s="8"/>
      <c r="G254" s="8"/>
      <c r="H254" s="10"/>
      <c r="I254" s="10"/>
      <c r="J254" s="10"/>
      <c r="K254" s="9"/>
      <c r="L254" s="9"/>
      <c r="M254" s="9"/>
    </row>
    <row x14ac:dyDescent="0.25" r="255" customHeight="1" ht="18.75">
      <c r="A255" s="8"/>
      <c r="B255" s="9"/>
      <c r="C255" s="9"/>
      <c r="D255" s="9"/>
      <c r="E255" s="9"/>
      <c r="F255" s="8"/>
      <c r="G255" s="8"/>
      <c r="H255" s="10"/>
      <c r="I255" s="10"/>
      <c r="J255" s="10"/>
      <c r="K255" s="9"/>
      <c r="L255" s="9"/>
      <c r="M255" s="9"/>
    </row>
    <row x14ac:dyDescent="0.25" r="256" customHeight="1" ht="18.75">
      <c r="A256" s="8"/>
      <c r="B256" s="9"/>
      <c r="C256" s="9"/>
      <c r="D256" s="9"/>
      <c r="E256" s="9"/>
      <c r="F256" s="8"/>
      <c r="G256" s="8"/>
      <c r="H256" s="10"/>
      <c r="I256" s="10"/>
      <c r="J256" s="10"/>
      <c r="K256" s="9"/>
      <c r="L256" s="9"/>
      <c r="M256" s="9"/>
    </row>
    <row x14ac:dyDescent="0.25" r="257" customHeight="1" ht="18.75">
      <c r="A257" s="8"/>
      <c r="B257" s="9"/>
      <c r="C257" s="9"/>
      <c r="D257" s="9"/>
      <c r="E257" s="9"/>
      <c r="F257" s="8"/>
      <c r="G257" s="8"/>
      <c r="H257" s="10"/>
      <c r="I257" s="10"/>
      <c r="J257" s="10"/>
      <c r="K257" s="9"/>
      <c r="L257" s="9"/>
      <c r="M257" s="9"/>
    </row>
    <row x14ac:dyDescent="0.25" r="258" customHeight="1" ht="18.75">
      <c r="A258" s="8"/>
      <c r="B258" s="9"/>
      <c r="C258" s="9"/>
      <c r="D258" s="9"/>
      <c r="E258" s="9"/>
      <c r="F258" s="8"/>
      <c r="G258" s="8"/>
      <c r="H258" s="10"/>
      <c r="I258" s="10"/>
      <c r="J258" s="10"/>
      <c r="K258" s="9"/>
      <c r="L258" s="9"/>
      <c r="M258" s="9"/>
    </row>
    <row x14ac:dyDescent="0.25" r="259" customHeight="1" ht="18.75">
      <c r="A259" s="8"/>
      <c r="B259" s="9"/>
      <c r="C259" s="9"/>
      <c r="D259" s="9"/>
      <c r="E259" s="9"/>
      <c r="F259" s="8"/>
      <c r="G259" s="8"/>
      <c r="H259" s="10"/>
      <c r="I259" s="10"/>
      <c r="J259" s="10"/>
      <c r="K259" s="9"/>
      <c r="L259" s="9"/>
      <c r="M259" s="9"/>
    </row>
    <row x14ac:dyDescent="0.25" r="260" customHeight="1" ht="18.75">
      <c r="A260" s="8"/>
      <c r="B260" s="9"/>
      <c r="C260" s="9"/>
      <c r="D260" s="9"/>
      <c r="E260" s="9"/>
      <c r="F260" s="8"/>
      <c r="G260" s="8"/>
      <c r="H260" s="10"/>
      <c r="I260" s="10"/>
      <c r="J260" s="10"/>
      <c r="K260" s="9"/>
      <c r="L260" s="9"/>
      <c r="M260" s="9"/>
    </row>
    <row x14ac:dyDescent="0.25" r="261" customHeight="1" ht="18.75">
      <c r="A261" s="8"/>
      <c r="B261" s="9"/>
      <c r="C261" s="9"/>
      <c r="D261" s="9"/>
      <c r="E261" s="9"/>
      <c r="F261" s="8"/>
      <c r="G261" s="8"/>
      <c r="H261" s="10"/>
      <c r="I261" s="10"/>
      <c r="J261" s="10"/>
      <c r="K261" s="9"/>
      <c r="L261" s="9"/>
      <c r="M261" s="9"/>
    </row>
    <row x14ac:dyDescent="0.25" r="262" customHeight="1" ht="18.75">
      <c r="A262" s="8"/>
      <c r="B262" s="9"/>
      <c r="C262" s="9"/>
      <c r="D262" s="9"/>
      <c r="E262" s="9"/>
      <c r="F262" s="8"/>
      <c r="G262" s="8"/>
      <c r="H262" s="10"/>
      <c r="I262" s="10"/>
      <c r="J262" s="10"/>
      <c r="K262" s="9"/>
      <c r="L262" s="9"/>
      <c r="M262" s="9"/>
    </row>
    <row x14ac:dyDescent="0.25" r="263" customHeight="1" ht="18.75">
      <c r="A263" s="8"/>
      <c r="B263" s="9"/>
      <c r="C263" s="9"/>
      <c r="D263" s="9"/>
      <c r="E263" s="9"/>
      <c r="F263" s="8"/>
      <c r="G263" s="8"/>
      <c r="H263" s="10"/>
      <c r="I263" s="10"/>
      <c r="J263" s="10"/>
      <c r="K263" s="9"/>
      <c r="L263" s="9"/>
      <c r="M263" s="9"/>
    </row>
    <row x14ac:dyDescent="0.25" r="264" customHeight="1" ht="18.75">
      <c r="A264" s="8"/>
      <c r="B264" s="9"/>
      <c r="C264" s="9"/>
      <c r="D264" s="9"/>
      <c r="E264" s="9"/>
      <c r="F264" s="8"/>
      <c r="G264" s="8"/>
      <c r="H264" s="10"/>
      <c r="I264" s="10"/>
      <c r="J264" s="10"/>
      <c r="K264" s="9"/>
      <c r="L264" s="9"/>
      <c r="M264" s="9"/>
    </row>
    <row x14ac:dyDescent="0.25" r="265" customHeight="1" ht="18.75">
      <c r="A265" s="8"/>
      <c r="B265" s="9"/>
      <c r="C265" s="9"/>
      <c r="D265" s="9"/>
      <c r="E265" s="9"/>
      <c r="F265" s="8"/>
      <c r="G265" s="8"/>
      <c r="H265" s="10"/>
      <c r="I265" s="10"/>
      <c r="J265" s="10"/>
      <c r="K265" s="9"/>
      <c r="L265" s="9"/>
      <c r="M265" s="9"/>
    </row>
    <row x14ac:dyDescent="0.25" r="266" customHeight="1" ht="18.75">
      <c r="A266" s="8"/>
      <c r="B266" s="9"/>
      <c r="C266" s="9"/>
      <c r="D266" s="9"/>
      <c r="E266" s="9"/>
      <c r="F266" s="8"/>
      <c r="G266" s="8"/>
      <c r="H266" s="10"/>
      <c r="I266" s="10"/>
      <c r="J266" s="10"/>
      <c r="K266" s="9"/>
      <c r="L266" s="9"/>
      <c r="M266" s="9"/>
    </row>
    <row x14ac:dyDescent="0.25" r="267" customHeight="1" ht="18.75">
      <c r="A267" s="8"/>
      <c r="B267" s="9"/>
      <c r="C267" s="9"/>
      <c r="D267" s="9"/>
      <c r="E267" s="9"/>
      <c r="F267" s="8"/>
      <c r="G267" s="8"/>
      <c r="H267" s="10"/>
      <c r="I267" s="10"/>
      <c r="J267" s="10"/>
      <c r="K267" s="9"/>
      <c r="L267" s="9"/>
      <c r="M267" s="9"/>
    </row>
    <row x14ac:dyDescent="0.25" r="268" customHeight="1" ht="18.75">
      <c r="A268" s="8"/>
      <c r="B268" s="9"/>
      <c r="C268" s="9"/>
      <c r="D268" s="9"/>
      <c r="E268" s="9"/>
      <c r="F268" s="8"/>
      <c r="G268" s="8"/>
      <c r="H268" s="10"/>
      <c r="I268" s="10"/>
      <c r="J268" s="10"/>
      <c r="K268" s="9"/>
      <c r="L268" s="9"/>
      <c r="M268" s="9"/>
    </row>
    <row x14ac:dyDescent="0.25" r="269" customHeight="1" ht="18.75">
      <c r="A269" s="8"/>
      <c r="B269" s="9"/>
      <c r="C269" s="9"/>
      <c r="D269" s="9"/>
      <c r="E269" s="9"/>
      <c r="F269" s="8"/>
      <c r="G269" s="8"/>
      <c r="H269" s="10"/>
      <c r="I269" s="10"/>
      <c r="J269" s="10"/>
      <c r="K269" s="9"/>
      <c r="L269" s="9"/>
      <c r="M269" s="9"/>
    </row>
    <row x14ac:dyDescent="0.25" r="270" customHeight="1" ht="18.75">
      <c r="A270" s="8"/>
      <c r="B270" s="9"/>
      <c r="C270" s="9"/>
      <c r="D270" s="9"/>
      <c r="E270" s="9"/>
      <c r="F270" s="8"/>
      <c r="G270" s="8"/>
      <c r="H270" s="10"/>
      <c r="I270" s="10"/>
      <c r="J270" s="10"/>
      <c r="K270" s="9"/>
      <c r="L270" s="9"/>
      <c r="M270" s="9"/>
    </row>
    <row x14ac:dyDescent="0.25" r="271" customHeight="1" ht="18.75">
      <c r="A271" s="8"/>
      <c r="B271" s="9"/>
      <c r="C271" s="9"/>
      <c r="D271" s="9"/>
      <c r="E271" s="9"/>
      <c r="F271" s="8"/>
      <c r="G271" s="8"/>
      <c r="H271" s="10"/>
      <c r="I271" s="10"/>
      <c r="J271" s="10"/>
      <c r="K271" s="9"/>
      <c r="L271" s="9"/>
      <c r="M271" s="9"/>
    </row>
    <row x14ac:dyDescent="0.25" r="272" customHeight="1" ht="18.75">
      <c r="A272" s="8"/>
      <c r="B272" s="9"/>
      <c r="C272" s="9"/>
      <c r="D272" s="9"/>
      <c r="E272" s="9"/>
      <c r="F272" s="8"/>
      <c r="G272" s="8"/>
      <c r="H272" s="10"/>
      <c r="I272" s="10"/>
      <c r="J272" s="10"/>
      <c r="K272" s="9"/>
      <c r="L272" s="9"/>
      <c r="M272" s="9"/>
    </row>
    <row x14ac:dyDescent="0.25" r="273" customHeight="1" ht="18.75">
      <c r="A273" s="8"/>
      <c r="B273" s="9"/>
      <c r="C273" s="9"/>
      <c r="D273" s="9"/>
      <c r="E273" s="9"/>
      <c r="F273" s="8"/>
      <c r="G273" s="8"/>
      <c r="H273" s="10"/>
      <c r="I273" s="10"/>
      <c r="J273" s="10"/>
      <c r="K273" s="9"/>
      <c r="L273" s="9"/>
      <c r="M273" s="9"/>
    </row>
    <row x14ac:dyDescent="0.25" r="274" customHeight="1" ht="18.75">
      <c r="A274" s="8"/>
      <c r="B274" s="9"/>
      <c r="C274" s="9"/>
      <c r="D274" s="9"/>
      <c r="E274" s="9"/>
      <c r="F274" s="8"/>
      <c r="G274" s="8"/>
      <c r="H274" s="10"/>
      <c r="I274" s="10"/>
      <c r="J274" s="10"/>
      <c r="K274" s="9"/>
      <c r="L274" s="9"/>
      <c r="M274" s="9"/>
    </row>
    <row x14ac:dyDescent="0.25" r="275" customHeight="1" ht="18.75">
      <c r="A275" s="8"/>
      <c r="B275" s="9"/>
      <c r="C275" s="9"/>
      <c r="D275" s="9"/>
      <c r="E275" s="9"/>
      <c r="F275" s="8"/>
      <c r="G275" s="8"/>
      <c r="H275" s="10"/>
      <c r="I275" s="10"/>
      <c r="J275" s="10"/>
      <c r="K275" s="9"/>
      <c r="L275" s="9"/>
      <c r="M275" s="9"/>
    </row>
    <row x14ac:dyDescent="0.25" r="276" customHeight="1" ht="18.75">
      <c r="A276" s="8"/>
      <c r="B276" s="9"/>
      <c r="C276" s="9"/>
      <c r="D276" s="9"/>
      <c r="E276" s="9"/>
      <c r="F276" s="8"/>
      <c r="G276" s="8"/>
      <c r="H276" s="10"/>
      <c r="I276" s="10"/>
      <c r="J276" s="10"/>
      <c r="K276" s="9"/>
      <c r="L276" s="9"/>
      <c r="M276" s="9"/>
    </row>
    <row x14ac:dyDescent="0.25" r="277" customHeight="1" ht="18.75">
      <c r="A277" s="8"/>
      <c r="B277" s="9"/>
      <c r="C277" s="9"/>
      <c r="D277" s="9"/>
      <c r="E277" s="9"/>
      <c r="F277" s="8"/>
      <c r="G277" s="8"/>
      <c r="H277" s="10"/>
      <c r="I277" s="10"/>
      <c r="J277" s="10"/>
      <c r="K277" s="9"/>
      <c r="L277" s="9"/>
      <c r="M277" s="9"/>
    </row>
    <row x14ac:dyDescent="0.25" r="278" customHeight="1" ht="18.75">
      <c r="A278" s="8"/>
      <c r="B278" s="9"/>
      <c r="C278" s="9"/>
      <c r="D278" s="9"/>
      <c r="E278" s="9"/>
      <c r="F278" s="8"/>
      <c r="G278" s="8"/>
      <c r="H278" s="10"/>
      <c r="I278" s="10"/>
      <c r="J278" s="10"/>
      <c r="K278" s="9"/>
      <c r="L278" s="9"/>
      <c r="M278" s="9"/>
    </row>
    <row x14ac:dyDescent="0.25" r="279" customHeight="1" ht="18.75">
      <c r="A279" s="8"/>
      <c r="B279" s="9"/>
      <c r="C279" s="9"/>
      <c r="D279" s="9"/>
      <c r="E279" s="9"/>
      <c r="F279" s="8"/>
      <c r="G279" s="8"/>
      <c r="H279" s="10"/>
      <c r="I279" s="10"/>
      <c r="J279" s="10"/>
      <c r="K279" s="9"/>
      <c r="L279" s="9"/>
      <c r="M279" s="9"/>
    </row>
    <row x14ac:dyDescent="0.25" r="280" customHeight="1" ht="18.75">
      <c r="A280" s="8"/>
      <c r="B280" s="9"/>
      <c r="C280" s="9"/>
      <c r="D280" s="9"/>
      <c r="E280" s="9"/>
      <c r="F280" s="8"/>
      <c r="G280" s="8"/>
      <c r="H280" s="10"/>
      <c r="I280" s="10"/>
      <c r="J280" s="10"/>
      <c r="K280" s="9"/>
      <c r="L280" s="9"/>
      <c r="M280" s="9"/>
    </row>
    <row x14ac:dyDescent="0.25" r="281" customHeight="1" ht="18.75">
      <c r="A281" s="8"/>
      <c r="B281" s="9"/>
      <c r="C281" s="9"/>
      <c r="D281" s="9"/>
      <c r="E281" s="9"/>
      <c r="F281" s="8"/>
      <c r="G281" s="8"/>
      <c r="H281" s="10"/>
      <c r="I281" s="10"/>
      <c r="J281" s="10"/>
      <c r="K281" s="9"/>
      <c r="L281" s="9"/>
      <c r="M281" s="9"/>
    </row>
    <row x14ac:dyDescent="0.25" r="282" customHeight="1" ht="18.75">
      <c r="A282" s="8"/>
      <c r="B282" s="9"/>
      <c r="C282" s="9"/>
      <c r="D282" s="9"/>
      <c r="E282" s="9"/>
      <c r="F282" s="8"/>
      <c r="G282" s="8"/>
      <c r="H282" s="10"/>
      <c r="I282" s="10"/>
      <c r="J282" s="10"/>
      <c r="K282" s="9"/>
      <c r="L282" s="9"/>
      <c r="M282" s="9"/>
    </row>
    <row x14ac:dyDescent="0.25" r="283" customHeight="1" ht="18.75">
      <c r="A283" s="8"/>
      <c r="B283" s="9"/>
      <c r="C283" s="9"/>
      <c r="D283" s="9"/>
      <c r="E283" s="9"/>
      <c r="F283" s="8"/>
      <c r="G283" s="8"/>
      <c r="H283" s="10"/>
      <c r="I283" s="10"/>
      <c r="J283" s="10"/>
      <c r="K283" s="9"/>
      <c r="L283" s="9"/>
      <c r="M283" s="9"/>
    </row>
    <row x14ac:dyDescent="0.25" r="284" customHeight="1" ht="18.75">
      <c r="A284" s="8"/>
      <c r="B284" s="9"/>
      <c r="C284" s="9"/>
      <c r="D284" s="9"/>
      <c r="E284" s="9"/>
      <c r="F284" s="8"/>
      <c r="G284" s="8"/>
      <c r="H284" s="10"/>
      <c r="I284" s="10"/>
      <c r="J284" s="10"/>
      <c r="K284" s="9"/>
      <c r="L284" s="9"/>
      <c r="M284" s="9"/>
    </row>
    <row x14ac:dyDescent="0.25" r="285" customHeight="1" ht="18.75">
      <c r="A285" s="8"/>
      <c r="B285" s="9"/>
      <c r="C285" s="9"/>
      <c r="D285" s="9"/>
      <c r="E285" s="9"/>
      <c r="F285" s="8"/>
      <c r="G285" s="8"/>
      <c r="H285" s="10"/>
      <c r="I285" s="10"/>
      <c r="J285" s="10"/>
      <c r="K285" s="9"/>
      <c r="L285" s="9"/>
      <c r="M285" s="9"/>
    </row>
    <row x14ac:dyDescent="0.25" r="286" customHeight="1" ht="18.75">
      <c r="A286" s="8"/>
      <c r="B286" s="9"/>
      <c r="C286" s="9"/>
      <c r="D286" s="9"/>
      <c r="E286" s="9"/>
      <c r="F286" s="8"/>
      <c r="G286" s="8"/>
      <c r="H286" s="10"/>
      <c r="I286" s="10"/>
      <c r="J286" s="10"/>
      <c r="K286" s="9"/>
      <c r="L286" s="9"/>
      <c r="M286" s="9"/>
    </row>
    <row x14ac:dyDescent="0.25" r="287" customHeight="1" ht="18.75">
      <c r="A287" s="8"/>
      <c r="B287" s="9"/>
      <c r="C287" s="9"/>
      <c r="D287" s="9"/>
      <c r="E287" s="9"/>
      <c r="F287" s="8"/>
      <c r="G287" s="8"/>
      <c r="H287" s="10"/>
      <c r="I287" s="10"/>
      <c r="J287" s="10"/>
      <c r="K287" s="9"/>
      <c r="L287" s="9"/>
      <c r="M287" s="9"/>
    </row>
    <row x14ac:dyDescent="0.25" r="288" customHeight="1" ht="18.75">
      <c r="A288" s="8"/>
      <c r="B288" s="9"/>
      <c r="C288" s="9"/>
      <c r="D288" s="9"/>
      <c r="E288" s="9"/>
      <c r="F288" s="8"/>
      <c r="G288" s="8"/>
      <c r="H288" s="10"/>
      <c r="I288" s="10"/>
      <c r="J288" s="10"/>
      <c r="K288" s="9"/>
      <c r="L288" s="9"/>
      <c r="M288" s="9"/>
    </row>
    <row x14ac:dyDescent="0.25" r="289" customHeight="1" ht="18.75">
      <c r="A289" s="8"/>
      <c r="B289" s="9"/>
      <c r="C289" s="9"/>
      <c r="D289" s="9"/>
      <c r="E289" s="9"/>
      <c r="F289" s="8"/>
      <c r="G289" s="8"/>
      <c r="H289" s="10"/>
      <c r="I289" s="10"/>
      <c r="J289" s="10"/>
      <c r="K289" s="9"/>
      <c r="L289" s="9"/>
      <c r="M289" s="9"/>
    </row>
    <row x14ac:dyDescent="0.25" r="290" customHeight="1" ht="18.75">
      <c r="A290" s="8"/>
      <c r="B290" s="9"/>
      <c r="C290" s="9"/>
      <c r="D290" s="9"/>
      <c r="E290" s="9"/>
      <c r="F290" s="8"/>
      <c r="G290" s="8"/>
      <c r="H290" s="10"/>
      <c r="I290" s="10"/>
      <c r="J290" s="10"/>
      <c r="K290" s="9"/>
      <c r="L290" s="9"/>
      <c r="M290" s="9"/>
    </row>
    <row x14ac:dyDescent="0.25" r="291" customHeight="1" ht="18.75">
      <c r="A291" s="8"/>
      <c r="B291" s="9"/>
      <c r="C291" s="9"/>
      <c r="D291" s="9"/>
      <c r="E291" s="9"/>
      <c r="F291" s="8"/>
      <c r="G291" s="8"/>
      <c r="H291" s="10"/>
      <c r="I291" s="10"/>
      <c r="J291" s="10"/>
      <c r="K291" s="9"/>
      <c r="L291" s="9"/>
      <c r="M291" s="9"/>
    </row>
    <row x14ac:dyDescent="0.25" r="292" customHeight="1" ht="18.75">
      <c r="A292" s="8"/>
      <c r="B292" s="9"/>
      <c r="C292" s="9"/>
      <c r="D292" s="9"/>
      <c r="E292" s="9"/>
      <c r="F292" s="8"/>
      <c r="G292" s="8"/>
      <c r="H292" s="10"/>
      <c r="I292" s="10"/>
      <c r="J292" s="10"/>
      <c r="K292" s="9"/>
      <c r="L292" s="9"/>
      <c r="M292" s="9"/>
    </row>
    <row x14ac:dyDescent="0.25" r="293" customHeight="1" ht="18.75">
      <c r="A293" s="8"/>
      <c r="B293" s="9"/>
      <c r="C293" s="9"/>
      <c r="D293" s="9"/>
      <c r="E293" s="9"/>
      <c r="F293" s="8"/>
      <c r="G293" s="8"/>
      <c r="H293" s="10"/>
      <c r="I293" s="10"/>
      <c r="J293" s="10"/>
      <c r="K293" s="9"/>
      <c r="L293" s="9"/>
      <c r="M293" s="9"/>
    </row>
    <row x14ac:dyDescent="0.25" r="294" customHeight="1" ht="18.75">
      <c r="A294" s="8"/>
      <c r="B294" s="9"/>
      <c r="C294" s="9"/>
      <c r="D294" s="9"/>
      <c r="E294" s="9"/>
      <c r="F294" s="8"/>
      <c r="G294" s="8"/>
      <c r="H294" s="10"/>
      <c r="I294" s="10"/>
      <c r="J294" s="10"/>
      <c r="K294" s="9"/>
      <c r="L294" s="9"/>
      <c r="M294" s="9"/>
    </row>
    <row x14ac:dyDescent="0.25" r="295" customHeight="1" ht="18.75">
      <c r="A295" s="8"/>
      <c r="B295" s="9"/>
      <c r="C295" s="9"/>
      <c r="D295" s="9"/>
      <c r="E295" s="9"/>
      <c r="F295" s="8"/>
      <c r="G295" s="8"/>
      <c r="H295" s="10"/>
      <c r="I295" s="10"/>
      <c r="J295" s="10"/>
      <c r="K295" s="9"/>
      <c r="L295" s="9"/>
      <c r="M295" s="9"/>
    </row>
    <row x14ac:dyDescent="0.25" r="296" customHeight="1" ht="18.75">
      <c r="A296" s="8"/>
      <c r="B296" s="9"/>
      <c r="C296" s="9"/>
      <c r="D296" s="9"/>
      <c r="E296" s="9"/>
      <c r="F296" s="8"/>
      <c r="G296" s="8"/>
      <c r="H296" s="10"/>
      <c r="I296" s="10"/>
      <c r="J296" s="10"/>
      <c r="K296" s="9"/>
      <c r="L296" s="9"/>
      <c r="M296" s="9"/>
    </row>
    <row x14ac:dyDescent="0.25" r="297" customHeight="1" ht="18.75">
      <c r="A297" s="8"/>
      <c r="B297" s="9"/>
      <c r="C297" s="9"/>
      <c r="D297" s="9"/>
      <c r="E297" s="9"/>
      <c r="F297" s="8"/>
      <c r="G297" s="8"/>
      <c r="H297" s="10"/>
      <c r="I297" s="10"/>
      <c r="J297" s="10"/>
      <c r="K297" s="9"/>
      <c r="L297" s="9"/>
      <c r="M297" s="9"/>
    </row>
    <row x14ac:dyDescent="0.25" r="298" customHeight="1" ht="18.75">
      <c r="A298" s="8"/>
      <c r="B298" s="9"/>
      <c r="C298" s="9"/>
      <c r="D298" s="9"/>
      <c r="E298" s="9"/>
      <c r="F298" s="8"/>
      <c r="G298" s="8"/>
      <c r="H298" s="10"/>
      <c r="I298" s="10"/>
      <c r="J298" s="10"/>
      <c r="K298" s="9"/>
      <c r="L298" s="9"/>
      <c r="M298" s="9"/>
    </row>
    <row x14ac:dyDescent="0.25" r="299" customHeight="1" ht="18.75">
      <c r="A299" s="8"/>
      <c r="B299" s="9"/>
      <c r="C299" s="9"/>
      <c r="D299" s="9"/>
      <c r="E299" s="9"/>
      <c r="F299" s="8"/>
      <c r="G299" s="8"/>
      <c r="H299" s="10"/>
      <c r="I299" s="10"/>
      <c r="J299" s="10"/>
      <c r="K299" s="9"/>
      <c r="L299" s="9"/>
      <c r="M299" s="9"/>
    </row>
    <row x14ac:dyDescent="0.25" r="300" customHeight="1" ht="18.75">
      <c r="A300" s="8"/>
      <c r="B300" s="9"/>
      <c r="C300" s="9"/>
      <c r="D300" s="9"/>
      <c r="E300" s="9"/>
      <c r="F300" s="8"/>
      <c r="G300" s="8"/>
      <c r="H300" s="10"/>
      <c r="I300" s="10"/>
      <c r="J300" s="10"/>
      <c r="K300" s="9"/>
      <c r="L300" s="9"/>
      <c r="M300" s="9"/>
    </row>
    <row x14ac:dyDescent="0.25" r="301" customHeight="1" ht="18.75">
      <c r="A301" s="8"/>
      <c r="B301" s="9"/>
      <c r="C301" s="9"/>
      <c r="D301" s="9"/>
      <c r="E301" s="9"/>
      <c r="F301" s="8"/>
      <c r="G301" s="8"/>
      <c r="H301" s="10"/>
      <c r="I301" s="10"/>
      <c r="J301" s="10"/>
      <c r="K301" s="9"/>
      <c r="L301" s="9"/>
      <c r="M301" s="9"/>
    </row>
    <row x14ac:dyDescent="0.25" r="302" customHeight="1" ht="18.75">
      <c r="A302" s="8"/>
      <c r="B302" s="9"/>
      <c r="C302" s="9"/>
      <c r="D302" s="9"/>
      <c r="E302" s="9"/>
      <c r="F302" s="8"/>
      <c r="G302" s="8"/>
      <c r="H302" s="10"/>
      <c r="I302" s="10"/>
      <c r="J302" s="10"/>
      <c r="K302" s="9"/>
      <c r="L302" s="9"/>
      <c r="M302" s="9"/>
    </row>
    <row x14ac:dyDescent="0.25" r="303" customHeight="1" ht="18.75">
      <c r="A303" s="8"/>
      <c r="B303" s="9"/>
      <c r="C303" s="9"/>
      <c r="D303" s="9"/>
      <c r="E303" s="9"/>
      <c r="F303" s="8"/>
      <c r="G303" s="8"/>
      <c r="H303" s="10"/>
      <c r="I303" s="10"/>
      <c r="J303" s="10"/>
      <c r="K303" s="9"/>
      <c r="L303" s="9"/>
      <c r="M303" s="9"/>
    </row>
    <row x14ac:dyDescent="0.25" r="304" customHeight="1" ht="18.75">
      <c r="A304" s="8"/>
      <c r="B304" s="9"/>
      <c r="C304" s="9"/>
      <c r="D304" s="9"/>
      <c r="E304" s="9"/>
      <c r="F304" s="8"/>
      <c r="G304" s="8"/>
      <c r="H304" s="10"/>
      <c r="I304" s="10"/>
      <c r="J304" s="10"/>
      <c r="K304" s="9"/>
      <c r="L304" s="9"/>
      <c r="M304" s="9"/>
    </row>
    <row x14ac:dyDescent="0.25" r="305" customHeight="1" ht="18.75">
      <c r="A305" s="8"/>
      <c r="B305" s="9"/>
      <c r="C305" s="9"/>
      <c r="D305" s="9"/>
      <c r="E305" s="9"/>
      <c r="F305" s="8"/>
      <c r="G305" s="8"/>
      <c r="H305" s="10"/>
      <c r="I305" s="10"/>
      <c r="J305" s="10"/>
      <c r="K305" s="9"/>
      <c r="L305" s="9"/>
      <c r="M305" s="9"/>
    </row>
    <row x14ac:dyDescent="0.25" r="306" customHeight="1" ht="18.75">
      <c r="A306" s="8"/>
      <c r="B306" s="9"/>
      <c r="C306" s="9"/>
      <c r="D306" s="9"/>
      <c r="E306" s="9"/>
      <c r="F306" s="8"/>
      <c r="G306" s="8"/>
      <c r="H306" s="10"/>
      <c r="I306" s="10"/>
      <c r="J306" s="10"/>
      <c r="K306" s="9"/>
      <c r="L306" s="9"/>
      <c r="M306" s="9"/>
    </row>
    <row x14ac:dyDescent="0.25" r="307" customHeight="1" ht="18.75">
      <c r="A307" s="8"/>
      <c r="B307" s="9"/>
      <c r="C307" s="9"/>
      <c r="D307" s="9"/>
      <c r="E307" s="9"/>
      <c r="F307" s="8"/>
      <c r="G307" s="8"/>
      <c r="H307" s="10"/>
      <c r="I307" s="10"/>
      <c r="J307" s="10"/>
      <c r="K307" s="9"/>
      <c r="L307" s="9"/>
      <c r="M307" s="9"/>
    </row>
    <row x14ac:dyDescent="0.25" r="308" customHeight="1" ht="18.75">
      <c r="A308" s="8"/>
      <c r="B308" s="9"/>
      <c r="C308" s="9"/>
      <c r="D308" s="9"/>
      <c r="E308" s="9"/>
      <c r="F308" s="8"/>
      <c r="G308" s="8"/>
      <c r="H308" s="10"/>
      <c r="I308" s="10"/>
      <c r="J308" s="10"/>
      <c r="K308" s="9"/>
      <c r="L308" s="9"/>
      <c r="M308" s="9"/>
    </row>
    <row x14ac:dyDescent="0.25" r="309" customHeight="1" ht="18.75">
      <c r="A309" s="8"/>
      <c r="B309" s="9"/>
      <c r="C309" s="9"/>
      <c r="D309" s="9"/>
      <c r="E309" s="9"/>
      <c r="F309" s="8"/>
      <c r="G309" s="8"/>
      <c r="H309" s="10"/>
      <c r="I309" s="10"/>
      <c r="J309" s="10"/>
      <c r="K309" s="9"/>
      <c r="L309" s="9"/>
      <c r="M309" s="9"/>
    </row>
    <row x14ac:dyDescent="0.25" r="310" customHeight="1" ht="18.75">
      <c r="A310" s="8"/>
      <c r="B310" s="9"/>
      <c r="C310" s="9"/>
      <c r="D310" s="9"/>
      <c r="E310" s="9"/>
      <c r="F310" s="8"/>
      <c r="G310" s="8"/>
      <c r="H310" s="10"/>
      <c r="I310" s="10"/>
      <c r="J310" s="10"/>
      <c r="K310" s="9"/>
      <c r="L310" s="9"/>
      <c r="M310" s="9"/>
    </row>
    <row x14ac:dyDescent="0.25" r="311" customHeight="1" ht="18.75">
      <c r="A311" s="8"/>
      <c r="B311" s="9"/>
      <c r="C311" s="9"/>
      <c r="D311" s="9"/>
      <c r="E311" s="9"/>
      <c r="F311" s="8"/>
      <c r="G311" s="8"/>
      <c r="H311" s="10"/>
      <c r="I311" s="10"/>
      <c r="J311" s="10"/>
      <c r="K311" s="9"/>
      <c r="L311" s="9"/>
      <c r="M311" s="9"/>
    </row>
    <row x14ac:dyDescent="0.25" r="312" customHeight="1" ht="18.75">
      <c r="A312" s="8"/>
      <c r="B312" s="9"/>
      <c r="C312" s="9"/>
      <c r="D312" s="9"/>
      <c r="E312" s="9"/>
      <c r="F312" s="8"/>
      <c r="G312" s="8"/>
      <c r="H312" s="10"/>
      <c r="I312" s="10"/>
      <c r="J312" s="10"/>
      <c r="K312" s="9"/>
      <c r="L312" s="9"/>
      <c r="M312" s="9"/>
    </row>
    <row x14ac:dyDescent="0.25" r="313" customHeight="1" ht="18.75">
      <c r="A313" s="8"/>
      <c r="B313" s="9"/>
      <c r="C313" s="9"/>
      <c r="D313" s="9"/>
      <c r="E313" s="9"/>
      <c r="F313" s="8"/>
      <c r="G313" s="8"/>
      <c r="H313" s="10"/>
      <c r="I313" s="10"/>
      <c r="J313" s="10"/>
      <c r="K313" s="9"/>
      <c r="L313" s="9"/>
      <c r="M313" s="9"/>
    </row>
    <row x14ac:dyDescent="0.25" r="314" customHeight="1" ht="18.75">
      <c r="A314" s="8"/>
      <c r="B314" s="9"/>
      <c r="C314" s="9"/>
      <c r="D314" s="9"/>
      <c r="E314" s="9"/>
      <c r="F314" s="8"/>
      <c r="G314" s="8"/>
      <c r="H314" s="10"/>
      <c r="I314" s="10"/>
      <c r="J314" s="10"/>
      <c r="K314" s="9"/>
      <c r="L314" s="9"/>
      <c r="M314" s="9"/>
    </row>
    <row x14ac:dyDescent="0.25" r="315" customHeight="1" ht="18.75">
      <c r="A315" s="8"/>
      <c r="B315" s="9"/>
      <c r="C315" s="9"/>
      <c r="D315" s="9"/>
      <c r="E315" s="9"/>
      <c r="F315" s="8"/>
      <c r="G315" s="8"/>
      <c r="H315" s="10"/>
      <c r="I315" s="10"/>
      <c r="J315" s="10"/>
      <c r="K315" s="9"/>
      <c r="L315" s="9"/>
      <c r="M315" s="9"/>
    </row>
    <row x14ac:dyDescent="0.25" r="316" customHeight="1" ht="18.75">
      <c r="A316" s="8"/>
      <c r="B316" s="9"/>
      <c r="C316" s="9"/>
      <c r="D316" s="9"/>
      <c r="E316" s="9"/>
      <c r="F316" s="8"/>
      <c r="G316" s="8"/>
      <c r="H316" s="10"/>
      <c r="I316" s="10"/>
      <c r="J316" s="10"/>
      <c r="K316" s="9"/>
      <c r="L316" s="9"/>
      <c r="M316" s="9"/>
    </row>
    <row x14ac:dyDescent="0.25" r="317" customHeight="1" ht="18.75">
      <c r="A317" s="8"/>
      <c r="B317" s="9"/>
      <c r="C317" s="9"/>
      <c r="D317" s="9"/>
      <c r="E317" s="9"/>
      <c r="F317" s="8"/>
      <c r="G317" s="8"/>
      <c r="H317" s="10"/>
      <c r="I317" s="10"/>
      <c r="J317" s="10"/>
      <c r="K317" s="9"/>
      <c r="L317" s="9"/>
      <c r="M317" s="9"/>
    </row>
    <row x14ac:dyDescent="0.25" r="318" customHeight="1" ht="18.75">
      <c r="A318" s="8"/>
      <c r="B318" s="9"/>
      <c r="C318" s="9"/>
      <c r="D318" s="9"/>
      <c r="E318" s="9"/>
      <c r="F318" s="8"/>
      <c r="G318" s="8"/>
      <c r="H318" s="10"/>
      <c r="I318" s="10"/>
      <c r="J318" s="10"/>
      <c r="K318" s="9"/>
      <c r="L318" s="9"/>
      <c r="M318" s="9"/>
    </row>
    <row x14ac:dyDescent="0.25" r="319" customHeight="1" ht="18.75">
      <c r="A319" s="8"/>
      <c r="B319" s="9"/>
      <c r="C319" s="9"/>
      <c r="D319" s="9"/>
      <c r="E319" s="9"/>
      <c r="F319" s="8"/>
      <c r="G319" s="8"/>
      <c r="H319" s="10"/>
      <c r="I319" s="10"/>
      <c r="J319" s="10"/>
      <c r="K319" s="9"/>
      <c r="L319" s="9"/>
      <c r="M319" s="9"/>
    </row>
    <row x14ac:dyDescent="0.25" r="320" customHeight="1" ht="18.75">
      <c r="A320" s="8"/>
      <c r="B320" s="9"/>
      <c r="C320" s="9"/>
      <c r="D320" s="9"/>
      <c r="E320" s="9"/>
      <c r="F320" s="8"/>
      <c r="G320" s="8"/>
      <c r="H320" s="10"/>
      <c r="I320" s="10"/>
      <c r="J320" s="10"/>
      <c r="K320" s="9"/>
      <c r="L320" s="9"/>
      <c r="M320" s="9"/>
    </row>
    <row x14ac:dyDescent="0.25" r="321" customHeight="1" ht="18.75">
      <c r="A321" s="8"/>
      <c r="B321" s="9"/>
      <c r="C321" s="9"/>
      <c r="D321" s="9"/>
      <c r="E321" s="9"/>
      <c r="F321" s="8"/>
      <c r="G321" s="8"/>
      <c r="H321" s="10"/>
      <c r="I321" s="10"/>
      <c r="J321" s="10"/>
      <c r="K321" s="9"/>
      <c r="L321" s="9"/>
      <c r="M321" s="9"/>
    </row>
    <row x14ac:dyDescent="0.25" r="322" customHeight="1" ht="18.75">
      <c r="A322" s="8"/>
      <c r="B322" s="9"/>
      <c r="C322" s="9"/>
      <c r="D322" s="9"/>
      <c r="E322" s="9"/>
      <c r="F322" s="8"/>
      <c r="G322" s="8"/>
      <c r="H322" s="10"/>
      <c r="I322" s="10"/>
      <c r="J322" s="10"/>
      <c r="K322" s="9"/>
      <c r="L322" s="9"/>
      <c r="M322" s="9"/>
    </row>
    <row x14ac:dyDescent="0.25" r="323" customHeight="1" ht="18.75">
      <c r="A323" s="8"/>
      <c r="B323" s="9"/>
      <c r="C323" s="9"/>
      <c r="D323" s="9"/>
      <c r="E323" s="9"/>
      <c r="F323" s="8"/>
      <c r="G323" s="8"/>
      <c r="H323" s="10"/>
      <c r="I323" s="10"/>
      <c r="J323" s="10"/>
      <c r="K323" s="9"/>
      <c r="L323" s="9"/>
      <c r="M323" s="9"/>
    </row>
    <row x14ac:dyDescent="0.25" r="324" customHeight="1" ht="18.75">
      <c r="A324" s="8"/>
      <c r="B324" s="9"/>
      <c r="C324" s="9"/>
      <c r="D324" s="9"/>
      <c r="E324" s="9"/>
      <c r="F324" s="8"/>
      <c r="G324" s="8"/>
      <c r="H324" s="10"/>
      <c r="I324" s="10"/>
      <c r="J324" s="10"/>
      <c r="K324" s="9"/>
      <c r="L324" s="9"/>
      <c r="M324" s="9"/>
    </row>
    <row x14ac:dyDescent="0.25" r="325" customHeight="1" ht="18.75">
      <c r="A325" s="8"/>
      <c r="B325" s="9"/>
      <c r="C325" s="9"/>
      <c r="D325" s="9"/>
      <c r="E325" s="9"/>
      <c r="F325" s="8"/>
      <c r="G325" s="8"/>
      <c r="H325" s="10"/>
      <c r="I325" s="10"/>
      <c r="J325" s="10"/>
      <c r="K325" s="9"/>
      <c r="L325" s="9"/>
      <c r="M325" s="9"/>
    </row>
    <row x14ac:dyDescent="0.25" r="326" customHeight="1" ht="18.75">
      <c r="A326" s="8"/>
      <c r="B326" s="9"/>
      <c r="C326" s="9"/>
      <c r="D326" s="9"/>
      <c r="E326" s="9"/>
      <c r="F326" s="8"/>
      <c r="G326" s="8"/>
      <c r="H326" s="10"/>
      <c r="I326" s="10"/>
      <c r="J326" s="10"/>
      <c r="K326" s="9"/>
      <c r="L326" s="9"/>
      <c r="M326" s="9"/>
    </row>
    <row x14ac:dyDescent="0.25" r="327" customHeight="1" ht="18.75">
      <c r="A327" s="8"/>
      <c r="B327" s="9"/>
      <c r="C327" s="9"/>
      <c r="D327" s="9"/>
      <c r="E327" s="9"/>
      <c r="F327" s="8"/>
      <c r="G327" s="8"/>
      <c r="H327" s="10"/>
      <c r="I327" s="10"/>
      <c r="J327" s="10"/>
      <c r="K327" s="9"/>
      <c r="L327" s="9"/>
      <c r="M327" s="9"/>
    </row>
    <row x14ac:dyDescent="0.25" r="328" customHeight="1" ht="18.75">
      <c r="A328" s="8"/>
      <c r="B328" s="9"/>
      <c r="C328" s="9"/>
      <c r="D328" s="9"/>
      <c r="E328" s="9"/>
      <c r="F328" s="8"/>
      <c r="G328" s="8"/>
      <c r="H328" s="10"/>
      <c r="I328" s="10"/>
      <c r="J328" s="10"/>
      <c r="K328" s="9"/>
      <c r="L328" s="9"/>
      <c r="M328" s="9"/>
    </row>
    <row x14ac:dyDescent="0.25" r="329" customHeight="1" ht="18.75">
      <c r="A329" s="8"/>
      <c r="B329" s="9"/>
      <c r="C329" s="9"/>
      <c r="D329" s="9"/>
      <c r="E329" s="9"/>
      <c r="F329" s="8"/>
      <c r="G329" s="8"/>
      <c r="H329" s="10"/>
      <c r="I329" s="10"/>
      <c r="J329" s="10"/>
      <c r="K329" s="9"/>
      <c r="L329" s="9"/>
      <c r="M329" s="9"/>
    </row>
    <row x14ac:dyDescent="0.25" r="330" customHeight="1" ht="18.75">
      <c r="A330" s="8"/>
      <c r="B330" s="9"/>
      <c r="C330" s="9"/>
      <c r="D330" s="9"/>
      <c r="E330" s="9"/>
      <c r="F330" s="8"/>
      <c r="G330" s="8"/>
      <c r="H330" s="10"/>
      <c r="I330" s="10"/>
      <c r="J330" s="10"/>
      <c r="K330" s="9"/>
      <c r="L330" s="9"/>
      <c r="M330" s="9"/>
    </row>
    <row x14ac:dyDescent="0.25" r="331" customHeight="1" ht="18.75">
      <c r="A331" s="8"/>
      <c r="B331" s="9"/>
      <c r="C331" s="9"/>
      <c r="D331" s="9"/>
      <c r="E331" s="9"/>
      <c r="F331" s="8"/>
      <c r="G331" s="8"/>
      <c r="H331" s="10"/>
      <c r="I331" s="10"/>
      <c r="J331" s="10"/>
      <c r="K331" s="9"/>
      <c r="L331" s="9"/>
      <c r="M331" s="9"/>
    </row>
    <row x14ac:dyDescent="0.25" r="332" customHeight="1" ht="18.75">
      <c r="A332" s="8"/>
      <c r="B332" s="9"/>
      <c r="C332" s="9"/>
      <c r="D332" s="9"/>
      <c r="E332" s="9"/>
      <c r="F332" s="8"/>
      <c r="G332" s="8"/>
      <c r="H332" s="10"/>
      <c r="I332" s="10"/>
      <c r="J332" s="10"/>
      <c r="K332" s="9"/>
      <c r="L332" s="9"/>
      <c r="M332" s="9"/>
    </row>
    <row x14ac:dyDescent="0.25" r="333" customHeight="1" ht="18.75">
      <c r="A333" s="8"/>
      <c r="B333" s="9"/>
      <c r="C333" s="9"/>
      <c r="D333" s="9"/>
      <c r="E333" s="9"/>
      <c r="F333" s="8"/>
      <c r="G333" s="8"/>
      <c r="H333" s="10"/>
      <c r="I333" s="10"/>
      <c r="J333" s="10"/>
      <c r="K333" s="9"/>
      <c r="L333" s="9"/>
      <c r="M333" s="9"/>
    </row>
    <row x14ac:dyDescent="0.25" r="334" customHeight="1" ht="18.75">
      <c r="A334" s="8"/>
      <c r="B334" s="9"/>
      <c r="C334" s="9"/>
      <c r="D334" s="9"/>
      <c r="E334" s="9"/>
      <c r="F334" s="8"/>
      <c r="G334" s="8"/>
      <c r="H334" s="10"/>
      <c r="I334" s="10"/>
      <c r="J334" s="10"/>
      <c r="K334" s="9"/>
      <c r="L334" s="9"/>
      <c r="M334" s="9"/>
    </row>
    <row x14ac:dyDescent="0.25" r="335" customHeight="1" ht="18.75">
      <c r="A335" s="8"/>
      <c r="B335" s="9"/>
      <c r="C335" s="9"/>
      <c r="D335" s="9"/>
      <c r="E335" s="9"/>
      <c r="F335" s="8"/>
      <c r="G335" s="8"/>
      <c r="H335" s="10"/>
      <c r="I335" s="10"/>
      <c r="J335" s="10"/>
      <c r="K335" s="9"/>
      <c r="L335" s="9"/>
      <c r="M335" s="9"/>
    </row>
    <row x14ac:dyDescent="0.25" r="336" customHeight="1" ht="18.75">
      <c r="A336" s="8"/>
      <c r="B336" s="9"/>
      <c r="C336" s="9"/>
      <c r="D336" s="9"/>
      <c r="E336" s="9"/>
      <c r="F336" s="8"/>
      <c r="G336" s="8"/>
      <c r="H336" s="10"/>
      <c r="I336" s="10"/>
      <c r="J336" s="10"/>
      <c r="K336" s="9"/>
      <c r="L336" s="9"/>
      <c r="M336" s="9"/>
    </row>
    <row x14ac:dyDescent="0.25" r="337" customHeight="1" ht="18.75">
      <c r="A337" s="8"/>
      <c r="B337" s="9"/>
      <c r="C337" s="9"/>
      <c r="D337" s="9"/>
      <c r="E337" s="9"/>
      <c r="F337" s="8"/>
      <c r="G337" s="8"/>
      <c r="H337" s="10"/>
      <c r="I337" s="10"/>
      <c r="J337" s="10"/>
      <c r="K337" s="9"/>
      <c r="L337" s="9"/>
      <c r="M337" s="9"/>
    </row>
    <row x14ac:dyDescent="0.25" r="338" customHeight="1" ht="18.75">
      <c r="A338" s="8"/>
      <c r="B338" s="9"/>
      <c r="C338" s="9"/>
      <c r="D338" s="9"/>
      <c r="E338" s="9"/>
      <c r="F338" s="8"/>
      <c r="G338" s="8"/>
      <c r="H338" s="10"/>
      <c r="I338" s="10"/>
      <c r="J338" s="10"/>
      <c r="K338" s="9"/>
      <c r="L338" s="9"/>
      <c r="M338" s="9"/>
    </row>
    <row x14ac:dyDescent="0.25" r="339" customHeight="1" ht="18.75">
      <c r="A339" s="8"/>
      <c r="B339" s="9"/>
      <c r="C339" s="9"/>
      <c r="D339" s="9"/>
      <c r="E339" s="9"/>
      <c r="F339" s="8"/>
      <c r="G339" s="8"/>
      <c r="H339" s="10"/>
      <c r="I339" s="10"/>
      <c r="J339" s="10"/>
      <c r="K339" s="9"/>
      <c r="L339" s="9"/>
      <c r="M339" s="9"/>
    </row>
    <row x14ac:dyDescent="0.25" r="340" customHeight="1" ht="18.75">
      <c r="A340" s="8"/>
      <c r="B340" s="9"/>
      <c r="C340" s="9"/>
      <c r="D340" s="9"/>
      <c r="E340" s="9"/>
      <c r="F340" s="8"/>
      <c r="G340" s="8"/>
      <c r="H340" s="10"/>
      <c r="I340" s="10"/>
      <c r="J340" s="10"/>
      <c r="K340" s="9"/>
      <c r="L340" s="9"/>
      <c r="M340" s="9"/>
    </row>
    <row x14ac:dyDescent="0.25" r="341" customHeight="1" ht="18.75">
      <c r="A341" s="8"/>
      <c r="B341" s="9"/>
      <c r="C341" s="9"/>
      <c r="D341" s="9"/>
      <c r="E341" s="9"/>
      <c r="F341" s="8"/>
      <c r="G341" s="8"/>
      <c r="H341" s="10"/>
      <c r="I341" s="10"/>
      <c r="J341" s="10"/>
      <c r="K341" s="9"/>
      <c r="L341" s="9"/>
      <c r="M341" s="9"/>
    </row>
    <row x14ac:dyDescent="0.25" r="342" customHeight="1" ht="18.75">
      <c r="A342" s="8"/>
      <c r="B342" s="9"/>
      <c r="C342" s="9"/>
      <c r="D342" s="9"/>
      <c r="E342" s="9"/>
      <c r="F342" s="8"/>
      <c r="G342" s="8"/>
      <c r="H342" s="10"/>
      <c r="I342" s="10"/>
      <c r="J342" s="10"/>
      <c r="K342" s="9"/>
      <c r="L342" s="9"/>
      <c r="M342" s="9"/>
    </row>
    <row x14ac:dyDescent="0.25" r="343" customHeight="1" ht="18.75">
      <c r="A343" s="8"/>
      <c r="B343" s="9"/>
      <c r="C343" s="9"/>
      <c r="D343" s="9"/>
      <c r="E343" s="9"/>
      <c r="F343" s="8"/>
      <c r="G343" s="8"/>
      <c r="H343" s="10"/>
      <c r="I343" s="10"/>
      <c r="J343" s="10"/>
      <c r="K343" s="9"/>
      <c r="L343" s="9"/>
      <c r="M343" s="9"/>
    </row>
    <row x14ac:dyDescent="0.25" r="344" customHeight="1" ht="18.75">
      <c r="A344" s="8"/>
      <c r="B344" s="9"/>
      <c r="C344" s="9"/>
      <c r="D344" s="9"/>
      <c r="E344" s="9"/>
      <c r="F344" s="8"/>
      <c r="G344" s="8"/>
      <c r="H344" s="10"/>
      <c r="I344" s="10"/>
      <c r="J344" s="10"/>
      <c r="K344" s="9"/>
      <c r="L344" s="9"/>
      <c r="M344" s="9"/>
    </row>
    <row x14ac:dyDescent="0.25" r="345" customHeight="1" ht="18.75">
      <c r="A345" s="8"/>
      <c r="B345" s="9"/>
      <c r="C345" s="9"/>
      <c r="D345" s="9"/>
      <c r="E345" s="9"/>
      <c r="F345" s="8"/>
      <c r="G345" s="8"/>
      <c r="H345" s="10"/>
      <c r="I345" s="10"/>
      <c r="J345" s="10"/>
      <c r="K345" s="9"/>
      <c r="L345" s="9"/>
      <c r="M345" s="9"/>
    </row>
    <row x14ac:dyDescent="0.25" r="346" customHeight="1" ht="18.75">
      <c r="A346" s="8"/>
      <c r="B346" s="9"/>
      <c r="C346" s="9"/>
      <c r="D346" s="9"/>
      <c r="E346" s="9"/>
      <c r="F346" s="8"/>
      <c r="G346" s="8"/>
      <c r="H346" s="10"/>
      <c r="I346" s="10"/>
      <c r="J346" s="10"/>
      <c r="K346" s="9"/>
      <c r="L346" s="9"/>
      <c r="M346" s="9"/>
    </row>
    <row x14ac:dyDescent="0.25" r="347" customHeight="1" ht="18.75">
      <c r="A347" s="8"/>
      <c r="B347" s="9"/>
      <c r="C347" s="9"/>
      <c r="D347" s="9"/>
      <c r="E347" s="9"/>
      <c r="F347" s="8"/>
      <c r="G347" s="8"/>
      <c r="H347" s="10"/>
      <c r="I347" s="10"/>
      <c r="J347" s="10"/>
      <c r="K347" s="9"/>
      <c r="L347" s="9"/>
      <c r="M347" s="9"/>
    </row>
    <row x14ac:dyDescent="0.25" r="348" customHeight="1" ht="18.75">
      <c r="A348" s="8"/>
      <c r="B348" s="9"/>
      <c r="C348" s="9"/>
      <c r="D348" s="9"/>
      <c r="E348" s="9"/>
      <c r="F348" s="8"/>
      <c r="G348" s="8"/>
      <c r="H348" s="10"/>
      <c r="I348" s="10"/>
      <c r="J348" s="10"/>
      <c r="K348" s="9"/>
      <c r="L348" s="9"/>
      <c r="M348" s="9"/>
    </row>
    <row x14ac:dyDescent="0.25" r="349" customHeight="1" ht="18.75">
      <c r="A349" s="8"/>
      <c r="B349" s="9"/>
      <c r="C349" s="9"/>
      <c r="D349" s="9"/>
      <c r="E349" s="9"/>
      <c r="F349" s="8"/>
      <c r="G349" s="8"/>
      <c r="H349" s="10"/>
      <c r="I349" s="10"/>
      <c r="J349" s="10"/>
      <c r="K349" s="9"/>
      <c r="L349" s="9"/>
      <c r="M349" s="9"/>
    </row>
    <row x14ac:dyDescent="0.25" r="350" customHeight="1" ht="18.75">
      <c r="A350" s="8"/>
      <c r="B350" s="9"/>
      <c r="C350" s="9"/>
      <c r="D350" s="9"/>
      <c r="E350" s="9"/>
      <c r="F350" s="8"/>
      <c r="G350" s="8"/>
      <c r="H350" s="10"/>
      <c r="I350" s="10"/>
      <c r="J350" s="10"/>
      <c r="K350" s="9"/>
      <c r="L350" s="9"/>
      <c r="M350" s="9"/>
    </row>
    <row x14ac:dyDescent="0.25" r="351" customHeight="1" ht="18.75">
      <c r="A351" s="8"/>
      <c r="B351" s="9"/>
      <c r="C351" s="9"/>
      <c r="D351" s="9"/>
      <c r="E351" s="9"/>
      <c r="F351" s="8"/>
      <c r="G351" s="8"/>
      <c r="H351" s="10"/>
      <c r="I351" s="10"/>
      <c r="J351" s="10"/>
      <c r="K351" s="9"/>
      <c r="L351" s="9"/>
      <c r="M351" s="9"/>
    </row>
    <row x14ac:dyDescent="0.25" r="352" customHeight="1" ht="18.75">
      <c r="A352" s="8"/>
      <c r="B352" s="9"/>
      <c r="C352" s="9"/>
      <c r="D352" s="9"/>
      <c r="E352" s="9"/>
      <c r="F352" s="8"/>
      <c r="G352" s="8"/>
      <c r="H352" s="10"/>
      <c r="I352" s="10"/>
      <c r="J352" s="10"/>
      <c r="K352" s="9"/>
      <c r="L352" s="9"/>
      <c r="M352" s="9"/>
    </row>
    <row x14ac:dyDescent="0.25" r="353" customHeight="1" ht="18.75">
      <c r="A353" s="8"/>
      <c r="B353" s="9"/>
      <c r="C353" s="9"/>
      <c r="D353" s="9"/>
      <c r="E353" s="9"/>
      <c r="F353" s="8"/>
      <c r="G353" s="8"/>
      <c r="H353" s="10"/>
      <c r="I353" s="10"/>
      <c r="J353" s="10"/>
      <c r="K353" s="9"/>
      <c r="L353" s="9"/>
      <c r="M353" s="9"/>
    </row>
    <row x14ac:dyDescent="0.25" r="354" customHeight="1" ht="18.75">
      <c r="A354" s="8"/>
      <c r="B354" s="9"/>
      <c r="C354" s="9"/>
      <c r="D354" s="9"/>
      <c r="E354" s="9"/>
      <c r="F354" s="8"/>
      <c r="G354" s="8"/>
      <c r="H354" s="10"/>
      <c r="I354" s="10"/>
      <c r="J354" s="10"/>
      <c r="K354" s="9"/>
      <c r="L354" s="9"/>
      <c r="M354" s="9"/>
    </row>
    <row x14ac:dyDescent="0.25" r="355" customHeight="1" ht="18.75">
      <c r="A355" s="8"/>
      <c r="B355" s="9"/>
      <c r="C355" s="9"/>
      <c r="D355" s="9"/>
      <c r="E355" s="9"/>
      <c r="F355" s="8"/>
      <c r="G355" s="8"/>
      <c r="H355" s="10"/>
      <c r="I355" s="10"/>
      <c r="J355" s="10"/>
      <c r="K355" s="9"/>
      <c r="L355" s="9"/>
      <c r="M355" s="9"/>
    </row>
    <row x14ac:dyDescent="0.25" r="356" customHeight="1" ht="18.75">
      <c r="A356" s="8"/>
      <c r="B356" s="9"/>
      <c r="C356" s="9"/>
      <c r="D356" s="9"/>
      <c r="E356" s="9"/>
      <c r="F356" s="8"/>
      <c r="G356" s="8"/>
      <c r="H356" s="10"/>
      <c r="I356" s="10"/>
      <c r="J356" s="10"/>
      <c r="K356" s="9"/>
      <c r="L356" s="9"/>
      <c r="M356" s="9"/>
    </row>
    <row x14ac:dyDescent="0.25" r="357" customHeight="1" ht="18.75">
      <c r="A357" s="8"/>
      <c r="B357" s="9"/>
      <c r="C357" s="9"/>
      <c r="D357" s="9"/>
      <c r="E357" s="9"/>
      <c r="F357" s="8"/>
      <c r="G357" s="8"/>
      <c r="H357" s="10"/>
      <c r="I357" s="10"/>
      <c r="J357" s="10"/>
      <c r="K357" s="9"/>
      <c r="L357" s="9"/>
      <c r="M357" s="9"/>
    </row>
    <row x14ac:dyDescent="0.25" r="358" customHeight="1" ht="18.75">
      <c r="A358" s="8"/>
      <c r="B358" s="9"/>
      <c r="C358" s="9"/>
      <c r="D358" s="9"/>
      <c r="E358" s="9"/>
      <c r="F358" s="8"/>
      <c r="G358" s="8"/>
      <c r="H358" s="10"/>
      <c r="I358" s="10"/>
      <c r="J358" s="10"/>
      <c r="K358" s="9"/>
      <c r="L358" s="9"/>
      <c r="M358" s="9"/>
    </row>
    <row x14ac:dyDescent="0.25" r="359" customHeight="1" ht="18.75">
      <c r="A359" s="8"/>
      <c r="B359" s="9"/>
      <c r="C359" s="9"/>
      <c r="D359" s="9"/>
      <c r="E359" s="9"/>
      <c r="F359" s="8"/>
      <c r="G359" s="8"/>
      <c r="H359" s="10"/>
      <c r="I359" s="10"/>
      <c r="J359" s="10"/>
      <c r="K359" s="9"/>
      <c r="L359" s="9"/>
      <c r="M359" s="9"/>
    </row>
    <row x14ac:dyDescent="0.25" r="360" customHeight="1" ht="18.75">
      <c r="A360" s="8"/>
      <c r="B360" s="9"/>
      <c r="C360" s="9"/>
      <c r="D360" s="9"/>
      <c r="E360" s="9"/>
      <c r="F360" s="8"/>
      <c r="G360" s="8"/>
      <c r="H360" s="10"/>
      <c r="I360" s="10"/>
      <c r="J360" s="10"/>
      <c r="K360" s="9"/>
      <c r="L360" s="9"/>
      <c r="M360" s="9"/>
    </row>
    <row x14ac:dyDescent="0.25" r="361" customHeight="1" ht="18.75">
      <c r="A361" s="8"/>
      <c r="B361" s="9"/>
      <c r="C361" s="9"/>
      <c r="D361" s="9"/>
      <c r="E361" s="9"/>
      <c r="F361" s="8"/>
      <c r="G361" s="8"/>
      <c r="H361" s="10"/>
      <c r="I361" s="10"/>
      <c r="J361" s="10"/>
      <c r="K361" s="9"/>
      <c r="L361" s="9"/>
      <c r="M361" s="9"/>
    </row>
    <row x14ac:dyDescent="0.25" r="362" customHeight="1" ht="18.75">
      <c r="A362" s="8"/>
      <c r="B362" s="9"/>
      <c r="C362" s="9"/>
      <c r="D362" s="9"/>
      <c r="E362" s="9"/>
      <c r="F362" s="8"/>
      <c r="G362" s="8"/>
      <c r="H362" s="10"/>
      <c r="I362" s="10"/>
      <c r="J362" s="10"/>
      <c r="K362" s="9"/>
      <c r="L362" s="9"/>
      <c r="M362" s="9"/>
    </row>
    <row x14ac:dyDescent="0.25" r="363" customHeight="1" ht="18.75">
      <c r="A363" s="8"/>
      <c r="B363" s="9"/>
      <c r="C363" s="9"/>
      <c r="D363" s="9"/>
      <c r="E363" s="9"/>
      <c r="F363" s="8"/>
      <c r="G363" s="8"/>
      <c r="H363" s="10"/>
      <c r="I363" s="10"/>
      <c r="J363" s="10"/>
      <c r="K363" s="9"/>
      <c r="L363" s="9"/>
      <c r="M363" s="9"/>
    </row>
    <row x14ac:dyDescent="0.25" r="364" customHeight="1" ht="18.75">
      <c r="A364" s="8"/>
      <c r="B364" s="9"/>
      <c r="C364" s="9"/>
      <c r="D364" s="9"/>
      <c r="E364" s="9"/>
      <c r="F364" s="8"/>
      <c r="G364" s="8"/>
      <c r="H364" s="10"/>
      <c r="I364" s="10"/>
      <c r="J364" s="10"/>
      <c r="K364" s="9"/>
      <c r="L364" s="9"/>
      <c r="M364" s="9"/>
    </row>
    <row x14ac:dyDescent="0.25" r="365" customHeight="1" ht="18.75">
      <c r="A365" s="8"/>
      <c r="B365" s="9"/>
      <c r="C365" s="9"/>
      <c r="D365" s="9"/>
      <c r="E365" s="9"/>
      <c r="F365" s="8"/>
      <c r="G365" s="8"/>
      <c r="H365" s="10"/>
      <c r="I365" s="10"/>
      <c r="J365" s="10"/>
      <c r="K365" s="9"/>
      <c r="L365" s="9"/>
      <c r="M365" s="9"/>
    </row>
    <row x14ac:dyDescent="0.25" r="366" customHeight="1" ht="18.75">
      <c r="A366" s="8"/>
      <c r="B366" s="9"/>
      <c r="C366" s="9"/>
      <c r="D366" s="9"/>
      <c r="E366" s="9"/>
      <c r="F366" s="8"/>
      <c r="G366" s="8"/>
      <c r="H366" s="10"/>
      <c r="I366" s="10"/>
      <c r="J366" s="10"/>
      <c r="K366" s="9"/>
      <c r="L366" s="9"/>
      <c r="M366" s="9"/>
    </row>
    <row x14ac:dyDescent="0.25" r="367" customHeight="1" ht="18.75">
      <c r="A367" s="8"/>
      <c r="B367" s="9"/>
      <c r="C367" s="9"/>
      <c r="D367" s="9"/>
      <c r="E367" s="9"/>
      <c r="F367" s="8"/>
      <c r="G367" s="8"/>
      <c r="H367" s="10"/>
      <c r="I367" s="10"/>
      <c r="J367" s="10"/>
      <c r="K367" s="9"/>
      <c r="L367" s="9"/>
      <c r="M367" s="9"/>
    </row>
    <row x14ac:dyDescent="0.25" r="368" customHeight="1" ht="18.75">
      <c r="A368" s="8"/>
      <c r="B368" s="9"/>
      <c r="C368" s="9"/>
      <c r="D368" s="9"/>
      <c r="E368" s="9"/>
      <c r="F368" s="8"/>
      <c r="G368" s="8"/>
      <c r="H368" s="10"/>
      <c r="I368" s="10"/>
      <c r="J368" s="10"/>
      <c r="K368" s="9"/>
      <c r="L368" s="9"/>
      <c r="M368" s="9"/>
    </row>
    <row x14ac:dyDescent="0.25" r="369" customHeight="1" ht="18.75">
      <c r="A369" s="8"/>
      <c r="B369" s="9"/>
      <c r="C369" s="9"/>
      <c r="D369" s="9"/>
      <c r="E369" s="9"/>
      <c r="F369" s="8"/>
      <c r="G369" s="8"/>
      <c r="H369" s="10"/>
      <c r="I369" s="10"/>
      <c r="J369" s="10"/>
      <c r="K369" s="9"/>
      <c r="L369" s="9"/>
      <c r="M369" s="9"/>
    </row>
    <row x14ac:dyDescent="0.25" r="370" customHeight="1" ht="18.75">
      <c r="A370" s="8"/>
      <c r="B370" s="9"/>
      <c r="C370" s="9"/>
      <c r="D370" s="9"/>
      <c r="E370" s="9"/>
      <c r="F370" s="8"/>
      <c r="G370" s="8"/>
      <c r="H370" s="10"/>
      <c r="I370" s="10"/>
      <c r="J370" s="10"/>
      <c r="K370" s="9"/>
      <c r="L370" s="9"/>
      <c r="M370" s="9"/>
    </row>
    <row x14ac:dyDescent="0.25" r="371" customHeight="1" ht="18.75">
      <c r="A371" s="8"/>
      <c r="B371" s="9"/>
      <c r="C371" s="9"/>
      <c r="D371" s="9"/>
      <c r="E371" s="9"/>
      <c r="F371" s="8"/>
      <c r="G371" s="8"/>
      <c r="H371" s="10"/>
      <c r="I371" s="10"/>
      <c r="J371" s="10"/>
      <c r="K371" s="9"/>
      <c r="L371" s="9"/>
      <c r="M371" s="9"/>
    </row>
    <row x14ac:dyDescent="0.25" r="372" customHeight="1" ht="18.75">
      <c r="A372" s="8"/>
      <c r="B372" s="9"/>
      <c r="C372" s="9"/>
      <c r="D372" s="9"/>
      <c r="E372" s="9"/>
      <c r="F372" s="8"/>
      <c r="G372" s="8"/>
      <c r="H372" s="10"/>
      <c r="I372" s="10"/>
      <c r="J372" s="10"/>
      <c r="K372" s="9"/>
      <c r="L372" s="9"/>
      <c r="M372" s="9"/>
    </row>
    <row x14ac:dyDescent="0.25" r="373" customHeight="1" ht="18.75">
      <c r="A373" s="8"/>
      <c r="B373" s="9"/>
      <c r="C373" s="9"/>
      <c r="D373" s="9"/>
      <c r="E373" s="9"/>
      <c r="F373" s="8"/>
      <c r="G373" s="8"/>
      <c r="H373" s="10"/>
      <c r="I373" s="10"/>
      <c r="J373" s="10"/>
      <c r="K373" s="9"/>
      <c r="L373" s="9"/>
      <c r="M373" s="9"/>
    </row>
    <row x14ac:dyDescent="0.25" r="374" customHeight="1" ht="18.75">
      <c r="A374" s="8"/>
      <c r="B374" s="9"/>
      <c r="C374" s="9"/>
      <c r="D374" s="9"/>
      <c r="E374" s="9"/>
      <c r="F374" s="8"/>
      <c r="G374" s="8"/>
      <c r="H374" s="10"/>
      <c r="I374" s="10"/>
      <c r="J374" s="10"/>
      <c r="K374" s="9"/>
      <c r="L374" s="9"/>
      <c r="M374" s="9"/>
    </row>
    <row x14ac:dyDescent="0.25" r="375" customHeight="1" ht="18.75">
      <c r="A375" s="8"/>
      <c r="B375" s="9"/>
      <c r="C375" s="9"/>
      <c r="D375" s="9"/>
      <c r="E375" s="9"/>
      <c r="F375" s="8"/>
      <c r="G375" s="8"/>
      <c r="H375" s="10"/>
      <c r="I375" s="10"/>
      <c r="J375" s="10"/>
      <c r="K375" s="9"/>
      <c r="L375" s="9"/>
      <c r="M375" s="9"/>
    </row>
    <row x14ac:dyDescent="0.25" r="376" customHeight="1" ht="18.75">
      <c r="A376" s="8"/>
      <c r="B376" s="9"/>
      <c r="C376" s="9"/>
      <c r="D376" s="9"/>
      <c r="E376" s="9"/>
      <c r="F376" s="8"/>
      <c r="G376" s="8"/>
      <c r="H376" s="10"/>
      <c r="I376" s="10"/>
      <c r="J376" s="10"/>
      <c r="K376" s="9"/>
      <c r="L376" s="9"/>
      <c r="M376" s="9"/>
    </row>
    <row x14ac:dyDescent="0.25" r="377" customHeight="1" ht="18.75">
      <c r="A377" s="8"/>
      <c r="B377" s="9"/>
      <c r="C377" s="9"/>
      <c r="D377" s="9"/>
      <c r="E377" s="9"/>
      <c r="F377" s="8"/>
      <c r="G377" s="8"/>
      <c r="H377" s="10"/>
      <c r="I377" s="10"/>
      <c r="J377" s="10"/>
      <c r="K377" s="9"/>
      <c r="L377" s="9"/>
      <c r="M377" s="9"/>
    </row>
    <row x14ac:dyDescent="0.25" r="378" customHeight="1" ht="18.75">
      <c r="A378" s="8"/>
      <c r="B378" s="9"/>
      <c r="C378" s="9"/>
      <c r="D378" s="9"/>
      <c r="E378" s="9"/>
      <c r="F378" s="8"/>
      <c r="G378" s="8"/>
      <c r="H378" s="10"/>
      <c r="I378" s="10"/>
      <c r="J378" s="10"/>
      <c r="K378" s="9"/>
      <c r="L378" s="9"/>
      <c r="M378" s="9"/>
    </row>
    <row x14ac:dyDescent="0.25" r="379" customHeight="1" ht="18.75">
      <c r="A379" s="8"/>
      <c r="B379" s="9"/>
      <c r="C379" s="9"/>
      <c r="D379" s="9"/>
      <c r="E379" s="9"/>
      <c r="F379" s="8"/>
      <c r="G379" s="8"/>
      <c r="H379" s="10"/>
      <c r="I379" s="10"/>
      <c r="J379" s="10"/>
      <c r="K379" s="9"/>
      <c r="L379" s="9"/>
      <c r="M379" s="9"/>
    </row>
    <row x14ac:dyDescent="0.25" r="380" customHeight="1" ht="18.75">
      <c r="A380" s="8"/>
      <c r="B380" s="9"/>
      <c r="C380" s="9"/>
      <c r="D380" s="9"/>
      <c r="E380" s="9"/>
      <c r="F380" s="8"/>
      <c r="G380" s="8"/>
      <c r="H380" s="10"/>
      <c r="I380" s="10"/>
      <c r="J380" s="10"/>
      <c r="K380" s="9"/>
      <c r="L380" s="9"/>
      <c r="M380" s="9"/>
    </row>
    <row x14ac:dyDescent="0.25" r="381" customHeight="1" ht="18.75">
      <c r="A381" s="8"/>
      <c r="B381" s="9"/>
      <c r="C381" s="9"/>
      <c r="D381" s="9"/>
      <c r="E381" s="9"/>
      <c r="F381" s="8"/>
      <c r="G381" s="8"/>
      <c r="H381" s="10"/>
      <c r="I381" s="10"/>
      <c r="J381" s="10"/>
      <c r="K381" s="9"/>
      <c r="L381" s="9"/>
      <c r="M381" s="9"/>
    </row>
    <row x14ac:dyDescent="0.25" r="382" customHeight="1" ht="18.75">
      <c r="A382" s="8"/>
      <c r="B382" s="9"/>
      <c r="C382" s="9"/>
      <c r="D382" s="9"/>
      <c r="E382" s="9"/>
      <c r="F382" s="8"/>
      <c r="G382" s="8"/>
      <c r="H382" s="10"/>
      <c r="I382" s="10"/>
      <c r="J382" s="10"/>
      <c r="K382" s="9"/>
      <c r="L382" s="9"/>
      <c r="M382" s="9"/>
    </row>
    <row x14ac:dyDescent="0.25" r="383" customHeight="1" ht="18.75">
      <c r="A383" s="8"/>
      <c r="B383" s="9"/>
      <c r="C383" s="9"/>
      <c r="D383" s="9"/>
      <c r="E383" s="9"/>
      <c r="F383" s="8"/>
      <c r="G383" s="8"/>
      <c r="H383" s="10"/>
      <c r="I383" s="10"/>
      <c r="J383" s="10"/>
      <c r="K383" s="9"/>
      <c r="L383" s="9"/>
      <c r="M383" s="9"/>
    </row>
    <row x14ac:dyDescent="0.25" r="384" customHeight="1" ht="18.75">
      <c r="A384" s="8"/>
      <c r="B384" s="9"/>
      <c r="C384" s="9"/>
      <c r="D384" s="9"/>
      <c r="E384" s="9"/>
      <c r="F384" s="8"/>
      <c r="G384" s="8"/>
      <c r="H384" s="10"/>
      <c r="I384" s="10"/>
      <c r="J384" s="10"/>
      <c r="K384" s="9"/>
      <c r="L384" s="9"/>
      <c r="M384" s="9"/>
    </row>
    <row x14ac:dyDescent="0.25" r="385" customHeight="1" ht="18.75">
      <c r="A385" s="8"/>
      <c r="B385" s="9"/>
      <c r="C385" s="9"/>
      <c r="D385" s="9"/>
      <c r="E385" s="9"/>
      <c r="F385" s="8"/>
      <c r="G385" s="8"/>
      <c r="H385" s="10"/>
      <c r="I385" s="10"/>
      <c r="J385" s="10"/>
      <c r="K385" s="9"/>
      <c r="L385" s="9"/>
      <c r="M385" s="9"/>
    </row>
    <row x14ac:dyDescent="0.25" r="386" customHeight="1" ht="18.75">
      <c r="A386" s="8"/>
      <c r="B386" s="9"/>
      <c r="C386" s="9"/>
      <c r="D386" s="9"/>
      <c r="E386" s="9"/>
      <c r="F386" s="8"/>
      <c r="G386" s="8"/>
      <c r="H386" s="10"/>
      <c r="I386" s="10"/>
      <c r="J386" s="10"/>
      <c r="K386" s="9"/>
      <c r="L386" s="9"/>
      <c r="M386" s="9"/>
    </row>
    <row x14ac:dyDescent="0.25" r="387" customHeight="1" ht="18.75">
      <c r="A387" s="8"/>
      <c r="B387" s="9"/>
      <c r="C387" s="9"/>
      <c r="D387" s="9"/>
      <c r="E387" s="9"/>
      <c r="F387" s="8"/>
      <c r="G387" s="8"/>
      <c r="H387" s="10"/>
      <c r="I387" s="10"/>
      <c r="J387" s="10"/>
      <c r="K387" s="9"/>
      <c r="L387" s="9"/>
      <c r="M387" s="9"/>
    </row>
    <row x14ac:dyDescent="0.25" r="388" customHeight="1" ht="18.75">
      <c r="A388" s="8"/>
      <c r="B388" s="9"/>
      <c r="C388" s="9"/>
      <c r="D388" s="9"/>
      <c r="E388" s="9"/>
      <c r="F388" s="8"/>
      <c r="G388" s="8"/>
      <c r="H388" s="10"/>
      <c r="I388" s="10"/>
      <c r="J388" s="10"/>
      <c r="K388" s="9"/>
      <c r="L388" s="9"/>
      <c r="M388" s="9"/>
    </row>
    <row x14ac:dyDescent="0.25" r="389" customHeight="1" ht="18.75">
      <c r="A389" s="8"/>
      <c r="B389" s="9"/>
      <c r="C389" s="9"/>
      <c r="D389" s="9"/>
      <c r="E389" s="9"/>
      <c r="F389" s="8"/>
      <c r="G389" s="8"/>
      <c r="H389" s="10"/>
      <c r="I389" s="10"/>
      <c r="J389" s="10"/>
      <c r="K389" s="9"/>
      <c r="L389" s="9"/>
      <c r="M389" s="9"/>
    </row>
    <row x14ac:dyDescent="0.25" r="390" customHeight="1" ht="18.75">
      <c r="A390" s="8"/>
      <c r="B390" s="9"/>
      <c r="C390" s="9"/>
      <c r="D390" s="9"/>
      <c r="E390" s="9"/>
      <c r="F390" s="8"/>
      <c r="G390" s="8"/>
      <c r="H390" s="10"/>
      <c r="I390" s="10"/>
      <c r="J390" s="10"/>
      <c r="K390" s="9"/>
      <c r="L390" s="9"/>
      <c r="M390" s="9"/>
    </row>
    <row x14ac:dyDescent="0.25" r="391" customHeight="1" ht="18.75">
      <c r="A391" s="8"/>
      <c r="B391" s="9"/>
      <c r="C391" s="9"/>
      <c r="D391" s="9"/>
      <c r="E391" s="9"/>
      <c r="F391" s="8"/>
      <c r="G391" s="8"/>
      <c r="H391" s="10"/>
      <c r="I391" s="10"/>
      <c r="J391" s="10"/>
      <c r="K391" s="9"/>
      <c r="L391" s="9"/>
      <c r="M391" s="9"/>
    </row>
    <row x14ac:dyDescent="0.25" r="392" customHeight="1" ht="18.75">
      <c r="A392" s="8"/>
      <c r="B392" s="9"/>
      <c r="C392" s="9"/>
      <c r="D392" s="9"/>
      <c r="E392" s="9"/>
      <c r="F392" s="8"/>
      <c r="G392" s="8"/>
      <c r="H392" s="10"/>
      <c r="I392" s="10"/>
      <c r="J392" s="10"/>
      <c r="K392" s="9"/>
      <c r="L392" s="9"/>
      <c r="M392" s="9"/>
    </row>
    <row x14ac:dyDescent="0.25" r="393" customHeight="1" ht="18.75">
      <c r="A393" s="8"/>
      <c r="B393" s="9"/>
      <c r="C393" s="9"/>
      <c r="D393" s="9"/>
      <c r="E393" s="9"/>
      <c r="F393" s="8"/>
      <c r="G393" s="8"/>
      <c r="H393" s="10"/>
      <c r="I393" s="10"/>
      <c r="J393" s="10"/>
      <c r="K393" s="9"/>
      <c r="L393" s="9"/>
      <c r="M393" s="9"/>
    </row>
    <row x14ac:dyDescent="0.25" r="394" customHeight="1" ht="18.75">
      <c r="A394" s="8"/>
      <c r="B394" s="9"/>
      <c r="C394" s="9"/>
      <c r="D394" s="9"/>
      <c r="E394" s="9"/>
      <c r="F394" s="8"/>
      <c r="G394" s="8"/>
      <c r="H394" s="10"/>
      <c r="I394" s="10"/>
      <c r="J394" s="10"/>
      <c r="K394" s="9"/>
      <c r="L394" s="9"/>
      <c r="M394" s="9"/>
    </row>
    <row x14ac:dyDescent="0.25" r="395" customHeight="1" ht="18.75">
      <c r="A395" s="8"/>
      <c r="B395" s="9"/>
      <c r="C395" s="9"/>
      <c r="D395" s="9"/>
      <c r="E395" s="9"/>
      <c r="F395" s="8"/>
      <c r="G395" s="8"/>
      <c r="H395" s="10"/>
      <c r="I395" s="10"/>
      <c r="J395" s="10"/>
      <c r="K395" s="9"/>
      <c r="L395" s="9"/>
      <c r="M395" s="9"/>
    </row>
    <row x14ac:dyDescent="0.25" r="396" customHeight="1" ht="18.75">
      <c r="A396" s="8"/>
      <c r="B396" s="9"/>
      <c r="C396" s="9"/>
      <c r="D396" s="9"/>
      <c r="E396" s="9"/>
      <c r="F396" s="8"/>
      <c r="G396" s="8"/>
      <c r="H396" s="10"/>
      <c r="I396" s="10"/>
      <c r="J396" s="10"/>
      <c r="K396" s="9"/>
      <c r="L396" s="9"/>
      <c r="M396" s="9"/>
    </row>
    <row x14ac:dyDescent="0.25" r="397" customHeight="1" ht="18.75">
      <c r="A397" s="8"/>
      <c r="B397" s="9"/>
      <c r="C397" s="9"/>
      <c r="D397" s="9"/>
      <c r="E397" s="9"/>
      <c r="F397" s="8"/>
      <c r="G397" s="8"/>
      <c r="H397" s="10"/>
      <c r="I397" s="10"/>
      <c r="J397" s="10"/>
      <c r="K397" s="9"/>
      <c r="L397" s="9"/>
      <c r="M397" s="9"/>
    </row>
    <row x14ac:dyDescent="0.25" r="398" customHeight="1" ht="18.75">
      <c r="A398" s="8"/>
      <c r="B398" s="9"/>
      <c r="C398" s="9"/>
      <c r="D398" s="9"/>
      <c r="E398" s="9"/>
      <c r="F398" s="8"/>
      <c r="G398" s="8"/>
      <c r="H398" s="10"/>
      <c r="I398" s="10"/>
      <c r="J398" s="10"/>
      <c r="K398" s="9"/>
      <c r="L398" s="9"/>
      <c r="M398" s="9"/>
    </row>
    <row x14ac:dyDescent="0.25" r="399" customHeight="1" ht="18.75">
      <c r="A399" s="8"/>
      <c r="B399" s="9"/>
      <c r="C399" s="9"/>
      <c r="D399" s="9"/>
      <c r="E399" s="9"/>
      <c r="F399" s="8"/>
      <c r="G399" s="8"/>
      <c r="H399" s="10"/>
      <c r="I399" s="10"/>
      <c r="J399" s="10"/>
      <c r="K399" s="9"/>
      <c r="L399" s="9"/>
      <c r="M399" s="9"/>
    </row>
    <row x14ac:dyDescent="0.25" r="400" customHeight="1" ht="18.75">
      <c r="A400" s="8"/>
      <c r="B400" s="9"/>
      <c r="C400" s="9"/>
      <c r="D400" s="9"/>
      <c r="E400" s="9"/>
      <c r="F400" s="8"/>
      <c r="G400" s="8"/>
      <c r="H400" s="10"/>
      <c r="I400" s="10"/>
      <c r="J400" s="10"/>
      <c r="K400" s="9"/>
      <c r="L400" s="9"/>
      <c r="M400" s="9"/>
    </row>
    <row x14ac:dyDescent="0.25" r="401" customHeight="1" ht="18.75">
      <c r="A401" s="8"/>
      <c r="B401" s="9"/>
      <c r="C401" s="9"/>
      <c r="D401" s="9"/>
      <c r="E401" s="9"/>
      <c r="F401" s="8"/>
      <c r="G401" s="8"/>
      <c r="H401" s="10"/>
      <c r="I401" s="10"/>
      <c r="J401" s="10"/>
      <c r="K401" s="9"/>
      <c r="L401" s="9"/>
      <c r="M401" s="9"/>
    </row>
    <row x14ac:dyDescent="0.25" r="402" customHeight="1" ht="18.75">
      <c r="A402" s="8"/>
      <c r="B402" s="9"/>
      <c r="C402" s="9"/>
      <c r="D402" s="9"/>
      <c r="E402" s="9"/>
      <c r="F402" s="8"/>
      <c r="G402" s="8"/>
      <c r="H402" s="10"/>
      <c r="I402" s="10"/>
      <c r="J402" s="10"/>
      <c r="K402" s="9"/>
      <c r="L402" s="9"/>
      <c r="M402" s="9"/>
    </row>
    <row x14ac:dyDescent="0.25" r="403" customHeight="1" ht="18.75">
      <c r="A403" s="8"/>
      <c r="B403" s="9"/>
      <c r="C403" s="9"/>
      <c r="D403" s="9"/>
      <c r="E403" s="9"/>
      <c r="F403" s="8"/>
      <c r="G403" s="8"/>
      <c r="H403" s="10"/>
      <c r="I403" s="10"/>
      <c r="J403" s="10"/>
      <c r="K403" s="9"/>
      <c r="L403" s="9"/>
      <c r="M403" s="9"/>
    </row>
    <row x14ac:dyDescent="0.25" r="404" customHeight="1" ht="18.75">
      <c r="A404" s="8"/>
      <c r="B404" s="9"/>
      <c r="C404" s="9"/>
      <c r="D404" s="9"/>
      <c r="E404" s="9"/>
      <c r="F404" s="8"/>
      <c r="G404" s="8"/>
      <c r="H404" s="10"/>
      <c r="I404" s="10"/>
      <c r="J404" s="10"/>
      <c r="K404" s="9"/>
      <c r="L404" s="9"/>
      <c r="M404" s="9"/>
    </row>
    <row x14ac:dyDescent="0.25" r="405" customHeight="1" ht="18.75">
      <c r="A405" s="8"/>
      <c r="B405" s="9"/>
      <c r="C405" s="9"/>
      <c r="D405" s="9"/>
      <c r="E405" s="9"/>
      <c r="F405" s="8"/>
      <c r="G405" s="8"/>
      <c r="H405" s="10"/>
      <c r="I405" s="10"/>
      <c r="J405" s="10"/>
      <c r="K405" s="9"/>
      <c r="L405" s="9"/>
      <c r="M405" s="9"/>
    </row>
    <row x14ac:dyDescent="0.25" r="406" customHeight="1" ht="18.75">
      <c r="A406" s="8"/>
      <c r="B406" s="9"/>
      <c r="C406" s="9"/>
      <c r="D406" s="9"/>
      <c r="E406" s="9"/>
      <c r="F406" s="8"/>
      <c r="G406" s="8"/>
      <c r="H406" s="10"/>
      <c r="I406" s="10"/>
      <c r="J406" s="10"/>
      <c r="K406" s="9"/>
      <c r="L406" s="9"/>
      <c r="M406" s="9"/>
    </row>
    <row x14ac:dyDescent="0.25" r="407" customHeight="1" ht="18.75">
      <c r="A407" s="8"/>
      <c r="B407" s="9"/>
      <c r="C407" s="9"/>
      <c r="D407" s="9"/>
      <c r="E407" s="9"/>
      <c r="F407" s="8"/>
      <c r="G407" s="8"/>
      <c r="H407" s="10"/>
      <c r="I407" s="10"/>
      <c r="J407" s="10"/>
      <c r="K407" s="9"/>
      <c r="L407" s="9"/>
      <c r="M407" s="9"/>
    </row>
    <row x14ac:dyDescent="0.25" r="408" customHeight="1" ht="18.75">
      <c r="A408" s="8"/>
      <c r="B408" s="9"/>
      <c r="C408" s="9"/>
      <c r="D408" s="9"/>
      <c r="E408" s="9"/>
      <c r="F408" s="8"/>
      <c r="G408" s="8"/>
      <c r="H408" s="10"/>
      <c r="I408" s="10"/>
      <c r="J408" s="10"/>
      <c r="K408" s="9"/>
      <c r="L408" s="9"/>
      <c r="M408" s="9"/>
    </row>
    <row x14ac:dyDescent="0.25" r="409" customHeight="1" ht="18.75">
      <c r="A409" s="8"/>
      <c r="B409" s="9"/>
      <c r="C409" s="9"/>
      <c r="D409" s="9"/>
      <c r="E409" s="9"/>
      <c r="F409" s="8"/>
      <c r="G409" s="8"/>
      <c r="H409" s="10"/>
      <c r="I409" s="10"/>
      <c r="J409" s="10"/>
      <c r="K409" s="9"/>
      <c r="L409" s="9"/>
      <c r="M409" s="9"/>
    </row>
    <row x14ac:dyDescent="0.25" r="410" customHeight="1" ht="18.75">
      <c r="A410" s="8"/>
      <c r="B410" s="9"/>
      <c r="C410" s="9"/>
      <c r="D410" s="9"/>
      <c r="E410" s="9"/>
      <c r="F410" s="8"/>
      <c r="G410" s="8"/>
      <c r="H410" s="10"/>
      <c r="I410" s="10"/>
      <c r="J410" s="10"/>
      <c r="K410" s="9"/>
      <c r="L410" s="9"/>
      <c r="M410" s="9"/>
    </row>
    <row x14ac:dyDescent="0.25" r="411" customHeight="1" ht="18.75">
      <c r="A411" s="8"/>
      <c r="B411" s="9"/>
      <c r="C411" s="9"/>
      <c r="D411" s="9"/>
      <c r="E411" s="9"/>
      <c r="F411" s="8"/>
      <c r="G411" s="8"/>
      <c r="H411" s="10"/>
      <c r="I411" s="10"/>
      <c r="J411" s="10"/>
      <c r="K411" s="9"/>
      <c r="L411" s="9"/>
      <c r="M411" s="9"/>
    </row>
    <row x14ac:dyDescent="0.25" r="412" customHeight="1" ht="18.75">
      <c r="A412" s="8"/>
      <c r="B412" s="9"/>
      <c r="C412" s="9"/>
      <c r="D412" s="9"/>
      <c r="E412" s="9"/>
      <c r="F412" s="8"/>
      <c r="G412" s="8"/>
      <c r="H412" s="10"/>
      <c r="I412" s="10"/>
      <c r="J412" s="10"/>
      <c r="K412" s="9"/>
      <c r="L412" s="9"/>
      <c r="M412" s="9"/>
    </row>
    <row x14ac:dyDescent="0.25" r="413" customHeight="1" ht="18.75">
      <c r="A413" s="8"/>
      <c r="B413" s="9"/>
      <c r="C413" s="9"/>
      <c r="D413" s="9"/>
      <c r="E413" s="9"/>
      <c r="F413" s="8"/>
      <c r="G413" s="8"/>
      <c r="H413" s="10"/>
      <c r="I413" s="10"/>
      <c r="J413" s="10"/>
      <c r="K413" s="9"/>
      <c r="L413" s="9"/>
      <c r="M413" s="9"/>
    </row>
    <row x14ac:dyDescent="0.25" r="414" customHeight="1" ht="18.75">
      <c r="A414" s="8"/>
      <c r="B414" s="9"/>
      <c r="C414" s="9"/>
      <c r="D414" s="9"/>
      <c r="E414" s="9"/>
      <c r="F414" s="8"/>
      <c r="G414" s="8"/>
      <c r="H414" s="10"/>
      <c r="I414" s="10"/>
      <c r="J414" s="10"/>
      <c r="K414" s="9"/>
      <c r="L414" s="9"/>
      <c r="M414" s="9"/>
    </row>
    <row x14ac:dyDescent="0.25" r="415" customHeight="1" ht="18.75">
      <c r="A415" s="8"/>
      <c r="B415" s="9"/>
      <c r="C415" s="9"/>
      <c r="D415" s="9"/>
      <c r="E415" s="9"/>
      <c r="F415" s="8"/>
      <c r="G415" s="8"/>
      <c r="H415" s="10"/>
      <c r="I415" s="10"/>
      <c r="J415" s="10"/>
      <c r="K415" s="9"/>
      <c r="L415" s="9"/>
      <c r="M415" s="9"/>
    </row>
    <row x14ac:dyDescent="0.25" r="416" customHeight="1" ht="18.75">
      <c r="A416" s="8"/>
      <c r="B416" s="9"/>
      <c r="C416" s="9"/>
      <c r="D416" s="9"/>
      <c r="E416" s="9"/>
      <c r="F416" s="8"/>
      <c r="G416" s="8"/>
      <c r="H416" s="10"/>
      <c r="I416" s="10"/>
      <c r="J416" s="10"/>
      <c r="K416" s="9"/>
      <c r="L416" s="9"/>
      <c r="M416" s="9"/>
    </row>
    <row x14ac:dyDescent="0.25" r="417" customHeight="1" ht="18.75">
      <c r="A417" s="8"/>
      <c r="B417" s="9"/>
      <c r="C417" s="9"/>
      <c r="D417" s="9"/>
      <c r="E417" s="9"/>
      <c r="F417" s="8"/>
      <c r="G417" s="8"/>
      <c r="H417" s="10"/>
      <c r="I417" s="10"/>
      <c r="J417" s="10"/>
      <c r="K417" s="9"/>
      <c r="L417" s="9"/>
      <c r="M417" s="9"/>
    </row>
    <row x14ac:dyDescent="0.25" r="418" customHeight="1" ht="18.75">
      <c r="A418" s="8"/>
      <c r="B418" s="9"/>
      <c r="C418" s="9"/>
      <c r="D418" s="9"/>
      <c r="E418" s="9"/>
      <c r="F418" s="8"/>
      <c r="G418" s="8"/>
      <c r="H418" s="10"/>
      <c r="I418" s="10"/>
      <c r="J418" s="10"/>
      <c r="K418" s="9"/>
      <c r="L418" s="9"/>
      <c r="M418" s="9"/>
    </row>
    <row x14ac:dyDescent="0.25" r="419" customHeight="1" ht="18.75">
      <c r="A419" s="8"/>
      <c r="B419" s="9"/>
      <c r="C419" s="9"/>
      <c r="D419" s="9"/>
      <c r="E419" s="9"/>
      <c r="F419" s="8"/>
      <c r="G419" s="8"/>
      <c r="H419" s="10"/>
      <c r="I419" s="10"/>
      <c r="J419" s="10"/>
      <c r="K419" s="9"/>
      <c r="L419" s="9"/>
      <c r="M419" s="9"/>
    </row>
    <row x14ac:dyDescent="0.25" r="420" customHeight="1" ht="18.75">
      <c r="A420" s="8"/>
      <c r="B420" s="9"/>
      <c r="C420" s="9"/>
      <c r="D420" s="9"/>
      <c r="E420" s="9"/>
      <c r="F420" s="8"/>
      <c r="G420" s="8"/>
      <c r="H420" s="10"/>
      <c r="I420" s="10"/>
      <c r="J420" s="10"/>
      <c r="K420" s="9"/>
      <c r="L420" s="9"/>
      <c r="M420" s="9"/>
    </row>
    <row x14ac:dyDescent="0.25" r="421" customHeight="1" ht="18.75">
      <c r="A421" s="8"/>
      <c r="B421" s="9"/>
      <c r="C421" s="9"/>
      <c r="D421" s="9"/>
      <c r="E421" s="9"/>
      <c r="F421" s="8"/>
      <c r="G421" s="8"/>
      <c r="H421" s="10"/>
      <c r="I421" s="10"/>
      <c r="J421" s="10"/>
      <c r="K421" s="9"/>
      <c r="L421" s="9"/>
      <c r="M421" s="9"/>
    </row>
    <row x14ac:dyDescent="0.25" r="422" customHeight="1" ht="18.75">
      <c r="A422" s="8"/>
      <c r="B422" s="9"/>
      <c r="C422" s="9"/>
      <c r="D422" s="9"/>
      <c r="E422" s="9"/>
      <c r="F422" s="8"/>
      <c r="G422" s="8"/>
      <c r="H422" s="10"/>
      <c r="I422" s="10"/>
      <c r="J422" s="10"/>
      <c r="K422" s="9"/>
      <c r="L422" s="9"/>
      <c r="M422" s="9"/>
    </row>
    <row x14ac:dyDescent="0.25" r="423" customHeight="1" ht="18.75">
      <c r="A423" s="8"/>
      <c r="B423" s="9"/>
      <c r="C423" s="9"/>
      <c r="D423" s="9"/>
      <c r="E423" s="9"/>
      <c r="F423" s="8"/>
      <c r="G423" s="8"/>
      <c r="H423" s="10"/>
      <c r="I423" s="10"/>
      <c r="J423" s="10"/>
      <c r="K423" s="9"/>
      <c r="L423" s="9"/>
      <c r="M423" s="9"/>
    </row>
    <row x14ac:dyDescent="0.25" r="424" customHeight="1" ht="18.75">
      <c r="A424" s="8"/>
      <c r="B424" s="9"/>
      <c r="C424" s="9"/>
      <c r="D424" s="9"/>
      <c r="E424" s="9"/>
      <c r="F424" s="8"/>
      <c r="G424" s="8"/>
      <c r="H424" s="10"/>
      <c r="I424" s="10"/>
      <c r="J424" s="10"/>
      <c r="K424" s="9"/>
      <c r="L424" s="9"/>
      <c r="M424" s="9"/>
    </row>
    <row x14ac:dyDescent="0.25" r="425" customHeight="1" ht="18.75">
      <c r="A425" s="8"/>
      <c r="B425" s="9"/>
      <c r="C425" s="9"/>
      <c r="D425" s="9"/>
      <c r="E425" s="9"/>
      <c r="F425" s="8"/>
      <c r="G425" s="8"/>
      <c r="H425" s="10"/>
      <c r="I425" s="10"/>
      <c r="J425" s="10"/>
      <c r="K425" s="9"/>
      <c r="L425" s="9"/>
      <c r="M425" s="9"/>
    </row>
    <row x14ac:dyDescent="0.25" r="426" customHeight="1" ht="18.75">
      <c r="A426" s="8"/>
      <c r="B426" s="9"/>
      <c r="C426" s="9"/>
      <c r="D426" s="9"/>
      <c r="E426" s="9"/>
      <c r="F426" s="8"/>
      <c r="G426" s="8"/>
      <c r="H426" s="10"/>
      <c r="I426" s="10"/>
      <c r="J426" s="10"/>
      <c r="K426" s="9"/>
      <c r="L426" s="9"/>
      <c r="M426" s="9"/>
    </row>
    <row x14ac:dyDescent="0.25" r="427" customHeight="1" ht="18.75">
      <c r="A427" s="8"/>
      <c r="B427" s="9"/>
      <c r="C427" s="9"/>
      <c r="D427" s="9"/>
      <c r="E427" s="9"/>
      <c r="F427" s="8"/>
      <c r="G427" s="8"/>
      <c r="H427" s="10"/>
      <c r="I427" s="10"/>
      <c r="J427" s="10"/>
      <c r="K427" s="9"/>
      <c r="L427" s="9"/>
      <c r="M427" s="9"/>
    </row>
    <row x14ac:dyDescent="0.25" r="428" customHeight="1" ht="18.75">
      <c r="A428" s="8"/>
      <c r="B428" s="9"/>
      <c r="C428" s="9"/>
      <c r="D428" s="9"/>
      <c r="E428" s="9"/>
      <c r="F428" s="8"/>
      <c r="G428" s="8"/>
      <c r="H428" s="10"/>
      <c r="I428" s="10"/>
      <c r="J428" s="10"/>
      <c r="K428" s="9"/>
      <c r="L428" s="9"/>
      <c r="M428" s="9"/>
    </row>
    <row x14ac:dyDescent="0.25" r="429" customHeight="1" ht="18.75">
      <c r="A429" s="8"/>
      <c r="B429" s="9"/>
      <c r="C429" s="9"/>
      <c r="D429" s="9"/>
      <c r="E429" s="9"/>
      <c r="F429" s="8"/>
      <c r="G429" s="8"/>
      <c r="H429" s="10"/>
      <c r="I429" s="10"/>
      <c r="J429" s="10"/>
      <c r="K429" s="9"/>
      <c r="L429" s="9"/>
      <c r="M429" s="9"/>
    </row>
    <row x14ac:dyDescent="0.25" r="430" customHeight="1" ht="18.75">
      <c r="A430" s="8"/>
      <c r="B430" s="9"/>
      <c r="C430" s="9"/>
      <c r="D430" s="9"/>
      <c r="E430" s="9"/>
      <c r="F430" s="8"/>
      <c r="G430" s="8"/>
      <c r="H430" s="10"/>
      <c r="I430" s="10"/>
      <c r="J430" s="10"/>
      <c r="K430" s="9"/>
      <c r="L430" s="9"/>
      <c r="M430" s="9"/>
    </row>
    <row x14ac:dyDescent="0.25" r="431" customHeight="1" ht="18.75">
      <c r="A431" s="8"/>
      <c r="B431" s="9"/>
      <c r="C431" s="9"/>
      <c r="D431" s="9"/>
      <c r="E431" s="9"/>
      <c r="F431" s="8"/>
      <c r="G431" s="8"/>
      <c r="H431" s="10"/>
      <c r="I431" s="10"/>
      <c r="J431" s="10"/>
      <c r="K431" s="9"/>
      <c r="L431" s="9"/>
      <c r="M431" s="9"/>
    </row>
    <row x14ac:dyDescent="0.25" r="432" customHeight="1" ht="18.75">
      <c r="A432" s="8"/>
      <c r="B432" s="9"/>
      <c r="C432" s="9"/>
      <c r="D432" s="9"/>
      <c r="E432" s="9"/>
      <c r="F432" s="8"/>
      <c r="G432" s="8"/>
      <c r="H432" s="10"/>
      <c r="I432" s="10"/>
      <c r="J432" s="10"/>
      <c r="K432" s="9"/>
      <c r="L432" s="9"/>
      <c r="M432" s="9"/>
    </row>
    <row x14ac:dyDescent="0.25" r="433" customHeight="1" ht="18.75">
      <c r="A433" s="8"/>
      <c r="B433" s="9"/>
      <c r="C433" s="9"/>
      <c r="D433" s="9"/>
      <c r="E433" s="9"/>
      <c r="F433" s="8"/>
      <c r="G433" s="8"/>
      <c r="H433" s="10"/>
      <c r="I433" s="10"/>
      <c r="J433" s="10"/>
      <c r="K433" s="9"/>
      <c r="L433" s="9"/>
      <c r="M433" s="9"/>
    </row>
    <row x14ac:dyDescent="0.25" r="434" customHeight="1" ht="18.75">
      <c r="A434" s="8"/>
      <c r="B434" s="9"/>
      <c r="C434" s="9"/>
      <c r="D434" s="9"/>
      <c r="E434" s="9"/>
      <c r="F434" s="8"/>
      <c r="G434" s="8"/>
      <c r="H434" s="10"/>
      <c r="I434" s="10"/>
      <c r="J434" s="10"/>
      <c r="K434" s="9"/>
      <c r="L434" s="9"/>
      <c r="M434" s="9"/>
    </row>
    <row x14ac:dyDescent="0.25" r="435" customHeight="1" ht="18.75">
      <c r="A435" s="8"/>
      <c r="B435" s="9"/>
      <c r="C435" s="9"/>
      <c r="D435" s="9"/>
      <c r="E435" s="9"/>
      <c r="F435" s="8"/>
      <c r="G435" s="8"/>
      <c r="H435" s="10"/>
      <c r="I435" s="10"/>
      <c r="J435" s="10"/>
      <c r="K435" s="9"/>
      <c r="L435" s="9"/>
      <c r="M435" s="9"/>
    </row>
    <row x14ac:dyDescent="0.25" r="436" customHeight="1" ht="18.75">
      <c r="A436" s="8"/>
      <c r="B436" s="9"/>
      <c r="C436" s="9"/>
      <c r="D436" s="9"/>
      <c r="E436" s="9"/>
      <c r="F436" s="8"/>
      <c r="G436" s="8"/>
      <c r="H436" s="10"/>
      <c r="I436" s="10"/>
      <c r="J436" s="10"/>
      <c r="K436" s="9"/>
      <c r="L436" s="9"/>
      <c r="M436" s="9"/>
    </row>
    <row x14ac:dyDescent="0.25" r="437" customHeight="1" ht="18.75">
      <c r="A437" s="8"/>
      <c r="B437" s="9"/>
      <c r="C437" s="9"/>
      <c r="D437" s="9"/>
      <c r="E437" s="9"/>
      <c r="F437" s="8"/>
      <c r="G437" s="8"/>
      <c r="H437" s="10"/>
      <c r="I437" s="10"/>
      <c r="J437" s="10"/>
      <c r="K437" s="9"/>
      <c r="L437" s="9"/>
      <c r="M437" s="9"/>
    </row>
    <row x14ac:dyDescent="0.25" r="438" customHeight="1" ht="18.75">
      <c r="A438" s="8"/>
      <c r="B438" s="9"/>
      <c r="C438" s="9"/>
      <c r="D438" s="9"/>
      <c r="E438" s="9"/>
      <c r="F438" s="8"/>
      <c r="G438" s="8"/>
      <c r="H438" s="10"/>
      <c r="I438" s="10"/>
      <c r="J438" s="10"/>
      <c r="K438" s="9"/>
      <c r="L438" s="9"/>
      <c r="M438" s="9"/>
    </row>
    <row x14ac:dyDescent="0.25" r="439" customHeight="1" ht="18.75">
      <c r="A439" s="8"/>
      <c r="B439" s="9"/>
      <c r="C439" s="9"/>
      <c r="D439" s="9"/>
      <c r="E439" s="9"/>
      <c r="F439" s="8"/>
      <c r="G439" s="8"/>
      <c r="H439" s="10"/>
      <c r="I439" s="10"/>
      <c r="J439" s="10"/>
      <c r="K439" s="9"/>
      <c r="L439" s="9"/>
      <c r="M439" s="9"/>
    </row>
    <row x14ac:dyDescent="0.25" r="440" customHeight="1" ht="18.75">
      <c r="A440" s="8"/>
      <c r="B440" s="9"/>
      <c r="C440" s="9"/>
      <c r="D440" s="9"/>
      <c r="E440" s="9"/>
      <c r="F440" s="8"/>
      <c r="G440" s="8"/>
      <c r="H440" s="10"/>
      <c r="I440" s="10"/>
      <c r="J440" s="10"/>
      <c r="K440" s="9"/>
      <c r="L440" s="9"/>
      <c r="M440" s="9"/>
    </row>
    <row x14ac:dyDescent="0.25" r="441" customHeight="1" ht="18.75">
      <c r="A441" s="8"/>
      <c r="B441" s="9"/>
      <c r="C441" s="9"/>
      <c r="D441" s="9"/>
      <c r="E441" s="9"/>
      <c r="F441" s="8"/>
      <c r="G441" s="8"/>
      <c r="H441" s="10"/>
      <c r="I441" s="10"/>
      <c r="J441" s="10"/>
      <c r="K441" s="9"/>
      <c r="L441" s="9"/>
      <c r="M441" s="9"/>
    </row>
    <row x14ac:dyDescent="0.25" r="442" customHeight="1" ht="18.75">
      <c r="A442" s="8"/>
      <c r="B442" s="9"/>
      <c r="C442" s="9"/>
      <c r="D442" s="9"/>
      <c r="E442" s="9"/>
      <c r="F442" s="8"/>
      <c r="G442" s="8"/>
      <c r="H442" s="10"/>
      <c r="I442" s="10"/>
      <c r="J442" s="10"/>
      <c r="K442" s="9"/>
      <c r="L442" s="9"/>
      <c r="M442" s="9"/>
    </row>
    <row x14ac:dyDescent="0.25" r="443" customHeight="1" ht="18.75">
      <c r="A443" s="8"/>
      <c r="B443" s="9"/>
      <c r="C443" s="9"/>
      <c r="D443" s="9"/>
      <c r="E443" s="9"/>
      <c r="F443" s="8"/>
      <c r="G443" s="8"/>
      <c r="H443" s="10"/>
      <c r="I443" s="10"/>
      <c r="J443" s="10"/>
      <c r="K443" s="9"/>
      <c r="L443" s="9"/>
      <c r="M443" s="9"/>
    </row>
    <row x14ac:dyDescent="0.25" r="444" customHeight="1" ht="18.75">
      <c r="A444" s="8"/>
      <c r="B444" s="9"/>
      <c r="C444" s="9"/>
      <c r="D444" s="9"/>
      <c r="E444" s="9"/>
      <c r="F444" s="8"/>
      <c r="G444" s="8"/>
      <c r="H444" s="10"/>
      <c r="I444" s="10"/>
      <c r="J444" s="10"/>
      <c r="K444" s="9"/>
      <c r="L444" s="9"/>
      <c r="M444" s="9"/>
    </row>
    <row x14ac:dyDescent="0.25" r="445" customHeight="1" ht="18.75">
      <c r="A445" s="8"/>
      <c r="B445" s="9"/>
      <c r="C445" s="9"/>
      <c r="D445" s="9"/>
      <c r="E445" s="9"/>
      <c r="F445" s="8"/>
      <c r="G445" s="8"/>
      <c r="H445" s="10"/>
      <c r="I445" s="10"/>
      <c r="J445" s="10"/>
      <c r="K445" s="9"/>
      <c r="L445" s="9"/>
      <c r="M445" s="9"/>
    </row>
    <row x14ac:dyDescent="0.25" r="446" customHeight="1" ht="18.75">
      <c r="A446" s="8"/>
      <c r="B446" s="9"/>
      <c r="C446" s="9"/>
      <c r="D446" s="9"/>
      <c r="E446" s="9"/>
      <c r="F446" s="8"/>
      <c r="G446" s="8"/>
      <c r="H446" s="10"/>
      <c r="I446" s="10"/>
      <c r="J446" s="10"/>
      <c r="K446" s="9"/>
      <c r="L446" s="9"/>
      <c r="M446" s="9"/>
    </row>
    <row x14ac:dyDescent="0.25" r="447" customHeight="1" ht="18.75">
      <c r="A447" s="8"/>
      <c r="B447" s="9"/>
      <c r="C447" s="9"/>
      <c r="D447" s="9"/>
      <c r="E447" s="9"/>
      <c r="F447" s="8"/>
      <c r="G447" s="8"/>
      <c r="H447" s="10"/>
      <c r="I447" s="10"/>
      <c r="J447" s="10"/>
      <c r="K447" s="9"/>
      <c r="L447" s="9"/>
      <c r="M447" s="9"/>
    </row>
    <row x14ac:dyDescent="0.25" r="448" customHeight="1" ht="18.75">
      <c r="A448" s="8"/>
      <c r="B448" s="9"/>
      <c r="C448" s="9"/>
      <c r="D448" s="9"/>
      <c r="E448" s="9"/>
      <c r="F448" s="8"/>
      <c r="G448" s="8"/>
      <c r="H448" s="10"/>
      <c r="I448" s="10"/>
      <c r="J448" s="10"/>
      <c r="K448" s="9"/>
      <c r="L448" s="9"/>
      <c r="M448" s="9"/>
    </row>
    <row x14ac:dyDescent="0.25" r="449" customHeight="1" ht="18.75">
      <c r="A449" s="8"/>
      <c r="B449" s="9"/>
      <c r="C449" s="9"/>
      <c r="D449" s="9"/>
      <c r="E449" s="9"/>
      <c r="F449" s="8"/>
      <c r="G449" s="8"/>
      <c r="H449" s="10"/>
      <c r="I449" s="10"/>
      <c r="J449" s="10"/>
      <c r="K449" s="9"/>
      <c r="L449" s="9"/>
      <c r="M449" s="9"/>
    </row>
    <row x14ac:dyDescent="0.25" r="450" customHeight="1" ht="18.75">
      <c r="A450" s="8"/>
      <c r="B450" s="9"/>
      <c r="C450" s="9"/>
      <c r="D450" s="9"/>
      <c r="E450" s="9"/>
      <c r="F450" s="8"/>
      <c r="G450" s="8"/>
      <c r="H450" s="10"/>
      <c r="I450" s="10"/>
      <c r="J450" s="10"/>
      <c r="K450" s="9"/>
      <c r="L450" s="9"/>
      <c r="M450" s="9"/>
    </row>
    <row x14ac:dyDescent="0.25" r="451" customHeight="1" ht="18.75">
      <c r="A451" s="8"/>
      <c r="B451" s="9"/>
      <c r="C451" s="9"/>
      <c r="D451" s="9"/>
      <c r="E451" s="9"/>
      <c r="F451" s="8"/>
      <c r="G451" s="8"/>
      <c r="H451" s="10"/>
      <c r="I451" s="10"/>
      <c r="J451" s="10"/>
      <c r="K451" s="9"/>
      <c r="L451" s="9"/>
      <c r="M451" s="9"/>
    </row>
    <row x14ac:dyDescent="0.25" r="452" customHeight="1" ht="18.75">
      <c r="A452" s="8"/>
      <c r="B452" s="9"/>
      <c r="C452" s="9"/>
      <c r="D452" s="9"/>
      <c r="E452" s="9"/>
      <c r="F452" s="8"/>
      <c r="G452" s="8"/>
      <c r="H452" s="10"/>
      <c r="I452" s="10"/>
      <c r="J452" s="10"/>
      <c r="K452" s="9"/>
      <c r="L452" s="9"/>
      <c r="M452" s="9"/>
    </row>
    <row x14ac:dyDescent="0.25" r="453" customHeight="1" ht="18.75">
      <c r="A453" s="8"/>
      <c r="B453" s="9"/>
      <c r="C453" s="9"/>
      <c r="D453" s="9"/>
      <c r="E453" s="9"/>
      <c r="F453" s="8"/>
      <c r="G453" s="8"/>
      <c r="H453" s="10"/>
      <c r="I453" s="10"/>
      <c r="J453" s="10"/>
      <c r="K453" s="9"/>
      <c r="L453" s="9"/>
      <c r="M453" s="9"/>
    </row>
    <row x14ac:dyDescent="0.25" r="454" customHeight="1" ht="18.75">
      <c r="A454" s="8"/>
      <c r="B454" s="9"/>
      <c r="C454" s="9"/>
      <c r="D454" s="9"/>
      <c r="E454" s="9"/>
      <c r="F454" s="8"/>
      <c r="G454" s="8"/>
      <c r="H454" s="10"/>
      <c r="I454" s="10"/>
      <c r="J454" s="10"/>
      <c r="K454" s="9"/>
      <c r="L454" s="9"/>
      <c r="M454" s="9"/>
    </row>
    <row x14ac:dyDescent="0.25" r="455" customHeight="1" ht="18.75">
      <c r="A455" s="8"/>
      <c r="B455" s="9"/>
      <c r="C455" s="9"/>
      <c r="D455" s="9"/>
      <c r="E455" s="9"/>
      <c r="F455" s="8"/>
      <c r="G455" s="8"/>
      <c r="H455" s="10"/>
      <c r="I455" s="10"/>
      <c r="J455" s="10"/>
      <c r="K455" s="9"/>
      <c r="L455" s="9"/>
      <c r="M455" s="9"/>
    </row>
    <row x14ac:dyDescent="0.25" r="456" customHeight="1" ht="18.75">
      <c r="A456" s="8"/>
      <c r="B456" s="9"/>
      <c r="C456" s="9"/>
      <c r="D456" s="9"/>
      <c r="E456" s="9"/>
      <c r="F456" s="8"/>
      <c r="G456" s="8"/>
      <c r="H456" s="10"/>
      <c r="I456" s="10"/>
      <c r="J456" s="10"/>
      <c r="K456" s="9"/>
      <c r="L456" s="9"/>
      <c r="M456" s="9"/>
    </row>
    <row x14ac:dyDescent="0.25" r="457" customHeight="1" ht="18.75">
      <c r="A457" s="8"/>
      <c r="B457" s="9"/>
      <c r="C457" s="9"/>
      <c r="D457" s="9"/>
      <c r="E457" s="9"/>
      <c r="F457" s="8"/>
      <c r="G457" s="8"/>
      <c r="H457" s="10"/>
      <c r="I457" s="10"/>
      <c r="J457" s="10"/>
      <c r="K457" s="9"/>
      <c r="L457" s="9"/>
      <c r="M457" s="9"/>
    </row>
    <row x14ac:dyDescent="0.25" r="458" customHeight="1" ht="18.75">
      <c r="A458" s="8"/>
      <c r="B458" s="9"/>
      <c r="C458" s="9"/>
      <c r="D458" s="9"/>
      <c r="E458" s="9"/>
      <c r="F458" s="8"/>
      <c r="G458" s="8"/>
      <c r="H458" s="10"/>
      <c r="I458" s="10"/>
      <c r="J458" s="10"/>
      <c r="K458" s="9"/>
      <c r="L458" s="9"/>
      <c r="M458" s="9"/>
    </row>
    <row x14ac:dyDescent="0.25" r="459" customHeight="1" ht="18.75">
      <c r="A459" s="8"/>
      <c r="B459" s="9"/>
      <c r="C459" s="9"/>
      <c r="D459" s="9"/>
      <c r="E459" s="9"/>
      <c r="F459" s="8"/>
      <c r="G459" s="8"/>
      <c r="H459" s="10"/>
      <c r="I459" s="10"/>
      <c r="J459" s="10"/>
      <c r="K459" s="9"/>
      <c r="L459" s="9"/>
      <c r="M459" s="9"/>
    </row>
    <row x14ac:dyDescent="0.25" r="460" customHeight="1" ht="18.75">
      <c r="A460" s="8"/>
      <c r="B460" s="9"/>
      <c r="C460" s="9"/>
      <c r="D460" s="9"/>
      <c r="E460" s="9"/>
      <c r="F460" s="8"/>
      <c r="G460" s="8"/>
      <c r="H460" s="10"/>
      <c r="I460" s="10"/>
      <c r="J460" s="10"/>
      <c r="K460" s="9"/>
      <c r="L460" s="9"/>
      <c r="M460" s="9"/>
    </row>
    <row x14ac:dyDescent="0.25" r="461" customHeight="1" ht="18.75">
      <c r="A461" s="8"/>
      <c r="B461" s="9"/>
      <c r="C461" s="9"/>
      <c r="D461" s="9"/>
      <c r="E461" s="9"/>
      <c r="F461" s="8"/>
      <c r="G461" s="8"/>
      <c r="H461" s="10"/>
      <c r="I461" s="10"/>
      <c r="J461" s="10"/>
      <c r="K461" s="9"/>
      <c r="L461" s="9"/>
      <c r="M461" s="9"/>
    </row>
    <row x14ac:dyDescent="0.25" r="462" customHeight="1" ht="18.75">
      <c r="A462" s="8"/>
      <c r="B462" s="9"/>
      <c r="C462" s="9"/>
      <c r="D462" s="9"/>
      <c r="E462" s="9"/>
      <c r="F462" s="8"/>
      <c r="G462" s="8"/>
      <c r="H462" s="10"/>
      <c r="I462" s="10"/>
      <c r="J462" s="10"/>
      <c r="K462" s="9"/>
      <c r="L462" s="9"/>
      <c r="M462" s="9"/>
    </row>
    <row x14ac:dyDescent="0.25" r="463" customHeight="1" ht="18.75">
      <c r="A463" s="8"/>
      <c r="B463" s="9"/>
      <c r="C463" s="9"/>
      <c r="D463" s="9"/>
      <c r="E463" s="9"/>
      <c r="F463" s="8"/>
      <c r="G463" s="8"/>
      <c r="H463" s="10"/>
      <c r="I463" s="10"/>
      <c r="J463" s="10"/>
      <c r="K463" s="9"/>
      <c r="L463" s="9"/>
      <c r="M463" s="9"/>
    </row>
    <row x14ac:dyDescent="0.25" r="464" customHeight="1" ht="18.75">
      <c r="A464" s="8"/>
      <c r="B464" s="9"/>
      <c r="C464" s="9"/>
      <c r="D464" s="9"/>
      <c r="E464" s="9"/>
      <c r="F464" s="8"/>
      <c r="G464" s="8"/>
      <c r="H464" s="10"/>
      <c r="I464" s="10"/>
      <c r="J464" s="10"/>
      <c r="K464" s="9"/>
      <c r="L464" s="9"/>
      <c r="M464" s="9"/>
    </row>
    <row x14ac:dyDescent="0.25" r="465" customHeight="1" ht="18.75">
      <c r="A465" s="8"/>
      <c r="B465" s="9"/>
      <c r="C465" s="9"/>
      <c r="D465" s="9"/>
      <c r="E465" s="9"/>
      <c r="F465" s="8"/>
      <c r="G465" s="8"/>
      <c r="H465" s="10"/>
      <c r="I465" s="10"/>
      <c r="J465" s="10"/>
      <c r="K465" s="9"/>
      <c r="L465" s="9"/>
      <c r="M465" s="9"/>
    </row>
    <row x14ac:dyDescent="0.25" r="466" customHeight="1" ht="18.75">
      <c r="A466" s="8"/>
      <c r="B466" s="9"/>
      <c r="C466" s="9"/>
      <c r="D466" s="9"/>
      <c r="E466" s="9"/>
      <c r="F466" s="8"/>
      <c r="G466" s="8"/>
      <c r="H466" s="10"/>
      <c r="I466" s="10"/>
      <c r="J466" s="10"/>
      <c r="K466" s="9"/>
      <c r="L466" s="9"/>
      <c r="M466" s="9"/>
    </row>
    <row x14ac:dyDescent="0.25" r="467" customHeight="1" ht="18.75">
      <c r="A467" s="8"/>
      <c r="B467" s="9"/>
      <c r="C467" s="9"/>
      <c r="D467" s="9"/>
      <c r="E467" s="9"/>
      <c r="F467" s="8"/>
      <c r="G467" s="8"/>
      <c r="H467" s="10"/>
      <c r="I467" s="10"/>
      <c r="J467" s="10"/>
      <c r="K467" s="9"/>
      <c r="L467" s="9"/>
      <c r="M467" s="9"/>
    </row>
    <row x14ac:dyDescent="0.25" r="468" customHeight="1" ht="18.75">
      <c r="A468" s="8"/>
      <c r="B468" s="9"/>
      <c r="C468" s="9"/>
      <c r="D468" s="9"/>
      <c r="E468" s="9"/>
      <c r="F468" s="8"/>
      <c r="G468" s="8"/>
      <c r="H468" s="10"/>
      <c r="I468" s="10"/>
      <c r="J468" s="10"/>
      <c r="K468" s="9"/>
      <c r="L468" s="9"/>
      <c r="M468" s="9"/>
    </row>
    <row x14ac:dyDescent="0.25" r="469" customHeight="1" ht="18.75">
      <c r="A469" s="8"/>
      <c r="B469" s="9"/>
      <c r="C469" s="9"/>
      <c r="D469" s="9"/>
      <c r="E469" s="9"/>
      <c r="F469" s="8"/>
      <c r="G469" s="8"/>
      <c r="H469" s="10"/>
      <c r="I469" s="10"/>
      <c r="J469" s="10"/>
      <c r="K469" s="9"/>
      <c r="L469" s="9"/>
      <c r="M469" s="9"/>
    </row>
    <row x14ac:dyDescent="0.25" r="470" customHeight="1" ht="18.75">
      <c r="A470" s="8"/>
      <c r="B470" s="9"/>
      <c r="C470" s="9"/>
      <c r="D470" s="9"/>
      <c r="E470" s="9"/>
      <c r="F470" s="8"/>
      <c r="G470" s="8"/>
      <c r="H470" s="10"/>
      <c r="I470" s="10"/>
      <c r="J470" s="10"/>
      <c r="K470" s="9"/>
      <c r="L470" s="9"/>
      <c r="M470" s="9"/>
    </row>
    <row x14ac:dyDescent="0.25" r="471" customHeight="1" ht="18.75">
      <c r="A471" s="8"/>
      <c r="B471" s="9"/>
      <c r="C471" s="9"/>
      <c r="D471" s="9"/>
      <c r="E471" s="9"/>
      <c r="F471" s="8"/>
      <c r="G471" s="8"/>
      <c r="H471" s="10"/>
      <c r="I471" s="10"/>
      <c r="J471" s="10"/>
      <c r="K471" s="9"/>
      <c r="L471" s="9"/>
      <c r="M471" s="9"/>
    </row>
    <row x14ac:dyDescent="0.25" r="472" customHeight="1" ht="18.75">
      <c r="A472" s="8"/>
      <c r="B472" s="9"/>
      <c r="C472" s="9"/>
      <c r="D472" s="9"/>
      <c r="E472" s="9"/>
      <c r="F472" s="8"/>
      <c r="G472" s="8"/>
      <c r="H472" s="10"/>
      <c r="I472" s="10"/>
      <c r="J472" s="10"/>
      <c r="K472" s="9"/>
      <c r="L472" s="9"/>
      <c r="M472" s="9"/>
    </row>
    <row x14ac:dyDescent="0.25" r="473" customHeight="1" ht="18.75">
      <c r="A473" s="8"/>
      <c r="B473" s="9"/>
      <c r="C473" s="9"/>
      <c r="D473" s="9"/>
      <c r="E473" s="9"/>
      <c r="F473" s="8"/>
      <c r="G473" s="8"/>
      <c r="H473" s="10"/>
      <c r="I473" s="10"/>
      <c r="J473" s="10"/>
      <c r="K473" s="9"/>
      <c r="L473" s="9"/>
      <c r="M473" s="9"/>
    </row>
    <row x14ac:dyDescent="0.25" r="474" customHeight="1" ht="18.75">
      <c r="A474" s="8"/>
      <c r="B474" s="9"/>
      <c r="C474" s="9"/>
      <c r="D474" s="9"/>
      <c r="E474" s="9"/>
      <c r="F474" s="8"/>
      <c r="G474" s="8"/>
      <c r="H474" s="10"/>
      <c r="I474" s="10"/>
      <c r="J474" s="10"/>
      <c r="K474" s="9"/>
      <c r="L474" s="9"/>
      <c r="M474" s="9"/>
    </row>
    <row x14ac:dyDescent="0.25" r="475" customHeight="1" ht="18.75">
      <c r="A475" s="8"/>
      <c r="B475" s="9"/>
      <c r="C475" s="9"/>
      <c r="D475" s="9"/>
      <c r="E475" s="9"/>
      <c r="F475" s="8"/>
      <c r="G475" s="8"/>
      <c r="H475" s="10"/>
      <c r="I475" s="10"/>
      <c r="J475" s="10"/>
      <c r="K475" s="9"/>
      <c r="L475" s="9"/>
      <c r="M475" s="9"/>
    </row>
    <row x14ac:dyDescent="0.25" r="476" customHeight="1" ht="18.75">
      <c r="A476" s="8"/>
      <c r="B476" s="9"/>
      <c r="C476" s="9"/>
      <c r="D476" s="9"/>
      <c r="E476" s="9"/>
      <c r="F476" s="8"/>
      <c r="G476" s="8"/>
      <c r="H476" s="10"/>
      <c r="I476" s="10"/>
      <c r="J476" s="10"/>
      <c r="K476" s="9"/>
      <c r="L476" s="9"/>
      <c r="M476" s="9"/>
    </row>
    <row x14ac:dyDescent="0.25" r="477" customHeight="1" ht="18.75">
      <c r="A477" s="8"/>
      <c r="B477" s="9"/>
      <c r="C477" s="9"/>
      <c r="D477" s="9"/>
      <c r="E477" s="9"/>
      <c r="F477" s="8"/>
      <c r="G477" s="8"/>
      <c r="H477" s="10"/>
      <c r="I477" s="10"/>
      <c r="J477" s="10"/>
      <c r="K477" s="9"/>
      <c r="L477" s="9"/>
      <c r="M477" s="9"/>
    </row>
    <row x14ac:dyDescent="0.25" r="478" customHeight="1" ht="18.75">
      <c r="A478" s="8"/>
      <c r="B478" s="9"/>
      <c r="C478" s="9"/>
      <c r="D478" s="9"/>
      <c r="E478" s="9"/>
      <c r="F478" s="8"/>
      <c r="G478" s="8"/>
      <c r="H478" s="10"/>
      <c r="I478" s="10"/>
      <c r="J478" s="10"/>
      <c r="K478" s="9"/>
      <c r="L478" s="9"/>
      <c r="M478" s="9"/>
    </row>
    <row x14ac:dyDescent="0.25" r="479" customHeight="1" ht="18.75">
      <c r="A479" s="8"/>
      <c r="B479" s="9"/>
      <c r="C479" s="9"/>
      <c r="D479" s="9"/>
      <c r="E479" s="9"/>
      <c r="F479" s="8"/>
      <c r="G479" s="8"/>
      <c r="H479" s="10"/>
      <c r="I479" s="10"/>
      <c r="J479" s="10"/>
      <c r="K479" s="9"/>
      <c r="L479" s="9"/>
      <c r="M479" s="9"/>
    </row>
    <row x14ac:dyDescent="0.25" r="480" customHeight="1" ht="18.75">
      <c r="A480" s="8"/>
      <c r="B480" s="9"/>
      <c r="C480" s="9"/>
      <c r="D480" s="9"/>
      <c r="E480" s="9"/>
      <c r="F480" s="8"/>
      <c r="G480" s="8"/>
      <c r="H480" s="10"/>
      <c r="I480" s="10"/>
      <c r="J480" s="10"/>
      <c r="K480" s="9"/>
      <c r="L480" s="9"/>
      <c r="M480" s="9"/>
    </row>
    <row x14ac:dyDescent="0.25" r="481" customHeight="1" ht="18.75">
      <c r="A481" s="8"/>
      <c r="B481" s="9"/>
      <c r="C481" s="9"/>
      <c r="D481" s="9"/>
      <c r="E481" s="9"/>
      <c r="F481" s="8"/>
      <c r="G481" s="8"/>
      <c r="H481" s="10"/>
      <c r="I481" s="10"/>
      <c r="J481" s="10"/>
      <c r="K481" s="9"/>
      <c r="L481" s="9"/>
      <c r="M481" s="9"/>
    </row>
    <row x14ac:dyDescent="0.25" r="482" customHeight="1" ht="18.75">
      <c r="A482" s="8"/>
      <c r="B482" s="9"/>
      <c r="C482" s="9"/>
      <c r="D482" s="9"/>
      <c r="E482" s="9"/>
      <c r="F482" s="8"/>
      <c r="G482" s="8"/>
      <c r="H482" s="10"/>
      <c r="I482" s="10"/>
      <c r="J482" s="10"/>
      <c r="K482" s="9"/>
      <c r="L482" s="9"/>
      <c r="M482" s="9"/>
    </row>
    <row x14ac:dyDescent="0.25" r="483" customHeight="1" ht="18.75">
      <c r="A483" s="8"/>
      <c r="B483" s="9"/>
      <c r="C483" s="9"/>
      <c r="D483" s="9"/>
      <c r="E483" s="9"/>
      <c r="F483" s="8"/>
      <c r="G483" s="8"/>
      <c r="H483" s="10"/>
      <c r="I483" s="10"/>
      <c r="J483" s="10"/>
      <c r="K483" s="9"/>
      <c r="L483" s="9"/>
      <c r="M483" s="9"/>
    </row>
    <row x14ac:dyDescent="0.25" r="484" customHeight="1" ht="18.75">
      <c r="A484" s="8"/>
      <c r="B484" s="9"/>
      <c r="C484" s="9"/>
      <c r="D484" s="9"/>
      <c r="E484" s="9"/>
      <c r="F484" s="8"/>
      <c r="G484" s="8"/>
      <c r="H484" s="10"/>
      <c r="I484" s="10"/>
      <c r="J484" s="10"/>
      <c r="K484" s="9"/>
      <c r="L484" s="9"/>
      <c r="M484" s="9"/>
    </row>
    <row x14ac:dyDescent="0.25" r="485" customHeight="1" ht="18.75">
      <c r="A485" s="8"/>
      <c r="B485" s="9"/>
      <c r="C485" s="9"/>
      <c r="D485" s="9"/>
      <c r="E485" s="9"/>
      <c r="F485" s="8"/>
      <c r="G485" s="8"/>
      <c r="H485" s="10"/>
      <c r="I485" s="10"/>
      <c r="J485" s="10"/>
      <c r="K485" s="9"/>
      <c r="L485" s="9"/>
      <c r="M485" s="9"/>
    </row>
    <row x14ac:dyDescent="0.25" r="486" customHeight="1" ht="18.75">
      <c r="A486" s="8"/>
      <c r="B486" s="9"/>
      <c r="C486" s="9"/>
      <c r="D486" s="9"/>
      <c r="E486" s="9"/>
      <c r="F486" s="8"/>
      <c r="G486" s="8"/>
      <c r="H486" s="10"/>
      <c r="I486" s="10"/>
      <c r="J486" s="10"/>
      <c r="K486" s="9"/>
      <c r="L486" s="9"/>
      <c r="M486" s="9"/>
    </row>
    <row x14ac:dyDescent="0.25" r="487" customHeight="1" ht="18.75">
      <c r="A487" s="8"/>
      <c r="B487" s="9"/>
      <c r="C487" s="9"/>
      <c r="D487" s="9"/>
      <c r="E487" s="9"/>
      <c r="F487" s="8"/>
      <c r="G487" s="8"/>
      <c r="H487" s="10"/>
      <c r="I487" s="10"/>
      <c r="J487" s="10"/>
      <c r="K487" s="9"/>
      <c r="L487" s="9"/>
      <c r="M487" s="9"/>
    </row>
    <row x14ac:dyDescent="0.25" r="488" customHeight="1" ht="18.75">
      <c r="A488" s="8"/>
      <c r="B488" s="9"/>
      <c r="C488" s="9"/>
      <c r="D488" s="9"/>
      <c r="E488" s="9"/>
      <c r="F488" s="8"/>
      <c r="G488" s="8"/>
      <c r="H488" s="10"/>
      <c r="I488" s="10"/>
      <c r="J488" s="10"/>
      <c r="K488" s="9"/>
      <c r="L488" s="9"/>
      <c r="M488" s="9"/>
    </row>
    <row x14ac:dyDescent="0.25" r="489" customHeight="1" ht="18.75">
      <c r="A489" s="8"/>
      <c r="B489" s="9"/>
      <c r="C489" s="9"/>
      <c r="D489" s="9"/>
      <c r="E489" s="9"/>
      <c r="F489" s="8"/>
      <c r="G489" s="8"/>
      <c r="H489" s="10"/>
      <c r="I489" s="10"/>
      <c r="J489" s="10"/>
      <c r="K489" s="9"/>
      <c r="L489" s="9"/>
      <c r="M489" s="9"/>
    </row>
    <row x14ac:dyDescent="0.25" r="490" customHeight="1" ht="18.75">
      <c r="A490" s="8"/>
      <c r="B490" s="9"/>
      <c r="C490" s="9"/>
      <c r="D490" s="9"/>
      <c r="E490" s="9"/>
      <c r="F490" s="8"/>
      <c r="G490" s="8"/>
      <c r="H490" s="10"/>
      <c r="I490" s="10"/>
      <c r="J490" s="10"/>
      <c r="K490" s="9"/>
      <c r="L490" s="9"/>
      <c r="M490" s="9"/>
    </row>
    <row x14ac:dyDescent="0.25" r="491" customHeight="1" ht="18.75">
      <c r="A491" s="8"/>
      <c r="B491" s="9"/>
      <c r="C491" s="9"/>
      <c r="D491" s="9"/>
      <c r="E491" s="9"/>
      <c r="F491" s="8"/>
      <c r="G491" s="8"/>
      <c r="H491" s="10"/>
      <c r="I491" s="10"/>
      <c r="J491" s="10"/>
      <c r="K491" s="9"/>
      <c r="L491" s="9"/>
      <c r="M491" s="9"/>
    </row>
    <row x14ac:dyDescent="0.25" r="492" customHeight="1" ht="18.75">
      <c r="A492" s="8"/>
      <c r="B492" s="9"/>
      <c r="C492" s="9"/>
      <c r="D492" s="9"/>
      <c r="E492" s="9"/>
      <c r="F492" s="8"/>
      <c r="G492" s="8"/>
      <c r="H492" s="10"/>
      <c r="I492" s="10"/>
      <c r="J492" s="10"/>
      <c r="K492" s="9"/>
      <c r="L492" s="9"/>
      <c r="M492" s="9"/>
    </row>
    <row x14ac:dyDescent="0.25" r="493" customHeight="1" ht="18.75">
      <c r="A493" s="8"/>
      <c r="B493" s="9"/>
      <c r="C493" s="9"/>
      <c r="D493" s="9"/>
      <c r="E493" s="9"/>
      <c r="F493" s="8"/>
      <c r="G493" s="8"/>
      <c r="H493" s="10"/>
      <c r="I493" s="10"/>
      <c r="J493" s="10"/>
      <c r="K493" s="9"/>
      <c r="L493" s="9"/>
      <c r="M493" s="9"/>
    </row>
    <row x14ac:dyDescent="0.25" r="494" customHeight="1" ht="18.75">
      <c r="A494" s="8"/>
      <c r="B494" s="9"/>
      <c r="C494" s="9"/>
      <c r="D494" s="9"/>
      <c r="E494" s="9"/>
      <c r="F494" s="8"/>
      <c r="G494" s="8"/>
      <c r="H494" s="10"/>
      <c r="I494" s="10"/>
      <c r="J494" s="10"/>
      <c r="K494" s="9"/>
      <c r="L494" s="9"/>
      <c r="M494" s="9"/>
    </row>
    <row x14ac:dyDescent="0.25" r="495" customHeight="1" ht="18.75">
      <c r="A495" s="8"/>
      <c r="B495" s="9"/>
      <c r="C495" s="9"/>
      <c r="D495" s="9"/>
      <c r="E495" s="9"/>
      <c r="F495" s="8"/>
      <c r="G495" s="8"/>
      <c r="H495" s="10"/>
      <c r="I495" s="10"/>
      <c r="J495" s="10"/>
      <c r="K495" s="9"/>
      <c r="L495" s="9"/>
      <c r="M495" s="9"/>
    </row>
    <row x14ac:dyDescent="0.25" r="496" customHeight="1" ht="18.75">
      <c r="A496" s="8"/>
      <c r="B496" s="9"/>
      <c r="C496" s="9"/>
      <c r="D496" s="9"/>
      <c r="E496" s="9"/>
      <c r="F496" s="8"/>
      <c r="G496" s="8"/>
      <c r="H496" s="10"/>
      <c r="I496" s="10"/>
      <c r="J496" s="10"/>
      <c r="K496" s="9"/>
      <c r="L496" s="9"/>
      <c r="M496" s="9"/>
    </row>
    <row x14ac:dyDescent="0.25" r="497" customHeight="1" ht="18.75">
      <c r="A497" s="8"/>
      <c r="B497" s="9"/>
      <c r="C497" s="9"/>
      <c r="D497" s="9"/>
      <c r="E497" s="9"/>
      <c r="F497" s="8"/>
      <c r="G497" s="8"/>
      <c r="H497" s="10"/>
      <c r="I497" s="10"/>
      <c r="J497" s="10"/>
      <c r="K497" s="9"/>
      <c r="L497" s="9"/>
      <c r="M497" s="9"/>
    </row>
    <row x14ac:dyDescent="0.25" r="498" customHeight="1" ht="18.75">
      <c r="A498" s="8"/>
      <c r="B498" s="9"/>
      <c r="C498" s="9"/>
      <c r="D498" s="9"/>
      <c r="E498" s="9"/>
      <c r="F498" s="8"/>
      <c r="G498" s="8"/>
      <c r="H498" s="10"/>
      <c r="I498" s="10"/>
      <c r="J498" s="10"/>
      <c r="K498" s="9"/>
      <c r="L498" s="9"/>
      <c r="M498" s="9"/>
    </row>
    <row x14ac:dyDescent="0.25" r="499" customHeight="1" ht="18.75">
      <c r="A499" s="8"/>
      <c r="B499" s="9"/>
      <c r="C499" s="9"/>
      <c r="D499" s="9"/>
      <c r="E499" s="9"/>
      <c r="F499" s="8"/>
      <c r="G499" s="8"/>
      <c r="H499" s="10"/>
      <c r="I499" s="10"/>
      <c r="J499" s="10"/>
      <c r="K499" s="9"/>
      <c r="L499" s="9"/>
      <c r="M499" s="9"/>
    </row>
    <row x14ac:dyDescent="0.25" r="500" customHeight="1" ht="18.75">
      <c r="A500" s="8"/>
      <c r="B500" s="9"/>
      <c r="C500" s="9"/>
      <c r="D500" s="9"/>
      <c r="E500" s="9"/>
      <c r="F500" s="8"/>
      <c r="G500" s="8"/>
      <c r="H500" s="10"/>
      <c r="I500" s="10"/>
      <c r="J500" s="10"/>
      <c r="K500" s="9"/>
      <c r="L500" s="9"/>
      <c r="M500" s="9"/>
    </row>
    <row x14ac:dyDescent="0.25" r="501" customHeight="1" ht="18.75">
      <c r="A501" s="8"/>
      <c r="B501" s="9"/>
      <c r="C501" s="9"/>
      <c r="D501" s="9"/>
      <c r="E501" s="9"/>
      <c r="F501" s="8"/>
      <c r="G501" s="8"/>
      <c r="H501" s="10"/>
      <c r="I501" s="10"/>
      <c r="J501" s="10"/>
      <c r="K501" s="9"/>
      <c r="L501" s="9"/>
      <c r="M501" s="9"/>
    </row>
    <row x14ac:dyDescent="0.25" r="502" customHeight="1" ht="18.75">
      <c r="A502" s="8"/>
      <c r="B502" s="9"/>
      <c r="C502" s="9"/>
      <c r="D502" s="9"/>
      <c r="E502" s="9"/>
      <c r="F502" s="8"/>
      <c r="G502" s="8"/>
      <c r="H502" s="10"/>
      <c r="I502" s="10"/>
      <c r="J502" s="10"/>
      <c r="K502" s="9"/>
      <c r="L502" s="9"/>
      <c r="M502" s="9"/>
    </row>
    <row x14ac:dyDescent="0.25" r="503" customHeight="1" ht="18.75">
      <c r="A503" s="8"/>
      <c r="B503" s="9"/>
      <c r="C503" s="9"/>
      <c r="D503" s="9"/>
      <c r="E503" s="9"/>
      <c r="F503" s="8"/>
      <c r="G503" s="8"/>
      <c r="H503" s="10"/>
      <c r="I503" s="10"/>
      <c r="J503" s="10"/>
      <c r="K503" s="9"/>
      <c r="L503" s="9"/>
      <c r="M503" s="9"/>
    </row>
    <row x14ac:dyDescent="0.25" r="504" customHeight="1" ht="18.75">
      <c r="A504" s="8"/>
      <c r="B504" s="9"/>
      <c r="C504" s="9"/>
      <c r="D504" s="9"/>
      <c r="E504" s="9"/>
      <c r="F504" s="8"/>
      <c r="G504" s="8"/>
      <c r="H504" s="10"/>
      <c r="I504" s="10"/>
      <c r="J504" s="10"/>
      <c r="K504" s="9"/>
      <c r="L504" s="9"/>
      <c r="M504" s="9"/>
    </row>
    <row x14ac:dyDescent="0.25" r="505" customHeight="1" ht="18.75">
      <c r="A505" s="8"/>
      <c r="B505" s="9"/>
      <c r="C505" s="9"/>
      <c r="D505" s="9"/>
      <c r="E505" s="9"/>
      <c r="F505" s="8"/>
      <c r="G505" s="8"/>
      <c r="H505" s="10"/>
      <c r="I505" s="10"/>
      <c r="J505" s="10"/>
      <c r="K505" s="9"/>
      <c r="L505" s="9"/>
      <c r="M505" s="9"/>
    </row>
    <row x14ac:dyDescent="0.25" r="506" customHeight="1" ht="18.75">
      <c r="A506" s="8"/>
      <c r="B506" s="9"/>
      <c r="C506" s="9"/>
      <c r="D506" s="9"/>
      <c r="E506" s="9"/>
      <c r="F506" s="8"/>
      <c r="G506" s="8"/>
      <c r="H506" s="10"/>
      <c r="I506" s="10"/>
      <c r="J506" s="10"/>
      <c r="K506" s="9"/>
      <c r="L506" s="9"/>
      <c r="M506" s="9"/>
    </row>
    <row x14ac:dyDescent="0.25" r="507" customHeight="1" ht="18.75">
      <c r="A507" s="8"/>
      <c r="B507" s="9"/>
      <c r="C507" s="9"/>
      <c r="D507" s="9"/>
      <c r="E507" s="9"/>
      <c r="F507" s="8"/>
      <c r="G507" s="8"/>
      <c r="H507" s="10"/>
      <c r="I507" s="10"/>
      <c r="J507" s="10"/>
      <c r="K507" s="9"/>
      <c r="L507" s="9"/>
      <c r="M507" s="9"/>
    </row>
    <row x14ac:dyDescent="0.25" r="508" customHeight="1" ht="18.75">
      <c r="A508" s="8"/>
      <c r="B508" s="9"/>
      <c r="C508" s="9"/>
      <c r="D508" s="9"/>
      <c r="E508" s="9"/>
      <c r="F508" s="8"/>
      <c r="G508" s="8"/>
      <c r="H508" s="10"/>
      <c r="I508" s="10"/>
      <c r="J508" s="10"/>
      <c r="K508" s="9"/>
      <c r="L508" s="9"/>
      <c r="M508" s="9"/>
    </row>
    <row x14ac:dyDescent="0.25" r="509" customHeight="1" ht="18.75">
      <c r="A509" s="8"/>
      <c r="B509" s="9"/>
      <c r="C509" s="9"/>
      <c r="D509" s="9"/>
      <c r="E509" s="9"/>
      <c r="F509" s="8"/>
      <c r="G509" s="8"/>
      <c r="H509" s="10"/>
      <c r="I509" s="10"/>
      <c r="J509" s="10"/>
      <c r="K509" s="9"/>
      <c r="L509" s="9"/>
      <c r="M509" s="9"/>
    </row>
    <row x14ac:dyDescent="0.25" r="510" customHeight="1" ht="18.75">
      <c r="A510" s="8"/>
      <c r="B510" s="9"/>
      <c r="C510" s="9"/>
      <c r="D510" s="9"/>
      <c r="E510" s="9"/>
      <c r="F510" s="8"/>
      <c r="G510" s="8"/>
      <c r="H510" s="10"/>
      <c r="I510" s="10"/>
      <c r="J510" s="10"/>
      <c r="K510" s="9"/>
      <c r="L510" s="9"/>
      <c r="M510" s="9"/>
    </row>
    <row x14ac:dyDescent="0.25" r="511" customHeight="1" ht="18.75">
      <c r="A511" s="8"/>
      <c r="B511" s="9"/>
      <c r="C511" s="9"/>
      <c r="D511" s="9"/>
      <c r="E511" s="9"/>
      <c r="F511" s="8"/>
      <c r="G511" s="8"/>
      <c r="H511" s="10"/>
      <c r="I511" s="10"/>
      <c r="J511" s="10"/>
      <c r="K511" s="9"/>
      <c r="L511" s="9"/>
      <c r="M511" s="9"/>
    </row>
    <row x14ac:dyDescent="0.25" r="512" customHeight="1" ht="18.75">
      <c r="A512" s="8"/>
      <c r="B512" s="9"/>
      <c r="C512" s="9"/>
      <c r="D512" s="9"/>
      <c r="E512" s="9"/>
      <c r="F512" s="8"/>
      <c r="G512" s="8"/>
      <c r="H512" s="10"/>
      <c r="I512" s="10"/>
      <c r="J512" s="10"/>
      <c r="K512" s="9"/>
      <c r="L512" s="9"/>
      <c r="M512" s="9"/>
    </row>
    <row x14ac:dyDescent="0.25" r="513" customHeight="1" ht="18.75">
      <c r="A513" s="8"/>
      <c r="B513" s="9"/>
      <c r="C513" s="9"/>
      <c r="D513" s="9"/>
      <c r="E513" s="9"/>
      <c r="F513" s="8"/>
      <c r="G513" s="8"/>
      <c r="H513" s="10"/>
      <c r="I513" s="10"/>
      <c r="J513" s="10"/>
      <c r="K513" s="9"/>
      <c r="L513" s="9"/>
      <c r="M513" s="9"/>
    </row>
    <row x14ac:dyDescent="0.25" r="514" customHeight="1" ht="18.75">
      <c r="A514" s="8"/>
      <c r="B514" s="9"/>
      <c r="C514" s="9"/>
      <c r="D514" s="9"/>
      <c r="E514" s="9"/>
      <c r="F514" s="8"/>
      <c r="G514" s="8"/>
      <c r="H514" s="10"/>
      <c r="I514" s="10"/>
      <c r="J514" s="10"/>
      <c r="K514" s="9"/>
      <c r="L514" s="9"/>
      <c r="M514" s="9"/>
    </row>
    <row x14ac:dyDescent="0.25" r="515" customHeight="1" ht="18.75">
      <c r="A515" s="8"/>
      <c r="B515" s="9"/>
      <c r="C515" s="9"/>
      <c r="D515" s="9"/>
      <c r="E515" s="9"/>
      <c r="F515" s="8"/>
      <c r="G515" s="8"/>
      <c r="H515" s="10"/>
      <c r="I515" s="10"/>
      <c r="J515" s="10"/>
      <c r="K515" s="9"/>
      <c r="L515" s="9"/>
      <c r="M515" s="9"/>
    </row>
    <row x14ac:dyDescent="0.25" r="516" customHeight="1" ht="18.75">
      <c r="A516" s="8"/>
      <c r="B516" s="9"/>
      <c r="C516" s="9"/>
      <c r="D516" s="9"/>
      <c r="E516" s="9"/>
      <c r="F516" s="8"/>
      <c r="G516" s="8"/>
      <c r="H516" s="10"/>
      <c r="I516" s="10"/>
      <c r="J516" s="10"/>
      <c r="K516" s="9"/>
      <c r="L516" s="9"/>
      <c r="M516" s="9"/>
    </row>
    <row x14ac:dyDescent="0.25" r="517" customHeight="1" ht="18.75">
      <c r="A517" s="8"/>
      <c r="B517" s="9"/>
      <c r="C517" s="9"/>
      <c r="D517" s="9"/>
      <c r="E517" s="9"/>
      <c r="F517" s="8"/>
      <c r="G517" s="8"/>
      <c r="H517" s="10"/>
      <c r="I517" s="10"/>
      <c r="J517" s="10"/>
      <c r="K517" s="9"/>
      <c r="L517" s="9"/>
      <c r="M517" s="9"/>
    </row>
    <row x14ac:dyDescent="0.25" r="518" customHeight="1" ht="18.75">
      <c r="A518" s="8"/>
      <c r="B518" s="9"/>
      <c r="C518" s="9"/>
      <c r="D518" s="9"/>
      <c r="E518" s="9"/>
      <c r="F518" s="8"/>
      <c r="G518" s="8"/>
      <c r="H518" s="10"/>
      <c r="I518" s="10"/>
      <c r="J518" s="10"/>
      <c r="K518" s="9"/>
      <c r="L518" s="9"/>
      <c r="M518" s="9"/>
    </row>
    <row x14ac:dyDescent="0.25" r="519" customHeight="1" ht="18.75">
      <c r="A519" s="8"/>
      <c r="B519" s="9"/>
      <c r="C519" s="9"/>
      <c r="D519" s="9"/>
      <c r="E519" s="9"/>
      <c r="F519" s="8"/>
      <c r="G519" s="8"/>
      <c r="H519" s="10"/>
      <c r="I519" s="10"/>
      <c r="J519" s="10"/>
      <c r="K519" s="9"/>
      <c r="L519" s="9"/>
      <c r="M519" s="9"/>
    </row>
    <row x14ac:dyDescent="0.25" r="520" customHeight="1" ht="18.75">
      <c r="A520" s="8"/>
      <c r="B520" s="9"/>
      <c r="C520" s="9"/>
      <c r="D520" s="9"/>
      <c r="E520" s="9"/>
      <c r="F520" s="8"/>
      <c r="G520" s="8"/>
      <c r="H520" s="10"/>
      <c r="I520" s="10"/>
      <c r="J520" s="10"/>
      <c r="K520" s="9"/>
      <c r="L520" s="9"/>
      <c r="M520" s="9"/>
    </row>
    <row x14ac:dyDescent="0.25" r="521" customHeight="1" ht="18.75">
      <c r="A521" s="8"/>
      <c r="B521" s="9"/>
      <c r="C521" s="9"/>
      <c r="D521" s="9"/>
      <c r="E521" s="9"/>
      <c r="F521" s="8"/>
      <c r="G521" s="8"/>
      <c r="H521" s="10"/>
      <c r="I521" s="10"/>
      <c r="J521" s="10"/>
      <c r="K521" s="9"/>
      <c r="L521" s="9"/>
      <c r="M521" s="9"/>
    </row>
    <row x14ac:dyDescent="0.25" r="522" customHeight="1" ht="18.75">
      <c r="A522" s="8"/>
      <c r="B522" s="9"/>
      <c r="C522" s="9"/>
      <c r="D522" s="9"/>
      <c r="E522" s="9"/>
      <c r="F522" s="8"/>
      <c r="G522" s="8"/>
      <c r="H522" s="10"/>
      <c r="I522" s="10"/>
      <c r="J522" s="10"/>
      <c r="K522" s="9"/>
      <c r="L522" s="9"/>
      <c r="M522" s="9"/>
    </row>
    <row x14ac:dyDescent="0.25" r="523" customHeight="1" ht="18.75">
      <c r="A523" s="8"/>
      <c r="B523" s="9"/>
      <c r="C523" s="9"/>
      <c r="D523" s="9"/>
      <c r="E523" s="9"/>
      <c r="F523" s="8"/>
      <c r="G523" s="8"/>
      <c r="H523" s="10"/>
      <c r="I523" s="10"/>
      <c r="J523" s="10"/>
      <c r="K523" s="9"/>
      <c r="L523" s="9"/>
      <c r="M523" s="9"/>
    </row>
    <row x14ac:dyDescent="0.25" r="524" customHeight="1" ht="18.75">
      <c r="A524" s="8"/>
      <c r="B524" s="9"/>
      <c r="C524" s="9"/>
      <c r="D524" s="9"/>
      <c r="E524" s="9"/>
      <c r="F524" s="8"/>
      <c r="G524" s="8"/>
      <c r="H524" s="10"/>
      <c r="I524" s="10"/>
      <c r="J524" s="10"/>
      <c r="K524" s="9"/>
      <c r="L524" s="9"/>
      <c r="M524" s="9"/>
    </row>
    <row x14ac:dyDescent="0.25" r="525" customHeight="1" ht="18.75">
      <c r="A525" s="8"/>
      <c r="B525" s="9"/>
      <c r="C525" s="9"/>
      <c r="D525" s="9"/>
      <c r="E525" s="9"/>
      <c r="F525" s="8"/>
      <c r="G525" s="8"/>
      <c r="H525" s="10"/>
      <c r="I525" s="10"/>
      <c r="J525" s="10"/>
      <c r="K525" s="9"/>
      <c r="L525" s="9"/>
      <c r="M525" s="9"/>
    </row>
    <row x14ac:dyDescent="0.25" r="526" customHeight="1" ht="18.75">
      <c r="A526" s="8"/>
      <c r="B526" s="9"/>
      <c r="C526" s="9"/>
      <c r="D526" s="9"/>
      <c r="E526" s="9"/>
      <c r="F526" s="8"/>
      <c r="G526" s="8"/>
      <c r="H526" s="10"/>
      <c r="I526" s="10"/>
      <c r="J526" s="10"/>
      <c r="K526" s="9"/>
      <c r="L526" s="9"/>
      <c r="M526" s="9"/>
    </row>
    <row x14ac:dyDescent="0.25" r="527" customHeight="1" ht="18.75">
      <c r="A527" s="8"/>
      <c r="B527" s="9"/>
      <c r="C527" s="9"/>
      <c r="D527" s="9"/>
      <c r="E527" s="9"/>
      <c r="F527" s="8"/>
      <c r="G527" s="8"/>
      <c r="H527" s="10"/>
      <c r="I527" s="10"/>
      <c r="J527" s="10"/>
      <c r="K527" s="9"/>
      <c r="L527" s="9"/>
      <c r="M527" s="9"/>
    </row>
    <row x14ac:dyDescent="0.25" r="528" customHeight="1" ht="18.75">
      <c r="A528" s="8"/>
      <c r="B528" s="9"/>
      <c r="C528" s="9"/>
      <c r="D528" s="9"/>
      <c r="E528" s="9"/>
      <c r="F528" s="8"/>
      <c r="G528" s="8"/>
      <c r="H528" s="10"/>
      <c r="I528" s="10"/>
      <c r="J528" s="10"/>
      <c r="K528" s="9"/>
      <c r="L528" s="9"/>
      <c r="M528" s="9"/>
    </row>
    <row x14ac:dyDescent="0.25" r="529" customHeight="1" ht="18.75">
      <c r="A529" s="8"/>
      <c r="B529" s="9"/>
      <c r="C529" s="9"/>
      <c r="D529" s="9"/>
      <c r="E529" s="9"/>
      <c r="F529" s="8"/>
      <c r="G529" s="8"/>
      <c r="H529" s="10"/>
      <c r="I529" s="10"/>
      <c r="J529" s="10"/>
      <c r="K529" s="9"/>
      <c r="L529" s="9"/>
      <c r="M529" s="9"/>
    </row>
    <row x14ac:dyDescent="0.25" r="530" customHeight="1" ht="18.75">
      <c r="A530" s="8"/>
      <c r="B530" s="9"/>
      <c r="C530" s="9"/>
      <c r="D530" s="9"/>
      <c r="E530" s="9"/>
      <c r="F530" s="8"/>
      <c r="G530" s="8"/>
      <c r="H530" s="10"/>
      <c r="I530" s="10"/>
      <c r="J530" s="10"/>
      <c r="K530" s="9"/>
      <c r="L530" s="9"/>
      <c r="M530" s="9"/>
    </row>
    <row x14ac:dyDescent="0.25" r="531" customHeight="1" ht="18.75">
      <c r="A531" s="8"/>
      <c r="B531" s="9"/>
      <c r="C531" s="9"/>
      <c r="D531" s="9"/>
      <c r="E531" s="9"/>
      <c r="F531" s="8"/>
      <c r="G531" s="8"/>
      <c r="H531" s="10"/>
      <c r="I531" s="10"/>
      <c r="J531" s="10"/>
      <c r="K531" s="9"/>
      <c r="L531" s="9"/>
      <c r="M531" s="9"/>
    </row>
    <row x14ac:dyDescent="0.25" r="532" customHeight="1" ht="18.75">
      <c r="A532" s="8"/>
      <c r="B532" s="9"/>
      <c r="C532" s="9"/>
      <c r="D532" s="9"/>
      <c r="E532" s="9"/>
      <c r="F532" s="8"/>
      <c r="G532" s="8"/>
      <c r="H532" s="10"/>
      <c r="I532" s="10"/>
      <c r="J532" s="10"/>
      <c r="K532" s="9"/>
      <c r="L532" s="9"/>
      <c r="M532" s="9"/>
    </row>
    <row x14ac:dyDescent="0.25" r="533" customHeight="1" ht="18.75">
      <c r="A533" s="8"/>
      <c r="B533" s="9"/>
      <c r="C533" s="9"/>
      <c r="D533" s="9"/>
      <c r="E533" s="9"/>
      <c r="F533" s="8"/>
      <c r="G533" s="8"/>
      <c r="H533" s="10"/>
      <c r="I533" s="10"/>
      <c r="J533" s="10"/>
      <c r="K533" s="9"/>
      <c r="L533" s="9"/>
      <c r="M533" s="9"/>
    </row>
    <row x14ac:dyDescent="0.25" r="534" customHeight="1" ht="18.75">
      <c r="A534" s="8"/>
      <c r="B534" s="9"/>
      <c r="C534" s="9"/>
      <c r="D534" s="9"/>
      <c r="E534" s="9"/>
      <c r="F534" s="8"/>
      <c r="G534" s="8"/>
      <c r="H534" s="10"/>
      <c r="I534" s="10"/>
      <c r="J534" s="10"/>
      <c r="K534" s="9"/>
      <c r="L534" s="9"/>
      <c r="M534" s="9"/>
    </row>
    <row x14ac:dyDescent="0.25" r="535" customHeight="1" ht="18.75">
      <c r="A535" s="8"/>
      <c r="B535" s="9"/>
      <c r="C535" s="9"/>
      <c r="D535" s="9"/>
      <c r="E535" s="9"/>
      <c r="F535" s="8"/>
      <c r="G535" s="8"/>
      <c r="H535" s="10"/>
      <c r="I535" s="10"/>
      <c r="J535" s="10"/>
      <c r="K535" s="9"/>
      <c r="L535" s="9"/>
      <c r="M535" s="9"/>
    </row>
    <row x14ac:dyDescent="0.25" r="536" customHeight="1" ht="18.75">
      <c r="A536" s="8"/>
      <c r="B536" s="9"/>
      <c r="C536" s="9"/>
      <c r="D536" s="9"/>
      <c r="E536" s="9"/>
      <c r="F536" s="8"/>
      <c r="G536" s="8"/>
      <c r="H536" s="10"/>
      <c r="I536" s="10"/>
      <c r="J536" s="10"/>
      <c r="K536" s="9"/>
      <c r="L536" s="9"/>
      <c r="M536" s="9"/>
    </row>
    <row x14ac:dyDescent="0.25" r="537" customHeight="1" ht="18.75">
      <c r="A537" s="8"/>
      <c r="B537" s="9"/>
      <c r="C537" s="9"/>
      <c r="D537" s="9"/>
      <c r="E537" s="9"/>
      <c r="F537" s="8"/>
      <c r="G537" s="8"/>
      <c r="H537" s="10"/>
      <c r="I537" s="10"/>
      <c r="J537" s="10"/>
      <c r="K537" s="9"/>
      <c r="L537" s="9"/>
      <c r="M537" s="9"/>
    </row>
    <row x14ac:dyDescent="0.25" r="538" customHeight="1" ht="18.75">
      <c r="A538" s="8"/>
      <c r="B538" s="9"/>
      <c r="C538" s="9"/>
      <c r="D538" s="9"/>
      <c r="E538" s="9"/>
      <c r="F538" s="8"/>
      <c r="G538" s="8"/>
      <c r="H538" s="10"/>
      <c r="I538" s="10"/>
      <c r="J538" s="10"/>
      <c r="K538" s="9"/>
      <c r="L538" s="9"/>
      <c r="M538" s="9"/>
    </row>
    <row x14ac:dyDescent="0.25" r="539" customHeight="1" ht="18.75">
      <c r="A539" s="8"/>
      <c r="B539" s="9"/>
      <c r="C539" s="9"/>
      <c r="D539" s="9"/>
      <c r="E539" s="9"/>
      <c r="F539" s="8"/>
      <c r="G539" s="8"/>
      <c r="H539" s="10"/>
      <c r="I539" s="10"/>
      <c r="J539" s="10"/>
      <c r="K539" s="9"/>
      <c r="L539" s="9"/>
      <c r="M539" s="9"/>
    </row>
    <row x14ac:dyDescent="0.25" r="540" customHeight="1" ht="18.75">
      <c r="A540" s="8"/>
      <c r="B540" s="9"/>
      <c r="C540" s="9"/>
      <c r="D540" s="9"/>
      <c r="E540" s="9"/>
      <c r="F540" s="8"/>
      <c r="G540" s="8"/>
      <c r="H540" s="10"/>
      <c r="I540" s="10"/>
      <c r="J540" s="10"/>
      <c r="K540" s="9"/>
      <c r="L540" s="9"/>
      <c r="M540" s="9"/>
    </row>
    <row x14ac:dyDescent="0.25" r="541" customHeight="1" ht="18.75">
      <c r="A541" s="8"/>
      <c r="B541" s="9"/>
      <c r="C541" s="9"/>
      <c r="D541" s="9"/>
      <c r="E541" s="9"/>
      <c r="F541" s="8"/>
      <c r="G541" s="8"/>
      <c r="H541" s="10"/>
      <c r="I541" s="10"/>
      <c r="J541" s="10"/>
      <c r="K541" s="9"/>
      <c r="L541" s="9"/>
      <c r="M541" s="9"/>
    </row>
    <row x14ac:dyDescent="0.25" r="542" customHeight="1" ht="18.75">
      <c r="A542" s="8"/>
      <c r="B542" s="9"/>
      <c r="C542" s="9"/>
      <c r="D542" s="9"/>
      <c r="E542" s="9"/>
      <c r="F542" s="8"/>
      <c r="G542" s="8"/>
      <c r="H542" s="10"/>
      <c r="I542" s="10"/>
      <c r="J542" s="10"/>
      <c r="K542" s="9"/>
      <c r="L542" s="9"/>
      <c r="M542" s="9"/>
    </row>
    <row x14ac:dyDescent="0.25" r="543" customHeight="1" ht="18.75">
      <c r="A543" s="8"/>
      <c r="B543" s="9"/>
      <c r="C543" s="9"/>
      <c r="D543" s="9"/>
      <c r="E543" s="9"/>
      <c r="F543" s="8"/>
      <c r="G543" s="8"/>
      <c r="H543" s="10"/>
      <c r="I543" s="10"/>
      <c r="J543" s="10"/>
      <c r="K543" s="9"/>
      <c r="L543" s="9"/>
      <c r="M543" s="9"/>
    </row>
    <row x14ac:dyDescent="0.25" r="544" customHeight="1" ht="18.75">
      <c r="A544" s="8"/>
      <c r="B544" s="9"/>
      <c r="C544" s="9"/>
      <c r="D544" s="9"/>
      <c r="E544" s="9"/>
      <c r="F544" s="8"/>
      <c r="G544" s="8"/>
      <c r="H544" s="10"/>
      <c r="I544" s="10"/>
      <c r="J544" s="10"/>
      <c r="K544" s="9"/>
      <c r="L544" s="9"/>
      <c r="M544" s="9"/>
    </row>
    <row x14ac:dyDescent="0.25" r="545" customHeight="1" ht="18.75">
      <c r="A545" s="8"/>
      <c r="B545" s="9"/>
      <c r="C545" s="9"/>
      <c r="D545" s="9"/>
      <c r="E545" s="9"/>
      <c r="F545" s="8"/>
      <c r="G545" s="8"/>
      <c r="H545" s="10"/>
      <c r="I545" s="10"/>
      <c r="J545" s="10"/>
      <c r="K545" s="9"/>
      <c r="L545" s="9"/>
      <c r="M545" s="9"/>
    </row>
    <row x14ac:dyDescent="0.25" r="546" customHeight="1" ht="18.75">
      <c r="A546" s="8"/>
      <c r="B546" s="9"/>
      <c r="C546" s="9"/>
      <c r="D546" s="9"/>
      <c r="E546" s="9"/>
      <c r="F546" s="8"/>
      <c r="G546" s="8"/>
      <c r="H546" s="10"/>
      <c r="I546" s="10"/>
      <c r="J546" s="10"/>
      <c r="K546" s="9"/>
      <c r="L546" s="9"/>
      <c r="M546" s="9"/>
    </row>
    <row x14ac:dyDescent="0.25" r="547" customHeight="1" ht="18.75">
      <c r="A547" s="8"/>
      <c r="B547" s="9"/>
      <c r="C547" s="9"/>
      <c r="D547" s="9"/>
      <c r="E547" s="9"/>
      <c r="F547" s="8"/>
      <c r="G547" s="8"/>
      <c r="H547" s="10"/>
      <c r="I547" s="10"/>
      <c r="J547" s="10"/>
      <c r="K547" s="9"/>
      <c r="L547" s="9"/>
      <c r="M547" s="9"/>
    </row>
    <row x14ac:dyDescent="0.25" r="548" customHeight="1" ht="18.75">
      <c r="A548" s="8"/>
      <c r="B548" s="9"/>
      <c r="C548" s="9"/>
      <c r="D548" s="9"/>
      <c r="E548" s="9"/>
      <c r="F548" s="8"/>
      <c r="G548" s="8"/>
      <c r="H548" s="10"/>
      <c r="I548" s="10"/>
      <c r="J548" s="10"/>
      <c r="K548" s="9"/>
      <c r="L548" s="9"/>
      <c r="M548" s="9"/>
    </row>
    <row x14ac:dyDescent="0.25" r="549" customHeight="1" ht="18.75">
      <c r="A549" s="8"/>
      <c r="B549" s="9"/>
      <c r="C549" s="9"/>
      <c r="D549" s="9"/>
      <c r="E549" s="9"/>
      <c r="F549" s="8"/>
      <c r="G549" s="8"/>
      <c r="H549" s="10"/>
      <c r="I549" s="10"/>
      <c r="J549" s="10"/>
      <c r="K549" s="9"/>
      <c r="L549" s="9"/>
      <c r="M549" s="9"/>
    </row>
    <row x14ac:dyDescent="0.25" r="550" customHeight="1" ht="18.75">
      <c r="A550" s="8"/>
      <c r="B550" s="9"/>
      <c r="C550" s="9"/>
      <c r="D550" s="9"/>
      <c r="E550" s="9"/>
      <c r="F550" s="8"/>
      <c r="G550" s="8"/>
      <c r="H550" s="10"/>
      <c r="I550" s="10"/>
      <c r="J550" s="10"/>
      <c r="K550" s="9"/>
      <c r="L550" s="9"/>
      <c r="M550" s="9"/>
    </row>
    <row x14ac:dyDescent="0.25" r="551" customHeight="1" ht="18.75">
      <c r="A551" s="8"/>
      <c r="B551" s="9"/>
      <c r="C551" s="9"/>
      <c r="D551" s="9"/>
      <c r="E551" s="9"/>
      <c r="F551" s="8"/>
      <c r="G551" s="8"/>
      <c r="H551" s="10"/>
      <c r="I551" s="10"/>
      <c r="J551" s="10"/>
      <c r="K551" s="9"/>
      <c r="L551" s="9"/>
      <c r="M551" s="9"/>
    </row>
    <row x14ac:dyDescent="0.25" r="552" customHeight="1" ht="18.75">
      <c r="A552" s="8"/>
      <c r="B552" s="9"/>
      <c r="C552" s="9"/>
      <c r="D552" s="9"/>
      <c r="E552" s="9"/>
      <c r="F552" s="8"/>
      <c r="G552" s="8"/>
      <c r="H552" s="10"/>
      <c r="I552" s="10"/>
      <c r="J552" s="10"/>
      <c r="K552" s="9"/>
      <c r="L552" s="9"/>
      <c r="M552" s="9"/>
    </row>
    <row x14ac:dyDescent="0.25" r="553" customHeight="1" ht="18.75">
      <c r="A553" s="8"/>
      <c r="B553" s="9"/>
      <c r="C553" s="9"/>
      <c r="D553" s="9"/>
      <c r="E553" s="9"/>
      <c r="F553" s="8"/>
      <c r="G553" s="8"/>
      <c r="H553" s="10"/>
      <c r="I553" s="10"/>
      <c r="J553" s="10"/>
      <c r="K553" s="9"/>
      <c r="L553" s="9"/>
      <c r="M553" s="9"/>
    </row>
    <row x14ac:dyDescent="0.25" r="554" customHeight="1" ht="18.75">
      <c r="A554" s="8"/>
      <c r="B554" s="9"/>
      <c r="C554" s="9"/>
      <c r="D554" s="9"/>
      <c r="E554" s="9"/>
      <c r="F554" s="8"/>
      <c r="G554" s="8"/>
      <c r="H554" s="10"/>
      <c r="I554" s="10"/>
      <c r="J554" s="10"/>
      <c r="K554" s="9"/>
      <c r="L554" s="9"/>
      <c r="M554" s="9"/>
    </row>
    <row x14ac:dyDescent="0.25" r="555" customHeight="1" ht="18.75">
      <c r="A555" s="8"/>
      <c r="B555" s="9"/>
      <c r="C555" s="9"/>
      <c r="D555" s="9"/>
      <c r="E555" s="9"/>
      <c r="F555" s="8"/>
      <c r="G555" s="8"/>
      <c r="H555" s="10"/>
      <c r="I555" s="10"/>
      <c r="J555" s="10"/>
      <c r="K555" s="9"/>
      <c r="L555" s="9"/>
      <c r="M555" s="9"/>
    </row>
    <row x14ac:dyDescent="0.25" r="556" customHeight="1" ht="18.75">
      <c r="A556" s="8"/>
      <c r="B556" s="9"/>
      <c r="C556" s="9"/>
      <c r="D556" s="9"/>
      <c r="E556" s="9"/>
      <c r="F556" s="8"/>
      <c r="G556" s="8"/>
      <c r="H556" s="10"/>
      <c r="I556" s="10"/>
      <c r="J556" s="10"/>
      <c r="K556" s="9"/>
      <c r="L556" s="9"/>
      <c r="M556" s="9"/>
    </row>
    <row x14ac:dyDescent="0.25" r="557" customHeight="1" ht="18.75">
      <c r="A557" s="8"/>
      <c r="B557" s="9"/>
      <c r="C557" s="9"/>
      <c r="D557" s="9"/>
      <c r="E557" s="9"/>
      <c r="F557" s="8"/>
      <c r="G557" s="8"/>
      <c r="H557" s="10"/>
      <c r="I557" s="10"/>
      <c r="J557" s="10"/>
      <c r="K557" s="9"/>
      <c r="L557" s="9"/>
      <c r="M557" s="9"/>
    </row>
    <row x14ac:dyDescent="0.25" r="558" customHeight="1" ht="18.75">
      <c r="A558" s="8"/>
      <c r="B558" s="9"/>
      <c r="C558" s="9"/>
      <c r="D558" s="9"/>
      <c r="E558" s="9"/>
      <c r="F558" s="8"/>
      <c r="G558" s="8"/>
      <c r="H558" s="10"/>
      <c r="I558" s="10"/>
      <c r="J558" s="10"/>
      <c r="K558" s="9"/>
      <c r="L558" s="9"/>
      <c r="M558" s="9"/>
    </row>
    <row x14ac:dyDescent="0.25" r="559" customHeight="1" ht="18.75">
      <c r="A559" s="8"/>
      <c r="B559" s="9"/>
      <c r="C559" s="9"/>
      <c r="D559" s="9"/>
      <c r="E559" s="9"/>
      <c r="F559" s="8"/>
      <c r="G559" s="8"/>
      <c r="H559" s="10"/>
      <c r="I559" s="10"/>
      <c r="J559" s="10"/>
      <c r="K559" s="9"/>
      <c r="L559" s="9"/>
      <c r="M559" s="9"/>
    </row>
    <row x14ac:dyDescent="0.25" r="560" customHeight="1" ht="18.75">
      <c r="A560" s="8"/>
      <c r="B560" s="9"/>
      <c r="C560" s="9"/>
      <c r="D560" s="9"/>
      <c r="E560" s="9"/>
      <c r="F560" s="8"/>
      <c r="G560" s="8"/>
      <c r="H560" s="10"/>
      <c r="I560" s="10"/>
      <c r="J560" s="10"/>
      <c r="K560" s="9"/>
      <c r="L560" s="9"/>
      <c r="M560" s="9"/>
    </row>
    <row x14ac:dyDescent="0.25" r="561" customHeight="1" ht="18.75">
      <c r="A561" s="8"/>
      <c r="B561" s="9"/>
      <c r="C561" s="9"/>
      <c r="D561" s="9"/>
      <c r="E561" s="9"/>
      <c r="F561" s="8"/>
      <c r="G561" s="8"/>
      <c r="H561" s="10"/>
      <c r="I561" s="10"/>
      <c r="J561" s="10"/>
      <c r="K561" s="9"/>
      <c r="L561" s="9"/>
      <c r="M561" s="9"/>
    </row>
    <row x14ac:dyDescent="0.25" r="562" customHeight="1" ht="18.75">
      <c r="A562" s="8"/>
      <c r="B562" s="9"/>
      <c r="C562" s="9"/>
      <c r="D562" s="9"/>
      <c r="E562" s="9"/>
      <c r="F562" s="8"/>
      <c r="G562" s="8"/>
      <c r="H562" s="10"/>
      <c r="I562" s="10"/>
      <c r="J562" s="10"/>
      <c r="K562" s="9"/>
      <c r="L562" s="9"/>
      <c r="M562" s="9"/>
    </row>
    <row x14ac:dyDescent="0.25" r="563" customHeight="1" ht="18.75">
      <c r="A563" s="8"/>
      <c r="B563" s="9"/>
      <c r="C563" s="9"/>
      <c r="D563" s="9"/>
      <c r="E563" s="9"/>
      <c r="F563" s="8"/>
      <c r="G563" s="8"/>
      <c r="H563" s="10"/>
      <c r="I563" s="10"/>
      <c r="J563" s="10"/>
      <c r="K563" s="9"/>
      <c r="L563" s="9"/>
      <c r="M563" s="9"/>
    </row>
    <row x14ac:dyDescent="0.25" r="564" customHeight="1" ht="18.75">
      <c r="A564" s="8"/>
      <c r="B564" s="9"/>
      <c r="C564" s="9"/>
      <c r="D564" s="9"/>
      <c r="E564" s="9"/>
      <c r="F564" s="8"/>
      <c r="G564" s="8"/>
      <c r="H564" s="10"/>
      <c r="I564" s="10"/>
      <c r="J564" s="10"/>
      <c r="K564" s="9"/>
      <c r="L564" s="9"/>
      <c r="M564" s="9"/>
    </row>
    <row x14ac:dyDescent="0.25" r="565" customHeight="1" ht="18.75">
      <c r="A565" s="8"/>
      <c r="B565" s="9"/>
      <c r="C565" s="9"/>
      <c r="D565" s="9"/>
      <c r="E565" s="9"/>
      <c r="F565" s="8"/>
      <c r="G565" s="8"/>
      <c r="H565" s="10"/>
      <c r="I565" s="10"/>
      <c r="J565" s="10"/>
      <c r="K565" s="9"/>
      <c r="L565" s="9"/>
      <c r="M565" s="9"/>
    </row>
    <row x14ac:dyDescent="0.25" r="566" customHeight="1" ht="18.75">
      <c r="A566" s="8"/>
      <c r="B566" s="9"/>
      <c r="C566" s="9"/>
      <c r="D566" s="9"/>
      <c r="E566" s="9"/>
      <c r="F566" s="8"/>
      <c r="G566" s="8"/>
      <c r="H566" s="10"/>
      <c r="I566" s="10"/>
      <c r="J566" s="10"/>
      <c r="K566" s="9"/>
      <c r="L566" s="9"/>
      <c r="M566" s="9"/>
    </row>
    <row x14ac:dyDescent="0.25" r="567" customHeight="1" ht="18.75">
      <c r="A567" s="8"/>
      <c r="B567" s="9"/>
      <c r="C567" s="9"/>
      <c r="D567" s="9"/>
      <c r="E567" s="9"/>
      <c r="F567" s="8"/>
      <c r="G567" s="8"/>
      <c r="H567" s="10"/>
      <c r="I567" s="10"/>
      <c r="J567" s="10"/>
      <c r="K567" s="9"/>
      <c r="L567" s="9"/>
      <c r="M567" s="9"/>
    </row>
    <row x14ac:dyDescent="0.25" r="568" customHeight="1" ht="18.75">
      <c r="A568" s="8"/>
      <c r="B568" s="9"/>
      <c r="C568" s="9"/>
      <c r="D568" s="9"/>
      <c r="E568" s="9"/>
      <c r="F568" s="8"/>
      <c r="G568" s="8"/>
      <c r="H568" s="10"/>
      <c r="I568" s="10"/>
      <c r="J568" s="10"/>
      <c r="K568" s="9"/>
      <c r="L568" s="9"/>
      <c r="M568" s="9"/>
    </row>
    <row x14ac:dyDescent="0.25" r="569" customHeight="1" ht="18.75">
      <c r="A569" s="8"/>
      <c r="B569" s="9"/>
      <c r="C569" s="9"/>
      <c r="D569" s="9"/>
      <c r="E569" s="9"/>
      <c r="F569" s="8"/>
      <c r="G569" s="8"/>
      <c r="H569" s="10"/>
      <c r="I569" s="10"/>
      <c r="J569" s="10"/>
      <c r="K569" s="9"/>
      <c r="L569" s="9"/>
      <c r="M569" s="9"/>
    </row>
    <row x14ac:dyDescent="0.25" r="570" customHeight="1" ht="18.75">
      <c r="A570" s="8"/>
      <c r="B570" s="9"/>
      <c r="C570" s="9"/>
      <c r="D570" s="9"/>
      <c r="E570" s="9"/>
      <c r="F570" s="8"/>
      <c r="G570" s="8"/>
      <c r="H570" s="10"/>
      <c r="I570" s="10"/>
      <c r="J570" s="10"/>
      <c r="K570" s="9"/>
      <c r="L570" s="9"/>
      <c r="M570" s="9"/>
    </row>
    <row x14ac:dyDescent="0.25" r="571" customHeight="1" ht="18.75">
      <c r="A571" s="8"/>
      <c r="B571" s="9"/>
      <c r="C571" s="9"/>
      <c r="D571" s="9"/>
      <c r="E571" s="9"/>
      <c r="F571" s="8"/>
      <c r="G571" s="8"/>
      <c r="H571" s="10"/>
      <c r="I571" s="10"/>
      <c r="J571" s="10"/>
      <c r="K571" s="9"/>
      <c r="L571" s="9"/>
      <c r="M571" s="9"/>
    </row>
    <row x14ac:dyDescent="0.25" r="572" customHeight="1" ht="18.75">
      <c r="A572" s="8"/>
      <c r="B572" s="9"/>
      <c r="C572" s="9"/>
      <c r="D572" s="9"/>
      <c r="E572" s="9"/>
      <c r="F572" s="8"/>
      <c r="G572" s="8"/>
      <c r="H572" s="10"/>
      <c r="I572" s="10"/>
      <c r="J572" s="10"/>
      <c r="K572" s="9"/>
      <c r="L572" s="9"/>
      <c r="M572" s="9"/>
    </row>
    <row x14ac:dyDescent="0.25" r="573" customHeight="1" ht="18.75">
      <c r="A573" s="8"/>
      <c r="B573" s="9"/>
      <c r="C573" s="9"/>
      <c r="D573" s="9"/>
      <c r="E573" s="9"/>
      <c r="F573" s="8"/>
      <c r="G573" s="8"/>
      <c r="H573" s="10"/>
      <c r="I573" s="10"/>
      <c r="J573" s="10"/>
      <c r="K573" s="9"/>
      <c r="L573" s="9"/>
      <c r="M573" s="9"/>
    </row>
    <row x14ac:dyDescent="0.25" r="574" customHeight="1" ht="18.75">
      <c r="A574" s="8"/>
      <c r="B574" s="9"/>
      <c r="C574" s="9"/>
      <c r="D574" s="9"/>
      <c r="E574" s="9"/>
      <c r="F574" s="8"/>
      <c r="G574" s="8"/>
      <c r="H574" s="10"/>
      <c r="I574" s="10"/>
      <c r="J574" s="10"/>
      <c r="K574" s="9"/>
      <c r="L574" s="9"/>
      <c r="M574" s="9"/>
    </row>
    <row x14ac:dyDescent="0.25" r="575" customHeight="1" ht="18.75">
      <c r="A575" s="8"/>
      <c r="B575" s="9"/>
      <c r="C575" s="9"/>
      <c r="D575" s="9"/>
      <c r="E575" s="9"/>
      <c r="F575" s="8"/>
      <c r="G575" s="8"/>
      <c r="H575" s="10"/>
      <c r="I575" s="10"/>
      <c r="J575" s="10"/>
      <c r="K575" s="9"/>
      <c r="L575" s="9"/>
      <c r="M575" s="9"/>
    </row>
    <row x14ac:dyDescent="0.25" r="576" customHeight="1" ht="18.75">
      <c r="A576" s="8"/>
      <c r="B576" s="9"/>
      <c r="C576" s="9"/>
      <c r="D576" s="9"/>
      <c r="E576" s="9"/>
      <c r="F576" s="8"/>
      <c r="G576" s="8"/>
      <c r="H576" s="10"/>
      <c r="I576" s="10"/>
      <c r="J576" s="10"/>
      <c r="K576" s="9"/>
      <c r="L576" s="9"/>
      <c r="M576" s="9"/>
    </row>
    <row x14ac:dyDescent="0.25" r="577" customHeight="1" ht="18.75">
      <c r="A577" s="8"/>
      <c r="B577" s="9"/>
      <c r="C577" s="9"/>
      <c r="D577" s="9"/>
      <c r="E577" s="9"/>
      <c r="F577" s="8"/>
      <c r="G577" s="8"/>
      <c r="H577" s="10"/>
      <c r="I577" s="10"/>
      <c r="J577" s="10"/>
      <c r="K577" s="9"/>
      <c r="L577" s="9"/>
      <c r="M577" s="9"/>
    </row>
    <row x14ac:dyDescent="0.25" r="578" customHeight="1" ht="18.75">
      <c r="A578" s="8"/>
      <c r="B578" s="9"/>
      <c r="C578" s="9"/>
      <c r="D578" s="9"/>
      <c r="E578" s="9"/>
      <c r="F578" s="8"/>
      <c r="G578" s="8"/>
      <c r="H578" s="10"/>
      <c r="I578" s="10"/>
      <c r="J578" s="10"/>
      <c r="K578" s="9"/>
      <c r="L578" s="9"/>
      <c r="M578" s="9"/>
    </row>
    <row x14ac:dyDescent="0.25" r="579" customHeight="1" ht="18.75">
      <c r="A579" s="8"/>
      <c r="B579" s="9"/>
      <c r="C579" s="9"/>
      <c r="D579" s="9"/>
      <c r="E579" s="9"/>
      <c r="F579" s="8"/>
      <c r="G579" s="8"/>
      <c r="H579" s="10"/>
      <c r="I579" s="10"/>
      <c r="J579" s="10"/>
      <c r="K579" s="9"/>
      <c r="L579" s="9"/>
      <c r="M579" s="9"/>
    </row>
    <row x14ac:dyDescent="0.25" r="580" customHeight="1" ht="18.75">
      <c r="A580" s="8"/>
      <c r="B580" s="9"/>
      <c r="C580" s="9"/>
      <c r="D580" s="9"/>
      <c r="E580" s="9"/>
      <c r="F580" s="8"/>
      <c r="G580" s="8"/>
      <c r="H580" s="10"/>
      <c r="I580" s="10"/>
      <c r="J580" s="10"/>
      <c r="K580" s="9"/>
      <c r="L580" s="9"/>
      <c r="M580" s="9"/>
    </row>
    <row x14ac:dyDescent="0.25" r="581" customHeight="1" ht="18.75">
      <c r="A581" s="8"/>
      <c r="B581" s="9"/>
      <c r="C581" s="9"/>
      <c r="D581" s="9"/>
      <c r="E581" s="9"/>
      <c r="F581" s="8"/>
      <c r="G581" s="8"/>
      <c r="H581" s="10"/>
      <c r="I581" s="10"/>
      <c r="J581" s="10"/>
      <c r="K581" s="9"/>
      <c r="L581" s="9"/>
      <c r="M581" s="9"/>
    </row>
    <row x14ac:dyDescent="0.25" r="582" customHeight="1" ht="18.75">
      <c r="A582" s="8"/>
      <c r="B582" s="9"/>
      <c r="C582" s="9"/>
      <c r="D582" s="9"/>
      <c r="E582" s="9"/>
      <c r="F582" s="8"/>
      <c r="G582" s="8"/>
      <c r="H582" s="10"/>
      <c r="I582" s="10"/>
      <c r="J582" s="10"/>
      <c r="K582" s="9"/>
      <c r="L582" s="9"/>
      <c r="M582" s="9"/>
    </row>
    <row x14ac:dyDescent="0.25" r="583" customHeight="1" ht="18.75">
      <c r="A583" s="8"/>
      <c r="B583" s="9"/>
      <c r="C583" s="9"/>
      <c r="D583" s="9"/>
      <c r="E583" s="9"/>
      <c r="F583" s="8"/>
      <c r="G583" s="8"/>
      <c r="H583" s="10"/>
      <c r="I583" s="10"/>
      <c r="J583" s="10"/>
      <c r="K583" s="9"/>
      <c r="L583" s="9"/>
      <c r="M583" s="9"/>
    </row>
    <row x14ac:dyDescent="0.25" r="584" customHeight="1" ht="18.75">
      <c r="A584" s="8"/>
      <c r="B584" s="9"/>
      <c r="C584" s="9"/>
      <c r="D584" s="9"/>
      <c r="E584" s="9"/>
      <c r="F584" s="8"/>
      <c r="G584" s="8"/>
      <c r="H584" s="10"/>
      <c r="I584" s="10"/>
      <c r="J584" s="10"/>
      <c r="K584" s="9"/>
      <c r="L584" s="9"/>
      <c r="M584" s="9"/>
    </row>
    <row x14ac:dyDescent="0.25" r="585" customHeight="1" ht="18.75">
      <c r="A585" s="8"/>
      <c r="B585" s="9"/>
      <c r="C585" s="9"/>
      <c r="D585" s="9"/>
      <c r="E585" s="9"/>
      <c r="F585" s="8"/>
      <c r="G585" s="8"/>
      <c r="H585" s="10"/>
      <c r="I585" s="10"/>
      <c r="J585" s="10"/>
      <c r="K585" s="9"/>
      <c r="L585" s="9"/>
      <c r="M585" s="9"/>
    </row>
    <row x14ac:dyDescent="0.25" r="586" customHeight="1" ht="18.75">
      <c r="A586" s="8"/>
      <c r="B586" s="9"/>
      <c r="C586" s="9"/>
      <c r="D586" s="9"/>
      <c r="E586" s="9"/>
      <c r="F586" s="8"/>
      <c r="G586" s="8"/>
      <c r="H586" s="10"/>
      <c r="I586" s="10"/>
      <c r="J586" s="10"/>
      <c r="K586" s="9"/>
      <c r="L586" s="9"/>
      <c r="M586" s="9"/>
    </row>
    <row x14ac:dyDescent="0.25" r="587" customHeight="1" ht="18.75">
      <c r="A587" s="8"/>
      <c r="B587" s="9"/>
      <c r="C587" s="9"/>
      <c r="D587" s="9"/>
      <c r="E587" s="9"/>
      <c r="F587" s="8"/>
      <c r="G587" s="8"/>
      <c r="H587" s="10"/>
      <c r="I587" s="10"/>
      <c r="J587" s="10"/>
      <c r="K587" s="9"/>
      <c r="L587" s="9"/>
      <c r="M587" s="9"/>
    </row>
    <row x14ac:dyDescent="0.25" r="588" customHeight="1" ht="18.75">
      <c r="A588" s="8"/>
      <c r="B588" s="9"/>
      <c r="C588" s="9"/>
      <c r="D588" s="9"/>
      <c r="E588" s="9"/>
      <c r="F588" s="8"/>
      <c r="G588" s="8"/>
      <c r="H588" s="10"/>
      <c r="I588" s="10"/>
      <c r="J588" s="10"/>
      <c r="K588" s="9"/>
      <c r="L588" s="9"/>
      <c r="M588" s="9"/>
    </row>
    <row x14ac:dyDescent="0.25" r="589" customHeight="1" ht="18.75">
      <c r="A589" s="8"/>
      <c r="B589" s="9"/>
      <c r="C589" s="9"/>
      <c r="D589" s="9"/>
      <c r="E589" s="9"/>
      <c r="F589" s="8"/>
      <c r="G589" s="8"/>
      <c r="H589" s="10"/>
      <c r="I589" s="10"/>
      <c r="J589" s="10"/>
      <c r="K589" s="9"/>
      <c r="L589" s="9"/>
      <c r="M589" s="9"/>
    </row>
    <row x14ac:dyDescent="0.25" r="590" customHeight="1" ht="18.75">
      <c r="A590" s="8"/>
      <c r="B590" s="9"/>
      <c r="C590" s="9"/>
      <c r="D590" s="9"/>
      <c r="E590" s="9"/>
      <c r="F590" s="8"/>
      <c r="G590" s="8"/>
      <c r="H590" s="10"/>
      <c r="I590" s="10"/>
      <c r="J590" s="10"/>
      <c r="K590" s="9"/>
      <c r="L590" s="9"/>
      <c r="M590" s="9"/>
    </row>
    <row x14ac:dyDescent="0.25" r="591" customHeight="1" ht="18.75">
      <c r="A591" s="8"/>
      <c r="B591" s="9"/>
      <c r="C591" s="9"/>
      <c r="D591" s="9"/>
      <c r="E591" s="9"/>
      <c r="F591" s="8"/>
      <c r="G591" s="8"/>
      <c r="H591" s="10"/>
      <c r="I591" s="10"/>
      <c r="J591" s="10"/>
      <c r="K591" s="9"/>
      <c r="L591" s="9"/>
      <c r="M591" s="9"/>
    </row>
    <row x14ac:dyDescent="0.25" r="592" customHeight="1" ht="18.75">
      <c r="A592" s="8"/>
      <c r="B592" s="9"/>
      <c r="C592" s="9"/>
      <c r="D592" s="9"/>
      <c r="E592" s="9"/>
      <c r="F592" s="8"/>
      <c r="G592" s="8"/>
      <c r="H592" s="10"/>
      <c r="I592" s="10"/>
      <c r="J592" s="10"/>
      <c r="K592" s="9"/>
      <c r="L592" s="9"/>
      <c r="M592" s="9"/>
    </row>
    <row x14ac:dyDescent="0.25" r="593" customHeight="1" ht="18.75">
      <c r="A593" s="8"/>
      <c r="B593" s="9"/>
      <c r="C593" s="9"/>
      <c r="D593" s="9"/>
      <c r="E593" s="9"/>
      <c r="F593" s="8"/>
      <c r="G593" s="8"/>
      <c r="H593" s="10"/>
      <c r="I593" s="10"/>
      <c r="J593" s="10"/>
      <c r="K593" s="9"/>
      <c r="L593" s="9"/>
      <c r="M593" s="9"/>
    </row>
    <row x14ac:dyDescent="0.25" r="594" customHeight="1" ht="18.75">
      <c r="A594" s="8"/>
      <c r="B594" s="9"/>
      <c r="C594" s="9"/>
      <c r="D594" s="9"/>
      <c r="E594" s="9"/>
      <c r="F594" s="8"/>
      <c r="G594" s="8"/>
      <c r="H594" s="10"/>
      <c r="I594" s="10"/>
      <c r="J594" s="10"/>
      <c r="K594" s="9"/>
      <c r="L594" s="9"/>
      <c r="M594" s="9"/>
    </row>
    <row x14ac:dyDescent="0.25" r="595" customHeight="1" ht="18.75">
      <c r="A595" s="8"/>
      <c r="B595" s="9"/>
      <c r="C595" s="9"/>
      <c r="D595" s="9"/>
      <c r="E595" s="9"/>
      <c r="F595" s="8"/>
      <c r="G595" s="8"/>
      <c r="H595" s="10"/>
      <c r="I595" s="10"/>
      <c r="J595" s="10"/>
      <c r="K595" s="9"/>
      <c r="L595" s="9"/>
      <c r="M595" s="9"/>
    </row>
    <row x14ac:dyDescent="0.25" r="596" customHeight="1" ht="18.75">
      <c r="A596" s="8"/>
      <c r="B596" s="9"/>
      <c r="C596" s="9"/>
      <c r="D596" s="9"/>
      <c r="E596" s="9"/>
      <c r="F596" s="8"/>
      <c r="G596" s="8"/>
      <c r="H596" s="10"/>
      <c r="I596" s="10"/>
      <c r="J596" s="10"/>
      <c r="K596" s="9"/>
      <c r="L596" s="9"/>
      <c r="M596" s="9"/>
    </row>
    <row x14ac:dyDescent="0.25" r="597" customHeight="1" ht="18.75">
      <c r="A597" s="8"/>
      <c r="B597" s="9"/>
      <c r="C597" s="9"/>
      <c r="D597" s="9"/>
      <c r="E597" s="9"/>
      <c r="F597" s="8"/>
      <c r="G597" s="8"/>
      <c r="H597" s="10"/>
      <c r="I597" s="10"/>
      <c r="J597" s="10"/>
      <c r="K597" s="9"/>
      <c r="L597" s="9"/>
      <c r="M597" s="9"/>
    </row>
    <row x14ac:dyDescent="0.25" r="598" customHeight="1" ht="18.75">
      <c r="A598" s="8"/>
      <c r="B598" s="9"/>
      <c r="C598" s="9"/>
      <c r="D598" s="9"/>
      <c r="E598" s="9"/>
      <c r="F598" s="8"/>
      <c r="G598" s="8"/>
      <c r="H598" s="10"/>
      <c r="I598" s="10"/>
      <c r="J598" s="10"/>
      <c r="K598" s="9"/>
      <c r="L598" s="9"/>
      <c r="M598" s="9"/>
    </row>
    <row x14ac:dyDescent="0.25" r="599" customHeight="1" ht="18.75">
      <c r="A599" s="8"/>
      <c r="B599" s="9"/>
      <c r="C599" s="9"/>
      <c r="D599" s="9"/>
      <c r="E599" s="9"/>
      <c r="F599" s="8"/>
      <c r="G599" s="8"/>
      <c r="H599" s="10"/>
      <c r="I599" s="10"/>
      <c r="J599" s="10"/>
      <c r="K599" s="9"/>
      <c r="L599" s="9"/>
      <c r="M599" s="9"/>
    </row>
    <row x14ac:dyDescent="0.25" r="600" customHeight="1" ht="18.75">
      <c r="A600" s="8"/>
      <c r="B600" s="9"/>
      <c r="C600" s="9"/>
      <c r="D600" s="9"/>
      <c r="E600" s="9"/>
      <c r="F600" s="8"/>
      <c r="G600" s="8"/>
      <c r="H600" s="10"/>
      <c r="I600" s="10"/>
      <c r="J600" s="10"/>
      <c r="K600" s="9"/>
      <c r="L600" s="9"/>
      <c r="M600" s="9"/>
    </row>
    <row x14ac:dyDescent="0.25" r="601" customHeight="1" ht="18.75">
      <c r="A601" s="8"/>
      <c r="B601" s="9"/>
      <c r="C601" s="9"/>
      <c r="D601" s="9"/>
      <c r="E601" s="9"/>
      <c r="F601" s="8"/>
      <c r="G601" s="8"/>
      <c r="H601" s="10"/>
      <c r="I601" s="10"/>
      <c r="J601" s="10"/>
      <c r="K601" s="9"/>
      <c r="L601" s="9"/>
      <c r="M601" s="9"/>
    </row>
    <row x14ac:dyDescent="0.25" r="602" customHeight="1" ht="18.75">
      <c r="A602" s="8"/>
      <c r="B602" s="9"/>
      <c r="C602" s="9"/>
      <c r="D602" s="9"/>
      <c r="E602" s="9"/>
      <c r="F602" s="8"/>
      <c r="G602" s="8"/>
      <c r="H602" s="10"/>
      <c r="I602" s="10"/>
      <c r="J602" s="10"/>
      <c r="K602" s="9"/>
      <c r="L602" s="9"/>
      <c r="M602" s="9"/>
    </row>
    <row x14ac:dyDescent="0.25" r="603" customHeight="1" ht="18.75">
      <c r="A603" s="8"/>
      <c r="B603" s="9"/>
      <c r="C603" s="9"/>
      <c r="D603" s="9"/>
      <c r="E603" s="9"/>
      <c r="F603" s="8"/>
      <c r="G603" s="8"/>
      <c r="H603" s="10"/>
      <c r="I603" s="10"/>
      <c r="J603" s="10"/>
      <c r="K603" s="9"/>
      <c r="L603" s="9"/>
      <c r="M603" s="9"/>
    </row>
    <row x14ac:dyDescent="0.25" r="604" customHeight="1" ht="18.75">
      <c r="A604" s="8"/>
      <c r="B604" s="9"/>
      <c r="C604" s="9"/>
      <c r="D604" s="9"/>
      <c r="E604" s="9"/>
      <c r="F604" s="8"/>
      <c r="G604" s="8"/>
      <c r="H604" s="10"/>
      <c r="I604" s="10"/>
      <c r="J604" s="10"/>
      <c r="K604" s="9"/>
      <c r="L604" s="9"/>
      <c r="M604" s="9"/>
    </row>
    <row x14ac:dyDescent="0.25" r="605" customHeight="1" ht="18.75">
      <c r="A605" s="8"/>
      <c r="B605" s="9"/>
      <c r="C605" s="9"/>
      <c r="D605" s="9"/>
      <c r="E605" s="9"/>
      <c r="F605" s="8"/>
      <c r="G605" s="8"/>
      <c r="H605" s="10"/>
      <c r="I605" s="10"/>
      <c r="J605" s="10"/>
      <c r="K605" s="9"/>
      <c r="L605" s="9"/>
      <c r="M605" s="9"/>
    </row>
    <row x14ac:dyDescent="0.25" r="606" customHeight="1" ht="18.75">
      <c r="A606" s="8"/>
      <c r="B606" s="9"/>
      <c r="C606" s="9"/>
      <c r="D606" s="9"/>
      <c r="E606" s="9"/>
      <c r="F606" s="8"/>
      <c r="G606" s="8"/>
      <c r="H606" s="10"/>
      <c r="I606" s="10"/>
      <c r="J606" s="10"/>
      <c r="K606" s="9"/>
      <c r="L606" s="9"/>
      <c r="M606" s="9"/>
    </row>
    <row x14ac:dyDescent="0.25" r="607" customHeight="1" ht="18.75">
      <c r="A607" s="8"/>
      <c r="B607" s="9"/>
      <c r="C607" s="9"/>
      <c r="D607" s="9"/>
      <c r="E607" s="9"/>
      <c r="F607" s="8"/>
      <c r="G607" s="8"/>
      <c r="H607" s="10"/>
      <c r="I607" s="10"/>
      <c r="J607" s="10"/>
      <c r="K607" s="9"/>
      <c r="L607" s="9"/>
      <c r="M607" s="9"/>
    </row>
    <row x14ac:dyDescent="0.25" r="608" customHeight="1" ht="18.75">
      <c r="A608" s="8"/>
      <c r="B608" s="9"/>
      <c r="C608" s="9"/>
      <c r="D608" s="9"/>
      <c r="E608" s="9"/>
      <c r="F608" s="8"/>
      <c r="G608" s="8"/>
      <c r="H608" s="10"/>
      <c r="I608" s="10"/>
      <c r="J608" s="10"/>
      <c r="K608" s="9"/>
      <c r="L608" s="9"/>
      <c r="M608" s="9"/>
    </row>
    <row x14ac:dyDescent="0.25" r="609" customHeight="1" ht="18.75">
      <c r="A609" s="8"/>
      <c r="B609" s="9"/>
      <c r="C609" s="9"/>
      <c r="D609" s="9"/>
      <c r="E609" s="9"/>
      <c r="F609" s="8"/>
      <c r="G609" s="8"/>
      <c r="H609" s="10"/>
      <c r="I609" s="10"/>
      <c r="J609" s="10"/>
      <c r="K609" s="9"/>
      <c r="L609" s="9"/>
      <c r="M609" s="9"/>
    </row>
    <row x14ac:dyDescent="0.25" r="610" customHeight="1" ht="18.75">
      <c r="A610" s="8"/>
      <c r="B610" s="9"/>
      <c r="C610" s="9"/>
      <c r="D610" s="9"/>
      <c r="E610" s="9"/>
      <c r="F610" s="8"/>
      <c r="G610" s="8"/>
      <c r="H610" s="10"/>
      <c r="I610" s="10"/>
      <c r="J610" s="10"/>
      <c r="K610" s="9"/>
      <c r="L610" s="9"/>
      <c r="M610" s="9"/>
    </row>
    <row x14ac:dyDescent="0.25" r="611" customHeight="1" ht="18.75">
      <c r="A611" s="8"/>
      <c r="B611" s="9"/>
      <c r="C611" s="9"/>
      <c r="D611" s="9"/>
      <c r="E611" s="9"/>
      <c r="F611" s="8"/>
      <c r="G611" s="8"/>
      <c r="H611" s="10"/>
      <c r="I611" s="10"/>
      <c r="J611" s="10"/>
      <c r="K611" s="9"/>
      <c r="L611" s="9"/>
      <c r="M611" s="9"/>
    </row>
    <row x14ac:dyDescent="0.25" r="612" customHeight="1" ht="18.75">
      <c r="A612" s="8"/>
      <c r="B612" s="9"/>
      <c r="C612" s="9"/>
      <c r="D612" s="9"/>
      <c r="E612" s="9"/>
      <c r="F612" s="8"/>
      <c r="G612" s="8"/>
      <c r="H612" s="10"/>
      <c r="I612" s="10"/>
      <c r="J612" s="10"/>
      <c r="K612" s="9"/>
      <c r="L612" s="9"/>
      <c r="M612" s="9"/>
    </row>
    <row x14ac:dyDescent="0.25" r="613" customHeight="1" ht="18.75">
      <c r="A613" s="8"/>
      <c r="B613" s="9"/>
      <c r="C613" s="9"/>
      <c r="D613" s="9"/>
      <c r="E613" s="9"/>
      <c r="F613" s="8"/>
      <c r="G613" s="8"/>
      <c r="H613" s="10"/>
      <c r="I613" s="10"/>
      <c r="J613" s="10"/>
      <c r="K613" s="9"/>
      <c r="L613" s="9"/>
      <c r="M613" s="9"/>
    </row>
    <row x14ac:dyDescent="0.25" r="614" customHeight="1" ht="18.75">
      <c r="A614" s="8"/>
      <c r="B614" s="9"/>
      <c r="C614" s="9"/>
      <c r="D614" s="9"/>
      <c r="E614" s="9"/>
      <c r="F614" s="8"/>
      <c r="G614" s="8"/>
      <c r="H614" s="10"/>
      <c r="I614" s="10"/>
      <c r="J614" s="10"/>
      <c r="K614" s="9"/>
      <c r="L614" s="9"/>
      <c r="M614" s="9"/>
    </row>
    <row x14ac:dyDescent="0.25" r="615" customHeight="1" ht="18.75">
      <c r="A615" s="8"/>
      <c r="B615" s="9"/>
      <c r="C615" s="9"/>
      <c r="D615" s="9"/>
      <c r="E615" s="9"/>
      <c r="F615" s="8"/>
      <c r="G615" s="8"/>
      <c r="H615" s="10"/>
      <c r="I615" s="10"/>
      <c r="J615" s="10"/>
      <c r="K615" s="9"/>
      <c r="L615" s="9"/>
      <c r="M615" s="9"/>
    </row>
    <row x14ac:dyDescent="0.25" r="616" customHeight="1" ht="18.75">
      <c r="A616" s="8"/>
      <c r="B616" s="9"/>
      <c r="C616" s="9"/>
      <c r="D616" s="9"/>
      <c r="E616" s="9"/>
      <c r="F616" s="8"/>
      <c r="G616" s="8"/>
      <c r="H616" s="10"/>
      <c r="I616" s="10"/>
      <c r="J616" s="10"/>
      <c r="K616" s="9"/>
      <c r="L616" s="9"/>
      <c r="M616" s="9"/>
    </row>
    <row x14ac:dyDescent="0.25" r="617" customHeight="1" ht="18.75">
      <c r="A617" s="8"/>
      <c r="B617" s="9"/>
      <c r="C617" s="9"/>
      <c r="D617" s="9"/>
      <c r="E617" s="9"/>
      <c r="F617" s="8"/>
      <c r="G617" s="8"/>
      <c r="H617" s="10"/>
      <c r="I617" s="10"/>
      <c r="J617" s="10"/>
      <c r="K617" s="9"/>
      <c r="L617" s="9"/>
      <c r="M617" s="9"/>
    </row>
    <row x14ac:dyDescent="0.25" r="618" customHeight="1" ht="18.75">
      <c r="A618" s="8"/>
      <c r="B618" s="9"/>
      <c r="C618" s="9"/>
      <c r="D618" s="9"/>
      <c r="E618" s="9"/>
      <c r="F618" s="8"/>
      <c r="G618" s="8"/>
      <c r="H618" s="10"/>
      <c r="I618" s="10"/>
      <c r="J618" s="10"/>
      <c r="K618" s="9"/>
      <c r="L618" s="9"/>
      <c r="M618" s="9"/>
    </row>
    <row x14ac:dyDescent="0.25" r="619" customHeight="1" ht="18.75">
      <c r="A619" s="8"/>
      <c r="B619" s="9"/>
      <c r="C619" s="9"/>
      <c r="D619" s="9"/>
      <c r="E619" s="9"/>
      <c r="F619" s="8"/>
      <c r="G619" s="8"/>
      <c r="H619" s="10"/>
      <c r="I619" s="10"/>
      <c r="J619" s="10"/>
      <c r="K619" s="9"/>
      <c r="L619" s="9"/>
      <c r="M619" s="9"/>
    </row>
    <row x14ac:dyDescent="0.25" r="620" customHeight="1" ht="18.75">
      <c r="A620" s="8"/>
      <c r="B620" s="9"/>
      <c r="C620" s="9"/>
      <c r="D620" s="9"/>
      <c r="E620" s="9"/>
      <c r="F620" s="8"/>
      <c r="G620" s="8"/>
      <c r="H620" s="10"/>
      <c r="I620" s="10"/>
      <c r="J620" s="10"/>
      <c r="K620" s="9"/>
      <c r="L620" s="9"/>
      <c r="M620" s="9"/>
    </row>
    <row x14ac:dyDescent="0.25" r="621" customHeight="1" ht="18.75">
      <c r="A621" s="8"/>
      <c r="B621" s="9"/>
      <c r="C621" s="9"/>
      <c r="D621" s="9"/>
      <c r="E621" s="9"/>
      <c r="F621" s="8"/>
      <c r="G621" s="8"/>
      <c r="H621" s="10"/>
      <c r="I621" s="10"/>
      <c r="J621" s="10"/>
      <c r="K621" s="9"/>
      <c r="L621" s="9"/>
      <c r="M621" s="9"/>
    </row>
    <row x14ac:dyDescent="0.25" r="622" customHeight="1" ht="18.75">
      <c r="A622" s="8"/>
      <c r="B622" s="9"/>
      <c r="C622" s="9"/>
      <c r="D622" s="9"/>
      <c r="E622" s="9"/>
      <c r="F622" s="8"/>
      <c r="G622" s="8"/>
      <c r="H622" s="10"/>
      <c r="I622" s="10"/>
      <c r="J622" s="10"/>
      <c r="K622" s="9"/>
      <c r="L622" s="9"/>
      <c r="M622" s="9"/>
    </row>
    <row x14ac:dyDescent="0.25" r="623" customHeight="1" ht="18.75">
      <c r="A623" s="8"/>
      <c r="B623" s="9"/>
      <c r="C623" s="9"/>
      <c r="D623" s="9"/>
      <c r="E623" s="9"/>
      <c r="F623" s="8"/>
      <c r="G623" s="8"/>
      <c r="H623" s="10"/>
      <c r="I623" s="10"/>
      <c r="J623" s="10"/>
      <c r="K623" s="9"/>
      <c r="L623" s="9"/>
      <c r="M623" s="9"/>
    </row>
    <row x14ac:dyDescent="0.25" r="624" customHeight="1" ht="18.75">
      <c r="A624" s="8"/>
      <c r="B624" s="9"/>
      <c r="C624" s="9"/>
      <c r="D624" s="9"/>
      <c r="E624" s="9"/>
      <c r="F624" s="8"/>
      <c r="G624" s="8"/>
      <c r="H624" s="10"/>
      <c r="I624" s="10"/>
      <c r="J624" s="10"/>
      <c r="K624" s="9"/>
      <c r="L624" s="9"/>
      <c r="M624" s="9"/>
    </row>
    <row x14ac:dyDescent="0.25" r="625" customHeight="1" ht="18.75">
      <c r="A625" s="8"/>
      <c r="B625" s="9"/>
      <c r="C625" s="9"/>
      <c r="D625" s="9"/>
      <c r="E625" s="9"/>
      <c r="F625" s="8"/>
      <c r="G625" s="8"/>
      <c r="H625" s="10"/>
      <c r="I625" s="10"/>
      <c r="J625" s="10"/>
      <c r="K625" s="9"/>
      <c r="L625" s="9"/>
      <c r="M625" s="9"/>
    </row>
    <row x14ac:dyDescent="0.25" r="626" customHeight="1" ht="18.75">
      <c r="A626" s="8"/>
      <c r="B626" s="9"/>
      <c r="C626" s="9"/>
      <c r="D626" s="9"/>
      <c r="E626" s="9"/>
      <c r="F626" s="8"/>
      <c r="G626" s="8"/>
      <c r="H626" s="10"/>
      <c r="I626" s="10"/>
      <c r="J626" s="10"/>
      <c r="K626" s="9"/>
      <c r="L626" s="9"/>
      <c r="M626" s="9"/>
    </row>
    <row x14ac:dyDescent="0.25" r="627" customHeight="1" ht="18.75">
      <c r="A627" s="8"/>
      <c r="B627" s="9"/>
      <c r="C627" s="9"/>
      <c r="D627" s="9"/>
      <c r="E627" s="9"/>
      <c r="F627" s="8"/>
      <c r="G627" s="8"/>
      <c r="H627" s="10"/>
      <c r="I627" s="10"/>
      <c r="J627" s="10"/>
      <c r="K627" s="9"/>
      <c r="L627" s="9"/>
      <c r="M627" s="9"/>
    </row>
    <row x14ac:dyDescent="0.25" r="628" customHeight="1" ht="18.75">
      <c r="A628" s="8"/>
      <c r="B628" s="9"/>
      <c r="C628" s="9"/>
      <c r="D628" s="9"/>
      <c r="E628" s="9"/>
      <c r="F628" s="8"/>
      <c r="G628" s="8"/>
      <c r="H628" s="10"/>
      <c r="I628" s="10"/>
      <c r="J628" s="10"/>
      <c r="K628" s="9"/>
      <c r="L628" s="9"/>
      <c r="M628" s="9"/>
    </row>
    <row x14ac:dyDescent="0.25" r="629" customHeight="1" ht="18.75">
      <c r="A629" s="8"/>
      <c r="B629" s="9"/>
      <c r="C629" s="9"/>
      <c r="D629" s="9"/>
      <c r="E629" s="9"/>
      <c r="F629" s="8"/>
      <c r="G629" s="8"/>
      <c r="H629" s="10"/>
      <c r="I629" s="10"/>
      <c r="J629" s="10"/>
      <c r="K629" s="9"/>
      <c r="L629" s="9"/>
      <c r="M629" s="9"/>
    </row>
    <row x14ac:dyDescent="0.25" r="630" customHeight="1" ht="18.75">
      <c r="A630" s="8"/>
      <c r="B630" s="9"/>
      <c r="C630" s="9"/>
      <c r="D630" s="9"/>
      <c r="E630" s="9"/>
      <c r="F630" s="8"/>
      <c r="G630" s="8"/>
      <c r="H630" s="10"/>
      <c r="I630" s="10"/>
      <c r="J630" s="10"/>
      <c r="K630" s="9"/>
      <c r="L630" s="9"/>
      <c r="M630" s="9"/>
    </row>
    <row x14ac:dyDescent="0.25" r="631" customHeight="1" ht="18.75">
      <c r="A631" s="8"/>
      <c r="B631" s="9"/>
      <c r="C631" s="9"/>
      <c r="D631" s="9"/>
      <c r="E631" s="9"/>
      <c r="F631" s="8"/>
      <c r="G631" s="8"/>
      <c r="H631" s="10"/>
      <c r="I631" s="10"/>
      <c r="J631" s="10"/>
      <c r="K631" s="9"/>
      <c r="L631" s="9"/>
      <c r="M631" s="9"/>
    </row>
    <row x14ac:dyDescent="0.25" r="632" customHeight="1" ht="18.75">
      <c r="A632" s="8"/>
      <c r="B632" s="9"/>
      <c r="C632" s="9"/>
      <c r="D632" s="9"/>
      <c r="E632" s="9"/>
      <c r="F632" s="8"/>
      <c r="G632" s="8"/>
      <c r="H632" s="10"/>
      <c r="I632" s="10"/>
      <c r="J632" s="10"/>
      <c r="K632" s="9"/>
      <c r="L632" s="9"/>
      <c r="M632" s="9"/>
    </row>
    <row x14ac:dyDescent="0.25" r="633" customHeight="1" ht="18.75">
      <c r="A633" s="8"/>
      <c r="B633" s="9"/>
      <c r="C633" s="9"/>
      <c r="D633" s="9"/>
      <c r="E633" s="9"/>
      <c r="F633" s="8"/>
      <c r="G633" s="8"/>
      <c r="H633" s="10"/>
      <c r="I633" s="10"/>
      <c r="J633" s="10"/>
      <c r="K633" s="9"/>
      <c r="L633" s="9"/>
      <c r="M633" s="9"/>
    </row>
    <row x14ac:dyDescent="0.25" r="634" customHeight="1" ht="18.75">
      <c r="A634" s="8"/>
      <c r="B634" s="9"/>
      <c r="C634" s="9"/>
      <c r="D634" s="9"/>
      <c r="E634" s="9"/>
      <c r="F634" s="8"/>
      <c r="G634" s="8"/>
      <c r="H634" s="10"/>
      <c r="I634" s="10"/>
      <c r="J634" s="10"/>
      <c r="K634" s="9"/>
      <c r="L634" s="9"/>
      <c r="M634" s="9"/>
    </row>
    <row x14ac:dyDescent="0.25" r="635" customHeight="1" ht="18.75">
      <c r="A635" s="8"/>
      <c r="B635" s="9"/>
      <c r="C635" s="9"/>
      <c r="D635" s="9"/>
      <c r="E635" s="9"/>
      <c r="F635" s="8"/>
      <c r="G635" s="8"/>
      <c r="H635" s="10"/>
      <c r="I635" s="10"/>
      <c r="J635" s="10"/>
      <c r="K635" s="9"/>
      <c r="L635" s="9"/>
      <c r="M635" s="9"/>
    </row>
    <row x14ac:dyDescent="0.25" r="636" customHeight="1" ht="18.75">
      <c r="A636" s="8"/>
      <c r="B636" s="9"/>
      <c r="C636" s="9"/>
      <c r="D636" s="9"/>
      <c r="E636" s="9"/>
      <c r="F636" s="8"/>
      <c r="G636" s="8"/>
      <c r="H636" s="10"/>
      <c r="I636" s="10"/>
      <c r="J636" s="10"/>
      <c r="K636" s="9"/>
      <c r="L636" s="9"/>
      <c r="M636" s="9"/>
    </row>
    <row x14ac:dyDescent="0.25" r="637" customHeight="1" ht="18.75">
      <c r="A637" s="8"/>
      <c r="B637" s="9"/>
      <c r="C637" s="9"/>
      <c r="D637" s="9"/>
      <c r="E637" s="9"/>
      <c r="F637" s="8"/>
      <c r="G637" s="8"/>
      <c r="H637" s="10"/>
      <c r="I637" s="10"/>
      <c r="J637" s="10"/>
      <c r="K637" s="9"/>
      <c r="L637" s="9"/>
      <c r="M637" s="9"/>
    </row>
    <row x14ac:dyDescent="0.25" r="638" customHeight="1" ht="18.75">
      <c r="A638" s="8"/>
      <c r="B638" s="9"/>
      <c r="C638" s="9"/>
      <c r="D638" s="9"/>
      <c r="E638" s="9"/>
      <c r="F638" s="8"/>
      <c r="G638" s="8"/>
      <c r="H638" s="10"/>
      <c r="I638" s="10"/>
      <c r="J638" s="10"/>
      <c r="K638" s="9"/>
      <c r="L638" s="9"/>
      <c r="M638" s="9"/>
    </row>
    <row x14ac:dyDescent="0.25" r="639" customHeight="1" ht="18.75">
      <c r="A639" s="8"/>
      <c r="B639" s="9"/>
      <c r="C639" s="9"/>
      <c r="D639" s="9"/>
      <c r="E639" s="9"/>
      <c r="F639" s="8"/>
      <c r="G639" s="8"/>
      <c r="H639" s="10"/>
      <c r="I639" s="10"/>
      <c r="J639" s="10"/>
      <c r="K639" s="9"/>
      <c r="L639" s="9"/>
      <c r="M639" s="9"/>
    </row>
    <row x14ac:dyDescent="0.25" r="640" customHeight="1" ht="18.75">
      <c r="A640" s="8"/>
      <c r="B640" s="9"/>
      <c r="C640" s="9"/>
      <c r="D640" s="9"/>
      <c r="E640" s="9"/>
      <c r="F640" s="8"/>
      <c r="G640" s="8"/>
      <c r="H640" s="10"/>
      <c r="I640" s="10"/>
      <c r="J640" s="10"/>
      <c r="K640" s="9"/>
      <c r="L640" s="9"/>
      <c r="M640" s="9"/>
    </row>
    <row x14ac:dyDescent="0.25" r="641" customHeight="1" ht="18.75">
      <c r="A641" s="8"/>
      <c r="B641" s="9"/>
      <c r="C641" s="9"/>
      <c r="D641" s="9"/>
      <c r="E641" s="9"/>
      <c r="F641" s="8"/>
      <c r="G641" s="8"/>
      <c r="H641" s="10"/>
      <c r="I641" s="10"/>
      <c r="J641" s="10"/>
      <c r="K641" s="9"/>
      <c r="L641" s="9"/>
      <c r="M641" s="9"/>
    </row>
    <row x14ac:dyDescent="0.25" r="642" customHeight="1" ht="18.75">
      <c r="A642" s="8"/>
      <c r="B642" s="9"/>
      <c r="C642" s="9"/>
      <c r="D642" s="9"/>
      <c r="E642" s="9"/>
      <c r="F642" s="8"/>
      <c r="G642" s="8"/>
      <c r="H642" s="10"/>
      <c r="I642" s="10"/>
      <c r="J642" s="10"/>
      <c r="K642" s="9"/>
      <c r="L642" s="9"/>
      <c r="M642" s="9"/>
    </row>
    <row x14ac:dyDescent="0.25" r="643" customHeight="1" ht="18.75">
      <c r="A643" s="8"/>
      <c r="B643" s="9"/>
      <c r="C643" s="9"/>
      <c r="D643" s="9"/>
      <c r="E643" s="9"/>
      <c r="F643" s="8"/>
      <c r="G643" s="8"/>
      <c r="H643" s="10"/>
      <c r="I643" s="10"/>
      <c r="J643" s="10"/>
      <c r="K643" s="9"/>
      <c r="L643" s="9"/>
      <c r="M643" s="9"/>
    </row>
    <row x14ac:dyDescent="0.25" r="644" customHeight="1" ht="18.75">
      <c r="A644" s="8"/>
      <c r="B644" s="9"/>
      <c r="C644" s="9"/>
      <c r="D644" s="9"/>
      <c r="E644" s="9"/>
      <c r="F644" s="8"/>
      <c r="G644" s="8"/>
      <c r="H644" s="10"/>
      <c r="I644" s="10"/>
      <c r="J644" s="10"/>
      <c r="K644" s="9"/>
      <c r="L644" s="9"/>
      <c r="M644" s="9"/>
    </row>
    <row x14ac:dyDescent="0.25" r="645" customHeight="1" ht="18.75">
      <c r="A645" s="8"/>
      <c r="B645" s="9"/>
      <c r="C645" s="9"/>
      <c r="D645" s="9"/>
      <c r="E645" s="9"/>
      <c r="F645" s="8"/>
      <c r="G645" s="8"/>
      <c r="H645" s="10"/>
      <c r="I645" s="10"/>
      <c r="J645" s="10"/>
      <c r="K645" s="9"/>
      <c r="L645" s="9"/>
      <c r="M645" s="9"/>
    </row>
    <row x14ac:dyDescent="0.25" r="646" customHeight="1" ht="18.75">
      <c r="A646" s="8"/>
      <c r="B646" s="9"/>
      <c r="C646" s="9"/>
      <c r="D646" s="9"/>
      <c r="E646" s="9"/>
      <c r="F646" s="8"/>
      <c r="G646" s="8"/>
      <c r="H646" s="10"/>
      <c r="I646" s="10"/>
      <c r="J646" s="10"/>
      <c r="K646" s="9"/>
      <c r="L646" s="9"/>
      <c r="M646" s="9"/>
    </row>
    <row x14ac:dyDescent="0.25" r="647" customHeight="1" ht="18.75">
      <c r="A647" s="8"/>
      <c r="B647" s="9"/>
      <c r="C647" s="9"/>
      <c r="D647" s="9"/>
      <c r="E647" s="9"/>
      <c r="F647" s="8"/>
      <c r="G647" s="8"/>
      <c r="H647" s="10"/>
      <c r="I647" s="10"/>
      <c r="J647" s="10"/>
      <c r="K647" s="9"/>
      <c r="L647" s="9"/>
      <c r="M647" s="9"/>
    </row>
    <row x14ac:dyDescent="0.25" r="648" customHeight="1" ht="18.75">
      <c r="A648" s="8"/>
      <c r="B648" s="9"/>
      <c r="C648" s="9"/>
      <c r="D648" s="9"/>
      <c r="E648" s="9"/>
      <c r="F648" s="8"/>
      <c r="G648" s="8"/>
      <c r="H648" s="10"/>
      <c r="I648" s="10"/>
      <c r="J648" s="10"/>
      <c r="K648" s="9"/>
      <c r="L648" s="9"/>
      <c r="M648" s="9"/>
    </row>
    <row x14ac:dyDescent="0.25" r="649" customHeight="1" ht="18.75">
      <c r="A649" s="8"/>
      <c r="B649" s="9"/>
      <c r="C649" s="9"/>
      <c r="D649" s="9"/>
      <c r="E649" s="9"/>
      <c r="F649" s="8"/>
      <c r="G649" s="8"/>
      <c r="H649" s="10"/>
      <c r="I649" s="10"/>
      <c r="J649" s="10"/>
      <c r="K649" s="9"/>
      <c r="L649" s="9"/>
      <c r="M649" s="9"/>
    </row>
    <row x14ac:dyDescent="0.25" r="650" customHeight="1" ht="18.75">
      <c r="A650" s="8"/>
      <c r="B650" s="9"/>
      <c r="C650" s="9"/>
      <c r="D650" s="9"/>
      <c r="E650" s="9"/>
      <c r="F650" s="8"/>
      <c r="G650" s="8"/>
      <c r="H650" s="10"/>
      <c r="I650" s="10"/>
      <c r="J650" s="10"/>
      <c r="K650" s="9"/>
      <c r="L650" s="9"/>
      <c r="M650" s="9"/>
    </row>
    <row x14ac:dyDescent="0.25" r="651" customHeight="1" ht="18.75">
      <c r="A651" s="8"/>
      <c r="B651" s="9"/>
      <c r="C651" s="9"/>
      <c r="D651" s="9"/>
      <c r="E651" s="9"/>
      <c r="F651" s="8"/>
      <c r="G651" s="8"/>
      <c r="H651" s="10"/>
      <c r="I651" s="10"/>
      <c r="J651" s="10"/>
      <c r="K651" s="9"/>
      <c r="L651" s="9"/>
      <c r="M651" s="9"/>
    </row>
    <row x14ac:dyDescent="0.25" r="652" customHeight="1" ht="18.75">
      <c r="A652" s="8"/>
      <c r="B652" s="9"/>
      <c r="C652" s="9"/>
      <c r="D652" s="9"/>
      <c r="E652" s="9"/>
      <c r="F652" s="8"/>
      <c r="G652" s="8"/>
      <c r="H652" s="10"/>
      <c r="I652" s="10"/>
      <c r="J652" s="10"/>
      <c r="K652" s="9"/>
      <c r="L652" s="9"/>
      <c r="M652" s="9"/>
    </row>
    <row x14ac:dyDescent="0.25" r="653" customHeight="1" ht="18.75">
      <c r="A653" s="8"/>
      <c r="B653" s="9"/>
      <c r="C653" s="9"/>
      <c r="D653" s="9"/>
      <c r="E653" s="9"/>
      <c r="F653" s="8"/>
      <c r="G653" s="8"/>
      <c r="H653" s="10"/>
      <c r="I653" s="10"/>
      <c r="J653" s="10"/>
      <c r="K653" s="9"/>
      <c r="L653" s="9"/>
      <c r="M653" s="9"/>
    </row>
    <row x14ac:dyDescent="0.25" r="654" customHeight="1" ht="18.75">
      <c r="A654" s="8"/>
      <c r="B654" s="9"/>
      <c r="C654" s="9"/>
      <c r="D654" s="9"/>
      <c r="E654" s="9"/>
      <c r="F654" s="8"/>
      <c r="G654" s="8"/>
      <c r="H654" s="10"/>
      <c r="I654" s="10"/>
      <c r="J654" s="10"/>
      <c r="K654" s="9"/>
      <c r="L654" s="9"/>
      <c r="M654" s="9"/>
    </row>
    <row x14ac:dyDescent="0.25" r="655" customHeight="1" ht="18.75">
      <c r="A655" s="8"/>
      <c r="B655" s="9"/>
      <c r="C655" s="9"/>
      <c r="D655" s="9"/>
      <c r="E655" s="9"/>
      <c r="F655" s="8"/>
      <c r="G655" s="8"/>
      <c r="H655" s="10"/>
      <c r="I655" s="10"/>
      <c r="J655" s="10"/>
      <c r="K655" s="9"/>
      <c r="L655" s="9"/>
      <c r="M655" s="9"/>
    </row>
    <row x14ac:dyDescent="0.25" r="656" customHeight="1" ht="18.75">
      <c r="A656" s="8"/>
      <c r="B656" s="9"/>
      <c r="C656" s="9"/>
      <c r="D656" s="9"/>
      <c r="E656" s="9"/>
      <c r="F656" s="8"/>
      <c r="G656" s="8"/>
      <c r="H656" s="10"/>
      <c r="I656" s="10"/>
      <c r="J656" s="10"/>
      <c r="K656" s="9"/>
      <c r="L656" s="9"/>
      <c r="M656" s="9"/>
    </row>
    <row x14ac:dyDescent="0.25" r="657" customHeight="1" ht="18.75">
      <c r="A657" s="8"/>
      <c r="B657" s="9"/>
      <c r="C657" s="9"/>
      <c r="D657" s="9"/>
      <c r="E657" s="9"/>
      <c r="F657" s="8"/>
      <c r="G657" s="8"/>
      <c r="H657" s="10"/>
      <c r="I657" s="10"/>
      <c r="J657" s="10"/>
      <c r="K657" s="9"/>
      <c r="L657" s="9"/>
      <c r="M657" s="9"/>
    </row>
    <row x14ac:dyDescent="0.25" r="658" customHeight="1" ht="18.75">
      <c r="A658" s="8"/>
      <c r="B658" s="9"/>
      <c r="C658" s="9"/>
      <c r="D658" s="9"/>
      <c r="E658" s="9"/>
      <c r="F658" s="8"/>
      <c r="G658" s="8"/>
      <c r="H658" s="10"/>
      <c r="I658" s="10"/>
      <c r="J658" s="10"/>
      <c r="K658" s="9"/>
      <c r="L658" s="9"/>
      <c r="M658" s="9"/>
    </row>
    <row x14ac:dyDescent="0.25" r="659" customHeight="1" ht="18.75">
      <c r="A659" s="8"/>
      <c r="B659" s="9"/>
      <c r="C659" s="9"/>
      <c r="D659" s="9"/>
      <c r="E659" s="9"/>
      <c r="F659" s="8"/>
      <c r="G659" s="8"/>
      <c r="H659" s="10"/>
      <c r="I659" s="10"/>
      <c r="J659" s="10"/>
      <c r="K659" s="9"/>
      <c r="L659" s="9"/>
      <c r="M659" s="9"/>
    </row>
    <row x14ac:dyDescent="0.25" r="660" customHeight="1" ht="18.75">
      <c r="A660" s="8"/>
      <c r="B660" s="9"/>
      <c r="C660" s="9"/>
      <c r="D660" s="9"/>
      <c r="E660" s="9"/>
      <c r="F660" s="8"/>
      <c r="G660" s="8"/>
      <c r="H660" s="10"/>
      <c r="I660" s="10"/>
      <c r="J660" s="10"/>
      <c r="K660" s="9"/>
      <c r="L660" s="9"/>
      <c r="M660" s="9"/>
    </row>
    <row x14ac:dyDescent="0.25" r="661" customHeight="1" ht="18.75">
      <c r="A661" s="8"/>
      <c r="B661" s="9"/>
      <c r="C661" s="9"/>
      <c r="D661" s="9"/>
      <c r="E661" s="9"/>
      <c r="F661" s="8"/>
      <c r="G661" s="8"/>
      <c r="H661" s="10"/>
      <c r="I661" s="10"/>
      <c r="J661" s="10"/>
      <c r="K661" s="9"/>
      <c r="L661" s="9"/>
      <c r="M661" s="9"/>
    </row>
    <row x14ac:dyDescent="0.25" r="662" customHeight="1" ht="18.75">
      <c r="A662" s="8"/>
      <c r="B662" s="9"/>
      <c r="C662" s="9"/>
      <c r="D662" s="9"/>
      <c r="E662" s="9"/>
      <c r="F662" s="8"/>
      <c r="G662" s="8"/>
      <c r="H662" s="10"/>
      <c r="I662" s="10"/>
      <c r="J662" s="10"/>
      <c r="K662" s="9"/>
      <c r="L662" s="9"/>
      <c r="M662" s="9"/>
    </row>
    <row x14ac:dyDescent="0.25" r="663" customHeight="1" ht="18.75">
      <c r="A663" s="8"/>
      <c r="B663" s="9"/>
      <c r="C663" s="9"/>
      <c r="D663" s="9"/>
      <c r="E663" s="9"/>
      <c r="F663" s="8"/>
      <c r="G663" s="8"/>
      <c r="H663" s="10"/>
      <c r="I663" s="10"/>
      <c r="J663" s="10"/>
      <c r="K663" s="9"/>
      <c r="L663" s="9"/>
      <c r="M663" s="9"/>
    </row>
    <row x14ac:dyDescent="0.25" r="664" customHeight="1" ht="18.75">
      <c r="A664" s="8"/>
      <c r="B664" s="9"/>
      <c r="C664" s="9"/>
      <c r="D664" s="9"/>
      <c r="E664" s="9"/>
      <c r="F664" s="8"/>
      <c r="G664" s="8"/>
      <c r="H664" s="10"/>
      <c r="I664" s="10"/>
      <c r="J664" s="10"/>
      <c r="K664" s="9"/>
      <c r="L664" s="9"/>
      <c r="M664" s="9"/>
    </row>
    <row x14ac:dyDescent="0.25" r="665" customHeight="1" ht="18.75">
      <c r="A665" s="8"/>
      <c r="B665" s="9"/>
      <c r="C665" s="9"/>
      <c r="D665" s="9"/>
      <c r="E665" s="9"/>
      <c r="F665" s="8"/>
      <c r="G665" s="8"/>
      <c r="H665" s="10"/>
      <c r="I665" s="10"/>
      <c r="J665" s="10"/>
      <c r="K665" s="9"/>
      <c r="L665" s="9"/>
      <c r="M665" s="9"/>
    </row>
    <row x14ac:dyDescent="0.25" r="666" customHeight="1" ht="18.75">
      <c r="A666" s="8"/>
      <c r="B666" s="9"/>
      <c r="C666" s="9"/>
      <c r="D666" s="9"/>
      <c r="E666" s="9"/>
      <c r="F666" s="8"/>
      <c r="G666" s="8"/>
      <c r="H666" s="10"/>
      <c r="I666" s="10"/>
      <c r="J666" s="10"/>
      <c r="K666" s="9"/>
      <c r="L666" s="9"/>
      <c r="M666" s="9"/>
    </row>
    <row x14ac:dyDescent="0.25" r="667" customHeight="1" ht="18.75">
      <c r="A667" s="8"/>
      <c r="B667" s="9"/>
      <c r="C667" s="9"/>
      <c r="D667" s="9"/>
      <c r="E667" s="9"/>
      <c r="F667" s="8"/>
      <c r="G667" s="8"/>
      <c r="H667" s="10"/>
      <c r="I667" s="10"/>
      <c r="J667" s="10"/>
      <c r="K667" s="9"/>
      <c r="L667" s="9"/>
      <c r="M667" s="9"/>
    </row>
    <row x14ac:dyDescent="0.25" r="668" customHeight="1" ht="18.75">
      <c r="A668" s="8"/>
      <c r="B668" s="9"/>
      <c r="C668" s="9"/>
      <c r="D668" s="9"/>
      <c r="E668" s="9"/>
      <c r="F668" s="8"/>
      <c r="G668" s="8"/>
      <c r="H668" s="10"/>
      <c r="I668" s="10"/>
      <c r="J668" s="10"/>
      <c r="K668" s="9"/>
      <c r="L668" s="9"/>
      <c r="M668" s="9"/>
    </row>
    <row x14ac:dyDescent="0.25" r="669" customHeight="1" ht="18.75">
      <c r="A669" s="8"/>
      <c r="B669" s="9"/>
      <c r="C669" s="9"/>
      <c r="D669" s="9"/>
      <c r="E669" s="9"/>
      <c r="F669" s="8"/>
      <c r="G669" s="8"/>
      <c r="H669" s="10"/>
      <c r="I669" s="10"/>
      <c r="J669" s="10"/>
      <c r="K669" s="9"/>
      <c r="L669" s="9"/>
      <c r="M669" s="9"/>
    </row>
    <row x14ac:dyDescent="0.25" r="670" customHeight="1" ht="18.75">
      <c r="A670" s="8"/>
      <c r="B670" s="9"/>
      <c r="C670" s="9"/>
      <c r="D670" s="9"/>
      <c r="E670" s="9"/>
      <c r="F670" s="8"/>
      <c r="G670" s="8"/>
      <c r="H670" s="10"/>
      <c r="I670" s="10"/>
      <c r="J670" s="10"/>
      <c r="K670" s="9"/>
      <c r="L670" s="9"/>
      <c r="M670" s="9"/>
    </row>
    <row x14ac:dyDescent="0.25" r="671" customHeight="1" ht="18.75">
      <c r="A671" s="8"/>
      <c r="B671" s="9"/>
      <c r="C671" s="9"/>
      <c r="D671" s="9"/>
      <c r="E671" s="9"/>
      <c r="F671" s="8"/>
      <c r="G671" s="8"/>
      <c r="H671" s="10"/>
      <c r="I671" s="10"/>
      <c r="J671" s="10"/>
      <c r="K671" s="9"/>
      <c r="L671" s="9"/>
      <c r="M671" s="9"/>
    </row>
    <row x14ac:dyDescent="0.25" r="672" customHeight="1" ht="18.75">
      <c r="A672" s="8"/>
      <c r="B672" s="9"/>
      <c r="C672" s="9"/>
      <c r="D672" s="9"/>
      <c r="E672" s="9"/>
      <c r="F672" s="8"/>
      <c r="G672" s="8"/>
      <c r="H672" s="10"/>
      <c r="I672" s="10"/>
      <c r="J672" s="10"/>
      <c r="K672" s="9"/>
      <c r="L672" s="9"/>
      <c r="M672" s="9"/>
    </row>
    <row x14ac:dyDescent="0.25" r="673" customHeight="1" ht="18.75">
      <c r="A673" s="8"/>
      <c r="B673" s="9"/>
      <c r="C673" s="9"/>
      <c r="D673" s="9"/>
      <c r="E673" s="9"/>
      <c r="F673" s="8"/>
      <c r="G673" s="8"/>
      <c r="H673" s="10"/>
      <c r="I673" s="10"/>
      <c r="J673" s="10"/>
      <c r="K673" s="9"/>
      <c r="L673" s="9"/>
      <c r="M673" s="9"/>
    </row>
    <row x14ac:dyDescent="0.25" r="674" customHeight="1" ht="18.75">
      <c r="A674" s="8"/>
      <c r="B674" s="9"/>
      <c r="C674" s="9"/>
      <c r="D674" s="9"/>
      <c r="E674" s="9"/>
      <c r="F674" s="8"/>
      <c r="G674" s="8"/>
      <c r="H674" s="10"/>
      <c r="I674" s="10"/>
      <c r="J674" s="10"/>
      <c r="K674" s="9"/>
      <c r="L674" s="9"/>
      <c r="M674" s="9"/>
    </row>
    <row x14ac:dyDescent="0.25" r="675" customHeight="1" ht="18.75">
      <c r="A675" s="8"/>
      <c r="B675" s="9"/>
      <c r="C675" s="9"/>
      <c r="D675" s="9"/>
      <c r="E675" s="9"/>
      <c r="F675" s="8"/>
      <c r="G675" s="8"/>
      <c r="H675" s="10"/>
      <c r="I675" s="10"/>
      <c r="J675" s="10"/>
      <c r="K675" s="9"/>
      <c r="L675" s="9"/>
      <c r="M675" s="9"/>
    </row>
    <row x14ac:dyDescent="0.25" r="676" customHeight="1" ht="18.75">
      <c r="A676" s="8"/>
      <c r="B676" s="9"/>
      <c r="C676" s="9"/>
      <c r="D676" s="9"/>
      <c r="E676" s="9"/>
      <c r="F676" s="8"/>
      <c r="G676" s="8"/>
      <c r="H676" s="10"/>
      <c r="I676" s="10"/>
      <c r="J676" s="10"/>
      <c r="K676" s="9"/>
      <c r="L676" s="9"/>
      <c r="M676" s="9"/>
    </row>
    <row x14ac:dyDescent="0.25" r="677" customHeight="1" ht="18.75">
      <c r="A677" s="8"/>
      <c r="B677" s="9"/>
      <c r="C677" s="9"/>
      <c r="D677" s="9"/>
      <c r="E677" s="9"/>
      <c r="F677" s="8"/>
      <c r="G677" s="8"/>
      <c r="H677" s="10"/>
      <c r="I677" s="10"/>
      <c r="J677" s="10"/>
      <c r="K677" s="9"/>
      <c r="L677" s="9"/>
      <c r="M677" s="9"/>
    </row>
    <row x14ac:dyDescent="0.25" r="678" customHeight="1" ht="18.75">
      <c r="A678" s="8"/>
      <c r="B678" s="9"/>
      <c r="C678" s="9"/>
      <c r="D678" s="9"/>
      <c r="E678" s="9"/>
      <c r="F678" s="8"/>
      <c r="G678" s="8"/>
      <c r="H678" s="10"/>
      <c r="I678" s="10"/>
      <c r="J678" s="10"/>
      <c r="K678" s="9"/>
      <c r="L678" s="9"/>
      <c r="M678" s="9"/>
    </row>
    <row x14ac:dyDescent="0.25" r="679" customHeight="1" ht="18.75">
      <c r="A679" s="8"/>
      <c r="B679" s="9"/>
      <c r="C679" s="9"/>
      <c r="D679" s="9"/>
      <c r="E679" s="9"/>
      <c r="F679" s="8"/>
      <c r="G679" s="8"/>
      <c r="H679" s="10"/>
      <c r="I679" s="10"/>
      <c r="J679" s="10"/>
      <c r="K679" s="9"/>
      <c r="L679" s="9"/>
      <c r="M679" s="9"/>
    </row>
    <row x14ac:dyDescent="0.25" r="680" customHeight="1" ht="18.75">
      <c r="A680" s="8"/>
      <c r="B680" s="9"/>
      <c r="C680" s="9"/>
      <c r="D680" s="9"/>
      <c r="E680" s="9"/>
      <c r="F680" s="8"/>
      <c r="G680" s="8"/>
      <c r="H680" s="10"/>
      <c r="I680" s="10"/>
      <c r="J680" s="10"/>
      <c r="K680" s="9"/>
      <c r="L680" s="9"/>
      <c r="M680" s="9"/>
    </row>
    <row x14ac:dyDescent="0.25" r="681" customHeight="1" ht="18.75">
      <c r="A681" s="8"/>
      <c r="B681" s="9"/>
      <c r="C681" s="9"/>
      <c r="D681" s="9"/>
      <c r="E681" s="9"/>
      <c r="F681" s="8"/>
      <c r="G681" s="8"/>
      <c r="H681" s="10"/>
      <c r="I681" s="10"/>
      <c r="J681" s="10"/>
      <c r="K681" s="9"/>
      <c r="L681" s="9"/>
      <c r="M681" s="9"/>
    </row>
    <row x14ac:dyDescent="0.25" r="682" customHeight="1" ht="18.75">
      <c r="A682" s="8"/>
      <c r="B682" s="9"/>
      <c r="C682" s="9"/>
      <c r="D682" s="9"/>
      <c r="E682" s="9"/>
      <c r="F682" s="8"/>
      <c r="G682" s="8"/>
      <c r="H682" s="10"/>
      <c r="I682" s="10"/>
      <c r="J682" s="10"/>
      <c r="K682" s="9"/>
      <c r="L682" s="9"/>
      <c r="M682" s="9"/>
    </row>
    <row x14ac:dyDescent="0.25" r="683" customHeight="1" ht="18.75">
      <c r="A683" s="8"/>
      <c r="B683" s="9"/>
      <c r="C683" s="9"/>
      <c r="D683" s="9"/>
      <c r="E683" s="9"/>
      <c r="F683" s="8"/>
      <c r="G683" s="8"/>
      <c r="H683" s="10"/>
      <c r="I683" s="10"/>
      <c r="J683" s="10"/>
      <c r="K683" s="9"/>
      <c r="L683" s="9"/>
      <c r="M683" s="9"/>
    </row>
    <row x14ac:dyDescent="0.25" r="684" customHeight="1" ht="18.75">
      <c r="A684" s="8"/>
      <c r="B684" s="9"/>
      <c r="C684" s="9"/>
      <c r="D684" s="9"/>
      <c r="E684" s="9"/>
      <c r="F684" s="8"/>
      <c r="G684" s="8"/>
      <c r="H684" s="10"/>
      <c r="I684" s="10"/>
      <c r="J684" s="10"/>
      <c r="K684" s="9"/>
      <c r="L684" s="9"/>
      <c r="M684" s="9"/>
    </row>
    <row x14ac:dyDescent="0.25" r="685" customHeight="1" ht="18.75">
      <c r="A685" s="8"/>
      <c r="B685" s="9"/>
      <c r="C685" s="9"/>
      <c r="D685" s="9"/>
      <c r="E685" s="9"/>
      <c r="F685" s="8"/>
      <c r="G685" s="8"/>
      <c r="H685" s="10"/>
      <c r="I685" s="10"/>
      <c r="J685" s="10"/>
      <c r="K685" s="9"/>
      <c r="L685" s="9"/>
      <c r="M685" s="9"/>
    </row>
    <row x14ac:dyDescent="0.25" r="686" customHeight="1" ht="18.75">
      <c r="A686" s="8"/>
      <c r="B686" s="9"/>
      <c r="C686" s="9"/>
      <c r="D686" s="9"/>
      <c r="E686" s="9"/>
      <c r="F686" s="8"/>
      <c r="G686" s="8"/>
      <c r="H686" s="10"/>
      <c r="I686" s="10"/>
      <c r="J686" s="10"/>
      <c r="K686" s="9"/>
      <c r="L686" s="9"/>
      <c r="M686" s="9"/>
    </row>
    <row x14ac:dyDescent="0.25" r="687" customHeight="1" ht="18.75">
      <c r="A687" s="8"/>
      <c r="B687" s="9"/>
      <c r="C687" s="9"/>
      <c r="D687" s="9"/>
      <c r="E687" s="9"/>
      <c r="F687" s="8"/>
      <c r="G687" s="8"/>
      <c r="H687" s="10"/>
      <c r="I687" s="10"/>
      <c r="J687" s="10"/>
      <c r="K687" s="9"/>
      <c r="L687" s="9"/>
      <c r="M687" s="9"/>
    </row>
    <row x14ac:dyDescent="0.25" r="688" customHeight="1" ht="18.75">
      <c r="A688" s="8"/>
      <c r="B688" s="9"/>
      <c r="C688" s="9"/>
      <c r="D688" s="9"/>
      <c r="E688" s="9"/>
      <c r="F688" s="8"/>
      <c r="G688" s="8"/>
      <c r="H688" s="10"/>
      <c r="I688" s="10"/>
      <c r="J688" s="10"/>
      <c r="K688" s="9"/>
      <c r="L688" s="9"/>
      <c r="M688" s="9"/>
    </row>
    <row x14ac:dyDescent="0.25" r="689" customHeight="1" ht="18.75">
      <c r="A689" s="8"/>
      <c r="B689" s="9"/>
      <c r="C689" s="9"/>
      <c r="D689" s="9"/>
      <c r="E689" s="9"/>
      <c r="F689" s="8"/>
      <c r="G689" s="8"/>
      <c r="H689" s="10"/>
      <c r="I689" s="10"/>
      <c r="J689" s="10"/>
      <c r="K689" s="9"/>
      <c r="L689" s="9"/>
      <c r="M689" s="9"/>
    </row>
    <row x14ac:dyDescent="0.25" r="690" customHeight="1" ht="18.75">
      <c r="A690" s="8"/>
      <c r="B690" s="9"/>
      <c r="C690" s="9"/>
      <c r="D690" s="9"/>
      <c r="E690" s="9"/>
      <c r="F690" s="8"/>
      <c r="G690" s="8"/>
      <c r="H690" s="10"/>
      <c r="I690" s="10"/>
      <c r="J690" s="10"/>
      <c r="K690" s="9"/>
      <c r="L690" s="9"/>
      <c r="M690" s="9"/>
    </row>
    <row x14ac:dyDescent="0.25" r="691" customHeight="1" ht="18.75">
      <c r="A691" s="8"/>
      <c r="B691" s="9"/>
      <c r="C691" s="9"/>
      <c r="D691" s="9"/>
      <c r="E691" s="9"/>
      <c r="F691" s="8"/>
      <c r="G691" s="8"/>
      <c r="H691" s="10"/>
      <c r="I691" s="10"/>
      <c r="J691" s="10"/>
      <c r="K691" s="9"/>
      <c r="L691" s="9"/>
      <c r="M691" s="9"/>
    </row>
    <row x14ac:dyDescent="0.25" r="692" customHeight="1" ht="18.75">
      <c r="A692" s="8"/>
      <c r="B692" s="9"/>
      <c r="C692" s="9"/>
      <c r="D692" s="9"/>
      <c r="E692" s="9"/>
      <c r="F692" s="8"/>
      <c r="G692" s="8"/>
      <c r="H692" s="10"/>
      <c r="I692" s="10"/>
      <c r="J692" s="10"/>
      <c r="K692" s="9"/>
      <c r="L692" s="9"/>
      <c r="M692" s="9"/>
    </row>
    <row x14ac:dyDescent="0.25" r="693" customHeight="1" ht="18.75">
      <c r="A693" s="8"/>
      <c r="B693" s="9"/>
      <c r="C693" s="9"/>
      <c r="D693" s="9"/>
      <c r="E693" s="9"/>
      <c r="F693" s="8"/>
      <c r="G693" s="8"/>
      <c r="H693" s="10"/>
      <c r="I693" s="10"/>
      <c r="J693" s="10"/>
      <c r="K693" s="9"/>
      <c r="L693" s="9"/>
      <c r="M693" s="9"/>
    </row>
    <row x14ac:dyDescent="0.25" r="694" customHeight="1" ht="18.75">
      <c r="A694" s="8"/>
      <c r="B694" s="9"/>
      <c r="C694" s="9"/>
      <c r="D694" s="9"/>
      <c r="E694" s="9"/>
      <c r="F694" s="8"/>
      <c r="G694" s="8"/>
      <c r="H694" s="10"/>
      <c r="I694" s="10"/>
      <c r="J694" s="10"/>
      <c r="K694" s="9"/>
      <c r="L694" s="9"/>
      <c r="M694" s="9"/>
    </row>
    <row x14ac:dyDescent="0.25" r="695" customHeight="1" ht="18.75">
      <c r="A695" s="8"/>
      <c r="B695" s="9"/>
      <c r="C695" s="9"/>
      <c r="D695" s="9"/>
      <c r="E695" s="9"/>
      <c r="F695" s="8"/>
      <c r="G695" s="8"/>
      <c r="H695" s="10"/>
      <c r="I695" s="10"/>
      <c r="J695" s="10"/>
      <c r="K695" s="9"/>
      <c r="L695" s="9"/>
      <c r="M695" s="9"/>
    </row>
    <row x14ac:dyDescent="0.25" r="696" customHeight="1" ht="18.75">
      <c r="A696" s="8"/>
      <c r="B696" s="9"/>
      <c r="C696" s="9"/>
      <c r="D696" s="9"/>
      <c r="E696" s="9"/>
      <c r="F696" s="8"/>
      <c r="G696" s="8"/>
      <c r="H696" s="10"/>
      <c r="I696" s="10"/>
      <c r="J696" s="10"/>
      <c r="K696" s="9"/>
      <c r="L696" s="9"/>
      <c r="M696" s="9"/>
    </row>
    <row x14ac:dyDescent="0.25" r="697" customHeight="1" ht="18.75">
      <c r="A697" s="8"/>
      <c r="B697" s="9"/>
      <c r="C697" s="9"/>
      <c r="D697" s="9"/>
      <c r="E697" s="9"/>
      <c r="F697" s="8"/>
      <c r="G697" s="8"/>
      <c r="H697" s="10"/>
      <c r="I697" s="10"/>
      <c r="J697" s="10"/>
      <c r="K697" s="9"/>
      <c r="L697" s="9"/>
      <c r="M697" s="9"/>
    </row>
    <row x14ac:dyDescent="0.25" r="698" customHeight="1" ht="18.75">
      <c r="A698" s="8"/>
      <c r="B698" s="9"/>
      <c r="C698" s="9"/>
      <c r="D698" s="9"/>
      <c r="E698" s="9"/>
      <c r="F698" s="8"/>
      <c r="G698" s="8"/>
      <c r="H698" s="10"/>
      <c r="I698" s="10"/>
      <c r="J698" s="10"/>
      <c r="K698" s="9"/>
      <c r="L698" s="9"/>
      <c r="M698" s="9"/>
    </row>
    <row x14ac:dyDescent="0.25" r="699" customHeight="1" ht="18.75">
      <c r="A699" s="8"/>
      <c r="B699" s="9"/>
      <c r="C699" s="9"/>
      <c r="D699" s="9"/>
      <c r="E699" s="9"/>
      <c r="F699" s="8"/>
      <c r="G699" s="8"/>
      <c r="H699" s="10"/>
      <c r="I699" s="10"/>
      <c r="J699" s="10"/>
      <c r="K699" s="9"/>
      <c r="L699" s="9"/>
      <c r="M699" s="9"/>
    </row>
    <row x14ac:dyDescent="0.25" r="700" customHeight="1" ht="18.75">
      <c r="A700" s="8"/>
      <c r="B700" s="9"/>
      <c r="C700" s="9"/>
      <c r="D700" s="9"/>
      <c r="E700" s="9"/>
      <c r="F700" s="8"/>
      <c r="G700" s="8"/>
      <c r="H700" s="10"/>
      <c r="I700" s="10"/>
      <c r="J700" s="10"/>
      <c r="K700" s="9"/>
      <c r="L700" s="9"/>
      <c r="M700" s="9"/>
    </row>
    <row x14ac:dyDescent="0.25" r="701" customHeight="1" ht="18.75">
      <c r="A701" s="8"/>
      <c r="B701" s="9"/>
      <c r="C701" s="9"/>
      <c r="D701" s="9"/>
      <c r="E701" s="9"/>
      <c r="F701" s="8"/>
      <c r="G701" s="8"/>
      <c r="H701" s="10"/>
      <c r="I701" s="10"/>
      <c r="J701" s="10"/>
      <c r="K701" s="9"/>
      <c r="L701" s="9"/>
      <c r="M701" s="9"/>
    </row>
    <row x14ac:dyDescent="0.25" r="702" customHeight="1" ht="18.75">
      <c r="A702" s="8"/>
      <c r="B702" s="9"/>
      <c r="C702" s="9"/>
      <c r="D702" s="9"/>
      <c r="E702" s="9"/>
      <c r="F702" s="8"/>
      <c r="G702" s="8"/>
      <c r="H702" s="10"/>
      <c r="I702" s="10"/>
      <c r="J702" s="10"/>
      <c r="K702" s="9"/>
      <c r="L702" s="9"/>
      <c r="M702" s="9"/>
    </row>
    <row x14ac:dyDescent="0.25" r="703" customHeight="1" ht="18.75">
      <c r="A703" s="8"/>
      <c r="B703" s="9"/>
      <c r="C703" s="9"/>
      <c r="D703" s="9"/>
      <c r="E703" s="9"/>
      <c r="F703" s="8"/>
      <c r="G703" s="8"/>
      <c r="H703" s="10"/>
      <c r="I703" s="10"/>
      <c r="J703" s="10"/>
      <c r="K703" s="9"/>
      <c r="L703" s="9"/>
      <c r="M703" s="9"/>
    </row>
    <row x14ac:dyDescent="0.25" r="704" customHeight="1" ht="18.75">
      <c r="A704" s="8"/>
      <c r="B704" s="9"/>
      <c r="C704" s="9"/>
      <c r="D704" s="9"/>
      <c r="E704" s="9"/>
      <c r="F704" s="8"/>
      <c r="G704" s="8"/>
      <c r="H704" s="10"/>
      <c r="I704" s="10"/>
      <c r="J704" s="10"/>
      <c r="K704" s="9"/>
      <c r="L704" s="9"/>
      <c r="M704" s="9"/>
    </row>
    <row x14ac:dyDescent="0.25" r="705" customHeight="1" ht="18.75">
      <c r="A705" s="8"/>
      <c r="B705" s="9"/>
      <c r="C705" s="9"/>
      <c r="D705" s="9"/>
      <c r="E705" s="9"/>
      <c r="F705" s="8"/>
      <c r="G705" s="8"/>
      <c r="H705" s="10"/>
      <c r="I705" s="10"/>
      <c r="J705" s="10"/>
      <c r="K705" s="9"/>
      <c r="L705" s="9"/>
      <c r="M705" s="9"/>
    </row>
    <row x14ac:dyDescent="0.25" r="706" customHeight="1" ht="18.75">
      <c r="A706" s="8"/>
      <c r="B706" s="9"/>
      <c r="C706" s="9"/>
      <c r="D706" s="9"/>
      <c r="E706" s="9"/>
      <c r="F706" s="8"/>
      <c r="G706" s="8"/>
      <c r="H706" s="10"/>
      <c r="I706" s="10"/>
      <c r="J706" s="10"/>
      <c r="K706" s="9"/>
      <c r="L706" s="9"/>
      <c r="M706" s="9"/>
    </row>
    <row x14ac:dyDescent="0.25" r="707" customHeight="1" ht="18.75">
      <c r="A707" s="8"/>
      <c r="B707" s="9"/>
      <c r="C707" s="9"/>
      <c r="D707" s="9"/>
      <c r="E707" s="9"/>
      <c r="F707" s="8"/>
      <c r="G707" s="8"/>
      <c r="H707" s="10"/>
      <c r="I707" s="10"/>
      <c r="J707" s="10"/>
      <c r="K707" s="9"/>
      <c r="L707" s="9"/>
      <c r="M707" s="9"/>
    </row>
    <row x14ac:dyDescent="0.25" r="708" customHeight="1" ht="18.75">
      <c r="A708" s="8"/>
      <c r="B708" s="9"/>
      <c r="C708" s="9"/>
      <c r="D708" s="9"/>
      <c r="E708" s="9"/>
      <c r="F708" s="8"/>
      <c r="G708" s="8"/>
      <c r="H708" s="10"/>
      <c r="I708" s="10"/>
      <c r="J708" s="10"/>
      <c r="K708" s="9"/>
      <c r="L708" s="9"/>
      <c r="M708" s="9"/>
    </row>
    <row x14ac:dyDescent="0.25" r="709" customHeight="1" ht="18.75">
      <c r="A709" s="8"/>
      <c r="B709" s="9"/>
      <c r="C709" s="9"/>
      <c r="D709" s="9"/>
      <c r="E709" s="9"/>
      <c r="F709" s="8"/>
      <c r="G709" s="8"/>
      <c r="H709" s="10"/>
      <c r="I709" s="10"/>
      <c r="J709" s="10"/>
      <c r="K709" s="9"/>
      <c r="L709" s="9"/>
      <c r="M709" s="9"/>
    </row>
    <row x14ac:dyDescent="0.25" r="710" customHeight="1" ht="18.75">
      <c r="A710" s="8"/>
      <c r="B710" s="9"/>
      <c r="C710" s="9"/>
      <c r="D710" s="9"/>
      <c r="E710" s="9"/>
      <c r="F710" s="8"/>
      <c r="G710" s="8"/>
      <c r="H710" s="10"/>
      <c r="I710" s="10"/>
      <c r="J710" s="10"/>
      <c r="K710" s="9"/>
      <c r="L710" s="9"/>
      <c r="M710" s="9"/>
    </row>
    <row x14ac:dyDescent="0.25" r="711" customHeight="1" ht="18.75">
      <c r="A711" s="8"/>
      <c r="B711" s="9"/>
      <c r="C711" s="9"/>
      <c r="D711" s="9"/>
      <c r="E711" s="9"/>
      <c r="F711" s="8"/>
      <c r="G711" s="8"/>
      <c r="H711" s="10"/>
      <c r="I711" s="10"/>
      <c r="J711" s="10"/>
      <c r="K711" s="9"/>
      <c r="L711" s="9"/>
      <c r="M711" s="9"/>
    </row>
    <row x14ac:dyDescent="0.25" r="712" customHeight="1" ht="18.75">
      <c r="A712" s="8"/>
      <c r="B712" s="9"/>
      <c r="C712" s="9"/>
      <c r="D712" s="9"/>
      <c r="E712" s="9"/>
      <c r="F712" s="8"/>
      <c r="G712" s="8"/>
      <c r="H712" s="10"/>
      <c r="I712" s="10"/>
      <c r="J712" s="10"/>
      <c r="K712" s="9"/>
      <c r="L712" s="9"/>
      <c r="M712" s="9"/>
    </row>
    <row x14ac:dyDescent="0.25" r="713" customHeight="1" ht="18.75">
      <c r="A713" s="8"/>
      <c r="B713" s="9"/>
      <c r="C713" s="9"/>
      <c r="D713" s="9"/>
      <c r="E713" s="9"/>
      <c r="F713" s="8"/>
      <c r="G713" s="8"/>
      <c r="H713" s="10"/>
      <c r="I713" s="10"/>
      <c r="J713" s="10"/>
      <c r="K713" s="9"/>
      <c r="L713" s="9"/>
      <c r="M713" s="9"/>
    </row>
    <row x14ac:dyDescent="0.25" r="714" customHeight="1" ht="18.75">
      <c r="A714" s="8"/>
      <c r="B714" s="9"/>
      <c r="C714" s="9"/>
      <c r="D714" s="9"/>
      <c r="E714" s="9"/>
      <c r="F714" s="8"/>
      <c r="G714" s="8"/>
      <c r="H714" s="10"/>
      <c r="I714" s="10"/>
      <c r="J714" s="10"/>
      <c r="K714" s="9"/>
      <c r="L714" s="9"/>
      <c r="M714" s="9"/>
    </row>
    <row x14ac:dyDescent="0.25" r="715" customHeight="1" ht="18.75">
      <c r="A715" s="8"/>
      <c r="B715" s="9"/>
      <c r="C715" s="9"/>
      <c r="D715" s="9"/>
      <c r="E715" s="9"/>
      <c r="F715" s="8"/>
      <c r="G715" s="8"/>
      <c r="H715" s="10"/>
      <c r="I715" s="10"/>
      <c r="J715" s="10"/>
      <c r="K715" s="9"/>
      <c r="L715" s="9"/>
      <c r="M715" s="9"/>
    </row>
    <row x14ac:dyDescent="0.25" r="716" customHeight="1" ht="18.75">
      <c r="A716" s="8"/>
      <c r="B716" s="9"/>
      <c r="C716" s="9"/>
      <c r="D716" s="9"/>
      <c r="E716" s="9"/>
      <c r="F716" s="8"/>
      <c r="G716" s="8"/>
      <c r="H716" s="10"/>
      <c r="I716" s="10"/>
      <c r="J716" s="10"/>
      <c r="K716" s="9"/>
      <c r="L716" s="9"/>
      <c r="M716" s="9"/>
    </row>
    <row x14ac:dyDescent="0.25" r="717" customHeight="1" ht="18.75">
      <c r="A717" s="8"/>
      <c r="B717" s="9"/>
      <c r="C717" s="9"/>
      <c r="D717" s="9"/>
      <c r="E717" s="9"/>
      <c r="F717" s="8"/>
      <c r="G717" s="8"/>
      <c r="H717" s="10"/>
      <c r="I717" s="10"/>
      <c r="J717" s="10"/>
      <c r="K717" s="9"/>
      <c r="L717" s="9"/>
      <c r="M717" s="9"/>
    </row>
    <row x14ac:dyDescent="0.25" r="718" customHeight="1" ht="18.75">
      <c r="A718" s="8"/>
      <c r="B718" s="9"/>
      <c r="C718" s="9"/>
      <c r="D718" s="9"/>
      <c r="E718" s="9"/>
      <c r="F718" s="8"/>
      <c r="G718" s="8"/>
      <c r="H718" s="10"/>
      <c r="I718" s="10"/>
      <c r="J718" s="10"/>
      <c r="K718" s="9"/>
      <c r="L718" s="9"/>
      <c r="M718" s="9"/>
    </row>
    <row x14ac:dyDescent="0.25" r="719" customHeight="1" ht="18.75">
      <c r="A719" s="8"/>
      <c r="B719" s="9"/>
      <c r="C719" s="9"/>
      <c r="D719" s="9"/>
      <c r="E719" s="9"/>
      <c r="F719" s="8"/>
      <c r="G719" s="8"/>
      <c r="H719" s="10"/>
      <c r="I719" s="10"/>
      <c r="J719" s="10"/>
      <c r="K719" s="9"/>
      <c r="L719" s="9"/>
      <c r="M719" s="9"/>
    </row>
    <row x14ac:dyDescent="0.25" r="720" customHeight="1" ht="18.75">
      <c r="A720" s="8"/>
      <c r="B720" s="9"/>
      <c r="C720" s="9"/>
      <c r="D720" s="9"/>
      <c r="E720" s="9"/>
      <c r="F720" s="8"/>
      <c r="G720" s="8"/>
      <c r="H720" s="10"/>
      <c r="I720" s="10"/>
      <c r="J720" s="10"/>
      <c r="K720" s="9"/>
      <c r="L720" s="9"/>
      <c r="M720" s="9"/>
    </row>
    <row x14ac:dyDescent="0.25" r="721" customHeight="1" ht="18.75">
      <c r="A721" s="8"/>
      <c r="B721" s="9"/>
      <c r="C721" s="9"/>
      <c r="D721" s="9"/>
      <c r="E721" s="9"/>
      <c r="F721" s="8"/>
      <c r="G721" s="8"/>
      <c r="H721" s="10"/>
      <c r="I721" s="10"/>
      <c r="J721" s="10"/>
      <c r="K721" s="9"/>
      <c r="L721" s="9"/>
      <c r="M721" s="9"/>
    </row>
    <row x14ac:dyDescent="0.25" r="722" customHeight="1" ht="18.75">
      <c r="A722" s="8"/>
      <c r="B722" s="9"/>
      <c r="C722" s="9"/>
      <c r="D722" s="9"/>
      <c r="E722" s="9"/>
      <c r="F722" s="8"/>
      <c r="G722" s="8"/>
      <c r="H722" s="10"/>
      <c r="I722" s="10"/>
      <c r="J722" s="10"/>
      <c r="K722" s="9"/>
      <c r="L722" s="9"/>
      <c r="M722" s="9"/>
    </row>
    <row x14ac:dyDescent="0.25" r="723" customHeight="1" ht="18.75">
      <c r="A723" s="8"/>
      <c r="B723" s="9"/>
      <c r="C723" s="9"/>
      <c r="D723" s="9"/>
      <c r="E723" s="9"/>
      <c r="F723" s="8"/>
      <c r="G723" s="8"/>
      <c r="H723" s="10"/>
      <c r="I723" s="10"/>
      <c r="J723" s="10"/>
      <c r="K723" s="9"/>
      <c r="L723" s="9"/>
      <c r="M723" s="9"/>
    </row>
    <row x14ac:dyDescent="0.25" r="724" customHeight="1" ht="18.75">
      <c r="A724" s="8"/>
      <c r="B724" s="9"/>
      <c r="C724" s="9"/>
      <c r="D724" s="9"/>
      <c r="E724" s="9"/>
      <c r="F724" s="8"/>
      <c r="G724" s="8"/>
      <c r="H724" s="10"/>
      <c r="I724" s="10"/>
      <c r="J724" s="10"/>
      <c r="K724" s="9"/>
      <c r="L724" s="9"/>
      <c r="M724" s="9"/>
    </row>
    <row x14ac:dyDescent="0.25" r="725" customHeight="1" ht="18.75">
      <c r="A725" s="8"/>
      <c r="B725" s="9"/>
      <c r="C725" s="9"/>
      <c r="D725" s="9"/>
      <c r="E725" s="9"/>
      <c r="F725" s="8"/>
      <c r="G725" s="8"/>
      <c r="H725" s="10"/>
      <c r="I725" s="10"/>
      <c r="J725" s="10"/>
      <c r="K725" s="9"/>
      <c r="L725" s="9"/>
      <c r="M725" s="9"/>
    </row>
    <row x14ac:dyDescent="0.25" r="726" customHeight="1" ht="18.75">
      <c r="A726" s="8"/>
      <c r="B726" s="9"/>
      <c r="C726" s="9"/>
      <c r="D726" s="9"/>
      <c r="E726" s="9"/>
      <c r="F726" s="8"/>
      <c r="G726" s="8"/>
      <c r="H726" s="10"/>
      <c r="I726" s="10"/>
      <c r="J726" s="10"/>
      <c r="K726" s="9"/>
      <c r="L726" s="9"/>
      <c r="M726" s="9"/>
    </row>
    <row x14ac:dyDescent="0.25" r="727" customHeight="1" ht="18.75">
      <c r="A727" s="8"/>
      <c r="B727" s="9"/>
      <c r="C727" s="9"/>
      <c r="D727" s="9"/>
      <c r="E727" s="9"/>
      <c r="F727" s="8"/>
      <c r="G727" s="8"/>
      <c r="H727" s="10"/>
      <c r="I727" s="10"/>
      <c r="J727" s="10"/>
      <c r="K727" s="9"/>
      <c r="L727" s="9"/>
      <c r="M727" s="9"/>
    </row>
    <row x14ac:dyDescent="0.25" r="728" customHeight="1" ht="18.75">
      <c r="A728" s="8"/>
      <c r="B728" s="9"/>
      <c r="C728" s="9"/>
      <c r="D728" s="9"/>
      <c r="E728" s="9"/>
      <c r="F728" s="8"/>
      <c r="G728" s="8"/>
      <c r="H728" s="10"/>
      <c r="I728" s="10"/>
      <c r="J728" s="10"/>
      <c r="K728" s="9"/>
      <c r="L728" s="9"/>
      <c r="M728" s="9"/>
    </row>
    <row x14ac:dyDescent="0.25" r="729" customHeight="1" ht="18.75">
      <c r="A729" s="8"/>
      <c r="B729" s="9"/>
      <c r="C729" s="9"/>
      <c r="D729" s="9"/>
      <c r="E729" s="9"/>
      <c r="F729" s="8"/>
      <c r="G729" s="8"/>
      <c r="H729" s="10"/>
      <c r="I729" s="10"/>
      <c r="J729" s="10"/>
      <c r="K729" s="9"/>
      <c r="L729" s="9"/>
      <c r="M729" s="9"/>
    </row>
    <row x14ac:dyDescent="0.25" r="730" customHeight="1" ht="18.75">
      <c r="A730" s="8"/>
      <c r="B730" s="9"/>
      <c r="C730" s="9"/>
      <c r="D730" s="9"/>
      <c r="E730" s="9"/>
      <c r="F730" s="8"/>
      <c r="G730" s="8"/>
      <c r="H730" s="10"/>
      <c r="I730" s="10"/>
      <c r="J730" s="10"/>
      <c r="K730" s="9"/>
      <c r="L730" s="9"/>
      <c r="M730" s="9"/>
    </row>
    <row x14ac:dyDescent="0.25" r="731" customHeight="1" ht="18.75">
      <c r="A731" s="8"/>
      <c r="B731" s="9"/>
      <c r="C731" s="9"/>
      <c r="D731" s="9"/>
      <c r="E731" s="9"/>
      <c r="F731" s="8"/>
      <c r="G731" s="8"/>
      <c r="H731" s="10"/>
      <c r="I731" s="10"/>
      <c r="J731" s="10"/>
      <c r="K731" s="9"/>
      <c r="L731" s="9"/>
      <c r="M731" s="9"/>
    </row>
    <row x14ac:dyDescent="0.25" r="732" customHeight="1" ht="18.75">
      <c r="A732" s="8"/>
      <c r="B732" s="9"/>
      <c r="C732" s="9"/>
      <c r="D732" s="9"/>
      <c r="E732" s="9"/>
      <c r="F732" s="8"/>
      <c r="G732" s="8"/>
      <c r="H732" s="10"/>
      <c r="I732" s="10"/>
      <c r="J732" s="10"/>
      <c r="K732" s="9"/>
      <c r="L732" s="9"/>
      <c r="M732" s="9"/>
    </row>
    <row x14ac:dyDescent="0.25" r="733" customHeight="1" ht="18.75">
      <c r="A733" s="8"/>
      <c r="B733" s="9"/>
      <c r="C733" s="9"/>
      <c r="D733" s="9"/>
      <c r="E733" s="9"/>
      <c r="F733" s="8"/>
      <c r="G733" s="8"/>
      <c r="H733" s="10"/>
      <c r="I733" s="10"/>
      <c r="J733" s="10"/>
      <c r="K733" s="9"/>
      <c r="L733" s="9"/>
      <c r="M733" s="9"/>
    </row>
    <row x14ac:dyDescent="0.25" r="734" customHeight="1" ht="18.75">
      <c r="A734" s="8"/>
      <c r="B734" s="9"/>
      <c r="C734" s="9"/>
      <c r="D734" s="9"/>
      <c r="E734" s="9"/>
      <c r="F734" s="8"/>
      <c r="G734" s="8"/>
      <c r="H734" s="10"/>
      <c r="I734" s="10"/>
      <c r="J734" s="10"/>
      <c r="K734" s="9"/>
      <c r="L734" s="9"/>
      <c r="M734" s="9"/>
    </row>
    <row x14ac:dyDescent="0.25" r="735" customHeight="1" ht="18.75">
      <c r="A735" s="8"/>
      <c r="B735" s="9"/>
      <c r="C735" s="9"/>
      <c r="D735" s="9"/>
      <c r="E735" s="9"/>
      <c r="F735" s="8"/>
      <c r="G735" s="8"/>
      <c r="H735" s="10"/>
      <c r="I735" s="10"/>
      <c r="J735" s="10"/>
      <c r="K735" s="9"/>
      <c r="L735" s="9"/>
      <c r="M735" s="9"/>
    </row>
    <row x14ac:dyDescent="0.25" r="736" customHeight="1" ht="18.75">
      <c r="A736" s="8"/>
      <c r="B736" s="9"/>
      <c r="C736" s="9"/>
      <c r="D736" s="9"/>
      <c r="E736" s="9"/>
      <c r="F736" s="8"/>
      <c r="G736" s="8"/>
      <c r="H736" s="10"/>
      <c r="I736" s="10"/>
      <c r="J736" s="10"/>
      <c r="K736" s="9"/>
      <c r="L736" s="9"/>
      <c r="M736" s="9"/>
    </row>
    <row x14ac:dyDescent="0.25" r="737" customHeight="1" ht="18.75">
      <c r="A737" s="8"/>
      <c r="B737" s="9"/>
      <c r="C737" s="9"/>
      <c r="D737" s="9"/>
      <c r="E737" s="9"/>
      <c r="F737" s="8"/>
      <c r="G737" s="8"/>
      <c r="H737" s="10"/>
      <c r="I737" s="10"/>
      <c r="J737" s="10"/>
      <c r="K737" s="9"/>
      <c r="L737" s="9"/>
      <c r="M737" s="9"/>
    </row>
    <row x14ac:dyDescent="0.25" r="738" customHeight="1" ht="18.75">
      <c r="A738" s="8"/>
      <c r="B738" s="9"/>
      <c r="C738" s="9"/>
      <c r="D738" s="9"/>
      <c r="E738" s="9"/>
      <c r="F738" s="8"/>
      <c r="G738" s="8"/>
      <c r="H738" s="10"/>
      <c r="I738" s="10"/>
      <c r="J738" s="10"/>
      <c r="K738" s="9"/>
      <c r="L738" s="9"/>
      <c r="M738" s="9"/>
    </row>
    <row x14ac:dyDescent="0.25" r="739" customHeight="1" ht="18.75">
      <c r="A739" s="8"/>
      <c r="B739" s="9"/>
      <c r="C739" s="9"/>
      <c r="D739" s="9"/>
      <c r="E739" s="9"/>
      <c r="F739" s="8"/>
      <c r="G739" s="8"/>
      <c r="H739" s="10"/>
      <c r="I739" s="10"/>
      <c r="J739" s="10"/>
      <c r="K739" s="9"/>
      <c r="L739" s="9"/>
      <c r="M739" s="9"/>
    </row>
    <row x14ac:dyDescent="0.25" r="740" customHeight="1" ht="18.75">
      <c r="A740" s="8"/>
      <c r="B740" s="9"/>
      <c r="C740" s="9"/>
      <c r="D740" s="9"/>
      <c r="E740" s="9"/>
      <c r="F740" s="8"/>
      <c r="G740" s="8"/>
      <c r="H740" s="10"/>
      <c r="I740" s="10"/>
      <c r="J740" s="10"/>
      <c r="K740" s="9"/>
      <c r="L740" s="9"/>
      <c r="M740" s="9"/>
    </row>
    <row x14ac:dyDescent="0.25" r="741" customHeight="1" ht="18.75">
      <c r="A741" s="8"/>
      <c r="B741" s="9"/>
      <c r="C741" s="9"/>
      <c r="D741" s="9"/>
      <c r="E741" s="9"/>
      <c r="F741" s="8"/>
      <c r="G741" s="8"/>
      <c r="H741" s="10"/>
      <c r="I741" s="10"/>
      <c r="J741" s="10"/>
      <c r="K741" s="9"/>
      <c r="L741" s="9"/>
      <c r="M741" s="9"/>
    </row>
    <row x14ac:dyDescent="0.25" r="742" customHeight="1" ht="18.75">
      <c r="A742" s="8"/>
      <c r="B742" s="9"/>
      <c r="C742" s="9"/>
      <c r="D742" s="9"/>
      <c r="E742" s="9"/>
      <c r="F742" s="8"/>
      <c r="G742" s="8"/>
      <c r="H742" s="10"/>
      <c r="I742" s="10"/>
      <c r="J742" s="10"/>
      <c r="K742" s="9"/>
      <c r="L742" s="9"/>
      <c r="M742" s="9"/>
    </row>
    <row x14ac:dyDescent="0.25" r="743" customHeight="1" ht="18.75">
      <c r="A743" s="8"/>
      <c r="B743" s="9"/>
      <c r="C743" s="9"/>
      <c r="D743" s="9"/>
      <c r="E743" s="9"/>
      <c r="F743" s="8"/>
      <c r="G743" s="8"/>
      <c r="H743" s="10"/>
      <c r="I743" s="10"/>
      <c r="J743" s="10"/>
      <c r="K743" s="9"/>
      <c r="L743" s="9"/>
      <c r="M743" s="9"/>
    </row>
    <row x14ac:dyDescent="0.25" r="744" customHeight="1" ht="18.75">
      <c r="A744" s="8"/>
      <c r="B744" s="9"/>
      <c r="C744" s="9"/>
      <c r="D744" s="9"/>
      <c r="E744" s="9"/>
      <c r="F744" s="8"/>
      <c r="G744" s="8"/>
      <c r="H744" s="10"/>
      <c r="I744" s="10"/>
      <c r="J744" s="10"/>
      <c r="K744" s="9"/>
      <c r="L744" s="9"/>
      <c r="M744" s="9"/>
    </row>
    <row x14ac:dyDescent="0.25" r="745" customHeight="1" ht="18.75">
      <c r="A745" s="8"/>
      <c r="B745" s="9"/>
      <c r="C745" s="9"/>
      <c r="D745" s="9"/>
      <c r="E745" s="9"/>
      <c r="F745" s="8"/>
      <c r="G745" s="8"/>
      <c r="H745" s="10"/>
      <c r="I745" s="10"/>
      <c r="J745" s="10"/>
      <c r="K745" s="9"/>
      <c r="L745" s="9"/>
      <c r="M745" s="9"/>
    </row>
    <row x14ac:dyDescent="0.25" r="746" customHeight="1" ht="18.75">
      <c r="A746" s="8"/>
      <c r="B746" s="9"/>
      <c r="C746" s="9"/>
      <c r="D746" s="9"/>
      <c r="E746" s="9"/>
      <c r="F746" s="8"/>
      <c r="G746" s="8"/>
      <c r="H746" s="10"/>
      <c r="I746" s="10"/>
      <c r="J746" s="10"/>
      <c r="K746" s="9"/>
      <c r="L746" s="9"/>
      <c r="M746" s="9"/>
    </row>
    <row x14ac:dyDescent="0.25" r="747" customHeight="1" ht="18.75">
      <c r="A747" s="8"/>
      <c r="B747" s="9"/>
      <c r="C747" s="9"/>
      <c r="D747" s="9"/>
      <c r="E747" s="9"/>
      <c r="F747" s="8"/>
      <c r="G747" s="8"/>
      <c r="H747" s="10"/>
      <c r="I747" s="10"/>
      <c r="J747" s="10"/>
      <c r="K747" s="9"/>
      <c r="L747" s="9"/>
      <c r="M747" s="9"/>
    </row>
    <row x14ac:dyDescent="0.25" r="748" customHeight="1" ht="18.75">
      <c r="A748" s="8"/>
      <c r="B748" s="9"/>
      <c r="C748" s="9"/>
      <c r="D748" s="9"/>
      <c r="E748" s="9"/>
      <c r="F748" s="8"/>
      <c r="G748" s="8"/>
      <c r="H748" s="10"/>
      <c r="I748" s="10"/>
      <c r="J748" s="10"/>
      <c r="K748" s="9"/>
      <c r="L748" s="9"/>
      <c r="M748" s="9"/>
    </row>
    <row x14ac:dyDescent="0.25" r="749" customHeight="1" ht="18.75">
      <c r="A749" s="8"/>
      <c r="B749" s="9"/>
      <c r="C749" s="9"/>
      <c r="D749" s="9"/>
      <c r="E749" s="9"/>
      <c r="F749" s="8"/>
      <c r="G749" s="8"/>
      <c r="H749" s="10"/>
      <c r="I749" s="10"/>
      <c r="J749" s="10"/>
      <c r="K749" s="9"/>
      <c r="L749" s="9"/>
      <c r="M749" s="9"/>
    </row>
    <row x14ac:dyDescent="0.25" r="750" customHeight="1" ht="18.75">
      <c r="A750" s="8"/>
      <c r="B750" s="9"/>
      <c r="C750" s="9"/>
      <c r="D750" s="9"/>
      <c r="E750" s="9"/>
      <c r="F750" s="8"/>
      <c r="G750" s="8"/>
      <c r="H750" s="10"/>
      <c r="I750" s="10"/>
      <c r="J750" s="10"/>
      <c r="K750" s="9"/>
      <c r="L750" s="9"/>
      <c r="M750" s="9"/>
    </row>
    <row x14ac:dyDescent="0.25" r="751" customHeight="1" ht="18.75">
      <c r="A751" s="8"/>
      <c r="B751" s="9"/>
      <c r="C751" s="9"/>
      <c r="D751" s="9"/>
      <c r="E751" s="9"/>
      <c r="F751" s="8"/>
      <c r="G751" s="8"/>
      <c r="H751" s="10"/>
      <c r="I751" s="10"/>
      <c r="J751" s="10"/>
      <c r="K751" s="9"/>
      <c r="L751" s="9"/>
      <c r="M751" s="9"/>
    </row>
    <row x14ac:dyDescent="0.25" r="752" customHeight="1" ht="18.75">
      <c r="A752" s="8"/>
      <c r="B752" s="9"/>
      <c r="C752" s="9"/>
      <c r="D752" s="9"/>
      <c r="E752" s="9"/>
      <c r="F752" s="8"/>
      <c r="G752" s="8"/>
      <c r="H752" s="10"/>
      <c r="I752" s="10"/>
      <c r="J752" s="10"/>
      <c r="K752" s="9"/>
      <c r="L752" s="9"/>
      <c r="M752" s="9"/>
    </row>
    <row x14ac:dyDescent="0.25" r="753" customHeight="1" ht="18.75">
      <c r="A753" s="8"/>
      <c r="B753" s="9"/>
      <c r="C753" s="9"/>
      <c r="D753" s="9"/>
      <c r="E753" s="9"/>
      <c r="F753" s="8"/>
      <c r="G753" s="8"/>
      <c r="H753" s="10"/>
      <c r="I753" s="10"/>
      <c r="J753" s="10"/>
      <c r="K753" s="9"/>
      <c r="L753" s="9"/>
      <c r="M753" s="9"/>
    </row>
    <row x14ac:dyDescent="0.25" r="754" customHeight="1" ht="18.75">
      <c r="A754" s="8"/>
      <c r="B754" s="9"/>
      <c r="C754" s="9"/>
      <c r="D754" s="9"/>
      <c r="E754" s="9"/>
      <c r="F754" s="8"/>
      <c r="G754" s="8"/>
      <c r="H754" s="10"/>
      <c r="I754" s="10"/>
      <c r="J754" s="10"/>
      <c r="K754" s="9"/>
      <c r="L754" s="9"/>
      <c r="M754" s="9"/>
    </row>
    <row x14ac:dyDescent="0.25" r="755" customHeight="1" ht="18.75">
      <c r="A755" s="8"/>
      <c r="B755" s="9"/>
      <c r="C755" s="9"/>
      <c r="D755" s="9"/>
      <c r="E755" s="9"/>
      <c r="F755" s="8"/>
      <c r="G755" s="8"/>
      <c r="H755" s="10"/>
      <c r="I755" s="10"/>
      <c r="J755" s="10"/>
      <c r="K755" s="9"/>
      <c r="L755" s="9"/>
      <c r="M755" s="9"/>
    </row>
    <row x14ac:dyDescent="0.25" r="756" customHeight="1" ht="18.75">
      <c r="A756" s="8"/>
      <c r="B756" s="9"/>
      <c r="C756" s="9"/>
      <c r="D756" s="9"/>
      <c r="E756" s="9"/>
      <c r="F756" s="8"/>
      <c r="G756" s="8"/>
      <c r="H756" s="10"/>
      <c r="I756" s="10"/>
      <c r="J756" s="10"/>
      <c r="K756" s="9"/>
      <c r="L756" s="9"/>
      <c r="M756" s="9"/>
    </row>
    <row x14ac:dyDescent="0.25" r="757" customHeight="1" ht="18.75">
      <c r="A757" s="8"/>
      <c r="B757" s="9"/>
      <c r="C757" s="9"/>
      <c r="D757" s="9"/>
      <c r="E757" s="9"/>
      <c r="F757" s="8"/>
      <c r="G757" s="8"/>
      <c r="H757" s="10"/>
      <c r="I757" s="10"/>
      <c r="J757" s="10"/>
      <c r="K757" s="9"/>
      <c r="L757" s="9"/>
      <c r="M757" s="9"/>
    </row>
    <row x14ac:dyDescent="0.25" r="758" customHeight="1" ht="18.75">
      <c r="A758" s="8"/>
      <c r="B758" s="9"/>
      <c r="C758" s="9"/>
      <c r="D758" s="9"/>
      <c r="E758" s="9"/>
      <c r="F758" s="8"/>
      <c r="G758" s="8"/>
      <c r="H758" s="10"/>
      <c r="I758" s="10"/>
      <c r="J758" s="10"/>
      <c r="K758" s="9"/>
      <c r="L758" s="9"/>
      <c r="M758" s="9"/>
    </row>
    <row x14ac:dyDescent="0.25" r="759" customHeight="1" ht="18.75">
      <c r="A759" s="8"/>
      <c r="B759" s="9"/>
      <c r="C759" s="9"/>
      <c r="D759" s="9"/>
      <c r="E759" s="9"/>
      <c r="F759" s="8"/>
      <c r="G759" s="8"/>
      <c r="H759" s="10"/>
      <c r="I759" s="10"/>
      <c r="J759" s="10"/>
      <c r="K759" s="9"/>
      <c r="L759" s="9"/>
      <c r="M759" s="9"/>
    </row>
    <row x14ac:dyDescent="0.25" r="760" customHeight="1" ht="18.75">
      <c r="A760" s="8"/>
      <c r="B760" s="9"/>
      <c r="C760" s="9"/>
      <c r="D760" s="9"/>
      <c r="E760" s="9"/>
      <c r="F760" s="8"/>
      <c r="G760" s="8"/>
      <c r="H760" s="10"/>
      <c r="I760" s="10"/>
      <c r="J760" s="10"/>
      <c r="K760" s="9"/>
      <c r="L760" s="9"/>
      <c r="M760" s="9"/>
    </row>
    <row x14ac:dyDescent="0.25" r="761" customHeight="1" ht="18.75">
      <c r="A761" s="8"/>
      <c r="B761" s="9"/>
      <c r="C761" s="9"/>
      <c r="D761" s="9"/>
      <c r="E761" s="9"/>
      <c r="F761" s="8"/>
      <c r="G761" s="8"/>
      <c r="H761" s="10"/>
      <c r="I761" s="10"/>
      <c r="J761" s="10"/>
      <c r="K761" s="9"/>
      <c r="L761" s="9"/>
      <c r="M761" s="9"/>
    </row>
    <row x14ac:dyDescent="0.25" r="762" customHeight="1" ht="18.75">
      <c r="A762" s="8"/>
      <c r="B762" s="9"/>
      <c r="C762" s="9"/>
      <c r="D762" s="9"/>
      <c r="E762" s="9"/>
      <c r="F762" s="8"/>
      <c r="G762" s="8"/>
      <c r="H762" s="10"/>
      <c r="I762" s="10"/>
      <c r="J762" s="10"/>
      <c r="K762" s="9"/>
      <c r="L762" s="9"/>
      <c r="M762" s="9"/>
    </row>
    <row x14ac:dyDescent="0.25" r="763" customHeight="1" ht="18.75">
      <c r="A763" s="8"/>
      <c r="B763" s="9"/>
      <c r="C763" s="9"/>
      <c r="D763" s="9"/>
      <c r="E763" s="9"/>
      <c r="F763" s="8"/>
      <c r="G763" s="8"/>
      <c r="H763" s="10"/>
      <c r="I763" s="10"/>
      <c r="J763" s="10"/>
      <c r="K763" s="9"/>
      <c r="L763" s="9"/>
      <c r="M763" s="9"/>
    </row>
    <row x14ac:dyDescent="0.25" r="764" customHeight="1" ht="18.75">
      <c r="A764" s="8"/>
      <c r="B764" s="9"/>
      <c r="C764" s="9"/>
      <c r="D764" s="9"/>
      <c r="E764" s="9"/>
      <c r="F764" s="8"/>
      <c r="G764" s="8"/>
      <c r="H764" s="10"/>
      <c r="I764" s="10"/>
      <c r="J764" s="10"/>
      <c r="K764" s="9"/>
      <c r="L764" s="9"/>
      <c r="M764" s="9"/>
    </row>
    <row x14ac:dyDescent="0.25" r="765" customHeight="1" ht="18.75">
      <c r="A765" s="8"/>
      <c r="B765" s="9"/>
      <c r="C765" s="9"/>
      <c r="D765" s="9"/>
      <c r="E765" s="9"/>
      <c r="F765" s="8"/>
      <c r="G765" s="8"/>
      <c r="H765" s="10"/>
      <c r="I765" s="10"/>
      <c r="J765" s="10"/>
      <c r="K765" s="9"/>
      <c r="L765" s="9"/>
      <c r="M765" s="9"/>
    </row>
    <row x14ac:dyDescent="0.25" r="766" customHeight="1" ht="18.75">
      <c r="A766" s="8"/>
      <c r="B766" s="9"/>
      <c r="C766" s="9"/>
      <c r="D766" s="9"/>
      <c r="E766" s="9"/>
      <c r="F766" s="8"/>
      <c r="G766" s="8"/>
      <c r="H766" s="10"/>
      <c r="I766" s="10"/>
      <c r="J766" s="10"/>
      <c r="K766" s="9"/>
      <c r="L766" s="9"/>
      <c r="M766" s="9"/>
    </row>
    <row x14ac:dyDescent="0.25" r="767" customHeight="1" ht="18.75">
      <c r="A767" s="8"/>
      <c r="B767" s="9"/>
      <c r="C767" s="9"/>
      <c r="D767" s="9"/>
      <c r="E767" s="9"/>
      <c r="F767" s="8"/>
      <c r="G767" s="8"/>
      <c r="H767" s="10"/>
      <c r="I767" s="10"/>
      <c r="J767" s="10"/>
      <c r="K767" s="9"/>
      <c r="L767" s="9"/>
      <c r="M767" s="9"/>
    </row>
    <row x14ac:dyDescent="0.25" r="768" customHeight="1" ht="18.75">
      <c r="A768" s="8"/>
      <c r="B768" s="9"/>
      <c r="C768" s="9"/>
      <c r="D768" s="9"/>
      <c r="E768" s="9"/>
      <c r="F768" s="8"/>
      <c r="G768" s="8"/>
      <c r="H768" s="10"/>
      <c r="I768" s="10"/>
      <c r="J768" s="10"/>
      <c r="K768" s="9"/>
      <c r="L768" s="9"/>
      <c r="M768" s="9"/>
    </row>
    <row x14ac:dyDescent="0.25" r="769" customHeight="1" ht="18.75">
      <c r="A769" s="8"/>
      <c r="B769" s="9"/>
      <c r="C769" s="9"/>
      <c r="D769" s="9"/>
      <c r="E769" s="9"/>
      <c r="F769" s="8"/>
      <c r="G769" s="8"/>
      <c r="H769" s="10"/>
      <c r="I769" s="10"/>
      <c r="J769" s="10"/>
      <c r="K769" s="9"/>
      <c r="L769" s="9"/>
      <c r="M769" s="9"/>
    </row>
    <row x14ac:dyDescent="0.25" r="770" customHeight="1" ht="18.75">
      <c r="A770" s="8"/>
      <c r="B770" s="9"/>
      <c r="C770" s="9"/>
      <c r="D770" s="9"/>
      <c r="E770" s="9"/>
      <c r="F770" s="8"/>
      <c r="G770" s="8"/>
      <c r="H770" s="10"/>
      <c r="I770" s="10"/>
      <c r="J770" s="10"/>
      <c r="K770" s="9"/>
      <c r="L770" s="9"/>
      <c r="M770" s="9"/>
    </row>
    <row x14ac:dyDescent="0.25" r="771" customHeight="1" ht="18.75">
      <c r="A771" s="8"/>
      <c r="B771" s="9"/>
      <c r="C771" s="9"/>
      <c r="D771" s="9"/>
      <c r="E771" s="9"/>
      <c r="F771" s="8"/>
      <c r="G771" s="8"/>
      <c r="H771" s="10"/>
      <c r="I771" s="10"/>
      <c r="J771" s="10"/>
      <c r="K771" s="9"/>
      <c r="L771" s="9"/>
      <c r="M771" s="9"/>
    </row>
    <row x14ac:dyDescent="0.25" r="772" customHeight="1" ht="18.75">
      <c r="A772" s="8"/>
      <c r="B772" s="9"/>
      <c r="C772" s="9"/>
      <c r="D772" s="9"/>
      <c r="E772" s="9"/>
      <c r="F772" s="8"/>
      <c r="G772" s="8"/>
      <c r="H772" s="10"/>
      <c r="I772" s="10"/>
      <c r="J772" s="10"/>
      <c r="K772" s="9"/>
      <c r="L772" s="9"/>
      <c r="M772" s="9"/>
    </row>
    <row x14ac:dyDescent="0.25" r="773" customHeight="1" ht="18.75">
      <c r="A773" s="8"/>
      <c r="B773" s="9"/>
      <c r="C773" s="9"/>
      <c r="D773" s="9"/>
      <c r="E773" s="9"/>
      <c r="F773" s="8"/>
      <c r="G773" s="8"/>
      <c r="H773" s="10"/>
      <c r="I773" s="10"/>
      <c r="J773" s="10"/>
      <c r="K773" s="9"/>
      <c r="L773" s="9"/>
      <c r="M773" s="9"/>
    </row>
    <row x14ac:dyDescent="0.25" r="774" customHeight="1" ht="18.75">
      <c r="A774" s="8"/>
      <c r="B774" s="9"/>
      <c r="C774" s="9"/>
      <c r="D774" s="9"/>
      <c r="E774" s="9"/>
      <c r="F774" s="8"/>
      <c r="G774" s="8"/>
      <c r="H774" s="10"/>
      <c r="I774" s="10"/>
      <c r="J774" s="10"/>
      <c r="K774" s="9"/>
      <c r="L774" s="9"/>
      <c r="M774" s="9"/>
    </row>
    <row x14ac:dyDescent="0.25" r="775" customHeight="1" ht="18.75">
      <c r="A775" s="8"/>
      <c r="B775" s="9"/>
      <c r="C775" s="9"/>
      <c r="D775" s="9"/>
      <c r="E775" s="9"/>
      <c r="F775" s="8"/>
      <c r="G775" s="8"/>
      <c r="H775" s="10"/>
      <c r="I775" s="10"/>
      <c r="J775" s="10"/>
      <c r="K775" s="9"/>
      <c r="L775" s="9"/>
      <c r="M775" s="9"/>
    </row>
    <row x14ac:dyDescent="0.25" r="776" customHeight="1" ht="18.75">
      <c r="A776" s="8"/>
      <c r="B776" s="9"/>
      <c r="C776" s="9"/>
      <c r="D776" s="9"/>
      <c r="E776" s="9"/>
      <c r="F776" s="8"/>
      <c r="G776" s="8"/>
      <c r="H776" s="10"/>
      <c r="I776" s="10"/>
      <c r="J776" s="10"/>
      <c r="K776" s="9"/>
      <c r="L776" s="9"/>
      <c r="M776" s="9"/>
    </row>
    <row x14ac:dyDescent="0.25" r="777" customHeight="1" ht="18.75">
      <c r="A777" s="8"/>
      <c r="B777" s="9"/>
      <c r="C777" s="9"/>
      <c r="D777" s="9"/>
      <c r="E777" s="9"/>
      <c r="F777" s="8"/>
      <c r="G777" s="8"/>
      <c r="H777" s="10"/>
      <c r="I777" s="10"/>
      <c r="J777" s="10"/>
      <c r="K777" s="9"/>
      <c r="L777" s="9"/>
      <c r="M777" s="9"/>
    </row>
    <row x14ac:dyDescent="0.25" r="778" customHeight="1" ht="18.75">
      <c r="A778" s="8"/>
      <c r="B778" s="9"/>
      <c r="C778" s="9"/>
      <c r="D778" s="9"/>
      <c r="E778" s="9"/>
      <c r="F778" s="8"/>
      <c r="G778" s="8"/>
      <c r="H778" s="10"/>
      <c r="I778" s="10"/>
      <c r="J778" s="10"/>
      <c r="K778" s="9"/>
      <c r="L778" s="9"/>
      <c r="M778" s="9"/>
    </row>
    <row x14ac:dyDescent="0.25" r="779" customHeight="1" ht="18.75">
      <c r="A779" s="8"/>
      <c r="B779" s="9"/>
      <c r="C779" s="9"/>
      <c r="D779" s="9"/>
      <c r="E779" s="9"/>
      <c r="F779" s="8"/>
      <c r="G779" s="8"/>
      <c r="H779" s="10"/>
      <c r="I779" s="10"/>
      <c r="J779" s="10"/>
      <c r="K779" s="9"/>
      <c r="L779" s="9"/>
      <c r="M779" s="9"/>
    </row>
    <row x14ac:dyDescent="0.25" r="780" customHeight="1" ht="18.75">
      <c r="A780" s="8"/>
      <c r="B780" s="9"/>
      <c r="C780" s="9"/>
      <c r="D780" s="9"/>
      <c r="E780" s="9"/>
      <c r="F780" s="8"/>
      <c r="G780" s="8"/>
      <c r="H780" s="10"/>
      <c r="I780" s="10"/>
      <c r="J780" s="10"/>
      <c r="K780" s="9"/>
      <c r="L780" s="9"/>
      <c r="M780" s="9"/>
    </row>
    <row x14ac:dyDescent="0.25" r="781" customHeight="1" ht="18.75">
      <c r="A781" s="8"/>
      <c r="B781" s="9"/>
      <c r="C781" s="9"/>
      <c r="D781" s="9"/>
      <c r="E781" s="9"/>
      <c r="F781" s="8"/>
      <c r="G781" s="8"/>
      <c r="H781" s="10"/>
      <c r="I781" s="10"/>
      <c r="J781" s="10"/>
      <c r="K781" s="9"/>
      <c r="L781" s="9"/>
      <c r="M781" s="9"/>
    </row>
    <row x14ac:dyDescent="0.25" r="782" customHeight="1" ht="18.75">
      <c r="A782" s="8"/>
      <c r="B782" s="9"/>
      <c r="C782" s="9"/>
      <c r="D782" s="9"/>
      <c r="E782" s="9"/>
      <c r="F782" s="8"/>
      <c r="G782" s="8"/>
      <c r="H782" s="10"/>
      <c r="I782" s="10"/>
      <c r="J782" s="10"/>
      <c r="K782" s="9"/>
      <c r="L782" s="9"/>
      <c r="M782" s="9"/>
    </row>
    <row x14ac:dyDescent="0.25" r="783" customHeight="1" ht="18.75">
      <c r="A783" s="8"/>
      <c r="B783" s="9"/>
      <c r="C783" s="9"/>
      <c r="D783" s="9"/>
      <c r="E783" s="9"/>
      <c r="F783" s="8"/>
      <c r="G783" s="8"/>
      <c r="H783" s="10"/>
      <c r="I783" s="10"/>
      <c r="J783" s="10"/>
      <c r="K783" s="9"/>
      <c r="L783" s="9"/>
      <c r="M783" s="9"/>
    </row>
    <row x14ac:dyDescent="0.25" r="784" customHeight="1" ht="18.75">
      <c r="A784" s="8"/>
      <c r="B784" s="9"/>
      <c r="C784" s="9"/>
      <c r="D784" s="9"/>
      <c r="E784" s="9"/>
      <c r="F784" s="8"/>
      <c r="G784" s="8"/>
      <c r="H784" s="10"/>
      <c r="I784" s="10"/>
      <c r="J784" s="10"/>
      <c r="K784" s="9"/>
      <c r="L784" s="9"/>
      <c r="M784" s="9"/>
    </row>
    <row x14ac:dyDescent="0.25" r="785" customHeight="1" ht="18.75">
      <c r="A785" s="8"/>
      <c r="B785" s="9"/>
      <c r="C785" s="9"/>
      <c r="D785" s="9"/>
      <c r="E785" s="9"/>
      <c r="F785" s="8"/>
      <c r="G785" s="8"/>
      <c r="H785" s="10"/>
      <c r="I785" s="10"/>
      <c r="J785" s="10"/>
      <c r="K785" s="9"/>
      <c r="L785" s="9"/>
      <c r="M785" s="9"/>
    </row>
    <row x14ac:dyDescent="0.25" r="786" customHeight="1" ht="18.75">
      <c r="A786" s="8"/>
      <c r="B786" s="9"/>
      <c r="C786" s="9"/>
      <c r="D786" s="9"/>
      <c r="E786" s="9"/>
      <c r="F786" s="8"/>
      <c r="G786" s="8"/>
      <c r="H786" s="10"/>
      <c r="I786" s="10"/>
      <c r="J786" s="10"/>
      <c r="K786" s="9"/>
      <c r="L786" s="9"/>
      <c r="M786" s="9"/>
    </row>
    <row x14ac:dyDescent="0.25" r="787" customHeight="1" ht="18.75">
      <c r="A787" s="8"/>
      <c r="B787" s="9"/>
      <c r="C787" s="9"/>
      <c r="D787" s="9"/>
      <c r="E787" s="9"/>
      <c r="F787" s="8"/>
      <c r="G787" s="8"/>
      <c r="H787" s="10"/>
      <c r="I787" s="10"/>
      <c r="J787" s="10"/>
      <c r="K787" s="9"/>
      <c r="L787" s="9"/>
      <c r="M787" s="9"/>
    </row>
    <row x14ac:dyDescent="0.25" r="788" customHeight="1" ht="18.75">
      <c r="A788" s="8"/>
      <c r="B788" s="9"/>
      <c r="C788" s="9"/>
      <c r="D788" s="9"/>
      <c r="E788" s="9"/>
      <c r="F788" s="8"/>
      <c r="G788" s="8"/>
      <c r="H788" s="10"/>
      <c r="I788" s="10"/>
      <c r="J788" s="10"/>
      <c r="K788" s="9"/>
      <c r="L788" s="9"/>
      <c r="M788" s="9"/>
    </row>
    <row x14ac:dyDescent="0.25" r="789" customHeight="1" ht="18.75">
      <c r="A789" s="8"/>
      <c r="B789" s="9"/>
      <c r="C789" s="9"/>
      <c r="D789" s="9"/>
      <c r="E789" s="9"/>
      <c r="F789" s="8"/>
      <c r="G789" s="8"/>
      <c r="H789" s="10"/>
      <c r="I789" s="10"/>
      <c r="J789" s="10"/>
      <c r="K789" s="9"/>
      <c r="L789" s="9"/>
      <c r="M789" s="9"/>
    </row>
    <row x14ac:dyDescent="0.25" r="790" customHeight="1" ht="18.75">
      <c r="A790" s="8"/>
      <c r="B790" s="9"/>
      <c r="C790" s="9"/>
      <c r="D790" s="9"/>
      <c r="E790" s="9"/>
      <c r="F790" s="8"/>
      <c r="G790" s="8"/>
      <c r="H790" s="10"/>
      <c r="I790" s="10"/>
      <c r="J790" s="10"/>
      <c r="K790" s="9"/>
      <c r="L790" s="9"/>
      <c r="M790" s="9"/>
    </row>
    <row x14ac:dyDescent="0.25" r="791" customHeight="1" ht="18.75">
      <c r="A791" s="8"/>
      <c r="B791" s="9"/>
      <c r="C791" s="9"/>
      <c r="D791" s="9"/>
      <c r="E791" s="9"/>
      <c r="F791" s="8"/>
      <c r="G791" s="8"/>
      <c r="H791" s="10"/>
      <c r="I791" s="10"/>
      <c r="J791" s="10"/>
      <c r="K791" s="9"/>
      <c r="L791" s="9"/>
      <c r="M791" s="9"/>
    </row>
    <row x14ac:dyDescent="0.25" r="792" customHeight="1" ht="18.75">
      <c r="A792" s="8"/>
      <c r="B792" s="9"/>
      <c r="C792" s="9"/>
      <c r="D792" s="9"/>
      <c r="E792" s="9"/>
      <c r="F792" s="8"/>
      <c r="G792" s="8"/>
      <c r="H792" s="10"/>
      <c r="I792" s="10"/>
      <c r="J792" s="10"/>
      <c r="K792" s="9"/>
      <c r="L792" s="9"/>
      <c r="M792" s="9"/>
    </row>
    <row x14ac:dyDescent="0.25" r="793" customHeight="1" ht="18.75">
      <c r="A793" s="8"/>
      <c r="B793" s="9"/>
      <c r="C793" s="9"/>
      <c r="D793" s="9"/>
      <c r="E793" s="9"/>
      <c r="F793" s="8"/>
      <c r="G793" s="8"/>
      <c r="H793" s="10"/>
      <c r="I793" s="10"/>
      <c r="J793" s="10"/>
      <c r="K793" s="9"/>
      <c r="L793" s="9"/>
      <c r="M793" s="9"/>
    </row>
    <row x14ac:dyDescent="0.25" r="794" customHeight="1" ht="18.75">
      <c r="A794" s="8"/>
      <c r="B794" s="9"/>
      <c r="C794" s="9"/>
      <c r="D794" s="9"/>
      <c r="E794" s="9"/>
      <c r="F794" s="8"/>
      <c r="G794" s="8"/>
      <c r="H794" s="10"/>
      <c r="I794" s="10"/>
      <c r="J794" s="10"/>
      <c r="K794" s="9"/>
      <c r="L794" s="9"/>
      <c r="M794" s="9"/>
    </row>
    <row x14ac:dyDescent="0.25" r="795" customHeight="1" ht="18.75">
      <c r="A795" s="8"/>
      <c r="B795" s="9"/>
      <c r="C795" s="9"/>
      <c r="D795" s="9"/>
      <c r="E795" s="9"/>
      <c r="F795" s="8"/>
      <c r="G795" s="8"/>
      <c r="H795" s="10"/>
      <c r="I795" s="10"/>
      <c r="J795" s="10"/>
      <c r="K795" s="9"/>
      <c r="L795" s="9"/>
      <c r="M795" s="9"/>
    </row>
    <row x14ac:dyDescent="0.25" r="796" customHeight="1" ht="18.75">
      <c r="A796" s="8"/>
      <c r="B796" s="9"/>
      <c r="C796" s="9"/>
      <c r="D796" s="9"/>
      <c r="E796" s="9"/>
      <c r="F796" s="8"/>
      <c r="G796" s="8"/>
      <c r="H796" s="10"/>
      <c r="I796" s="10"/>
      <c r="J796" s="10"/>
      <c r="K796" s="9"/>
      <c r="L796" s="9"/>
      <c r="M796" s="9"/>
    </row>
    <row x14ac:dyDescent="0.25" r="797" customHeight="1" ht="18.75">
      <c r="A797" s="8"/>
      <c r="B797" s="9"/>
      <c r="C797" s="9"/>
      <c r="D797" s="9"/>
      <c r="E797" s="9"/>
      <c r="F797" s="8"/>
      <c r="G797" s="8"/>
      <c r="H797" s="10"/>
      <c r="I797" s="10"/>
      <c r="J797" s="10"/>
      <c r="K797" s="9"/>
      <c r="L797" s="9"/>
      <c r="M797" s="9"/>
    </row>
    <row x14ac:dyDescent="0.25" r="798" customHeight="1" ht="18.75">
      <c r="A798" s="8"/>
      <c r="B798" s="9"/>
      <c r="C798" s="9"/>
      <c r="D798" s="9"/>
      <c r="E798" s="9"/>
      <c r="F798" s="8"/>
      <c r="G798" s="8"/>
      <c r="H798" s="10"/>
      <c r="I798" s="10"/>
      <c r="J798" s="10"/>
      <c r="K798" s="9"/>
      <c r="L798" s="9"/>
      <c r="M798" s="9"/>
    </row>
    <row x14ac:dyDescent="0.25" r="799" customHeight="1" ht="18.75">
      <c r="A799" s="8"/>
      <c r="B799" s="9"/>
      <c r="C799" s="9"/>
      <c r="D799" s="9"/>
      <c r="E799" s="9"/>
      <c r="F799" s="8"/>
      <c r="G799" s="8"/>
      <c r="H799" s="10"/>
      <c r="I799" s="10"/>
      <c r="J799" s="10"/>
      <c r="K799" s="9"/>
      <c r="L799" s="9"/>
      <c r="M799" s="9"/>
    </row>
    <row x14ac:dyDescent="0.25" r="800" customHeight="1" ht="18.75">
      <c r="A800" s="8"/>
      <c r="B800" s="9"/>
      <c r="C800" s="9"/>
      <c r="D800" s="9"/>
      <c r="E800" s="9"/>
      <c r="F800" s="8"/>
      <c r="G800" s="8"/>
      <c r="H800" s="10"/>
      <c r="I800" s="10"/>
      <c r="J800" s="10"/>
      <c r="K800" s="9"/>
      <c r="L800" s="9"/>
      <c r="M800" s="9"/>
    </row>
    <row x14ac:dyDescent="0.25" r="801" customHeight="1" ht="18.75">
      <c r="A801" s="8"/>
      <c r="B801" s="9"/>
      <c r="C801" s="9"/>
      <c r="D801" s="9"/>
      <c r="E801" s="9"/>
      <c r="F801" s="8"/>
      <c r="G801" s="8"/>
      <c r="H801" s="10"/>
      <c r="I801" s="10"/>
      <c r="J801" s="10"/>
      <c r="K801" s="9"/>
      <c r="L801" s="9"/>
      <c r="M801" s="9"/>
    </row>
    <row x14ac:dyDescent="0.25" r="802" customHeight="1" ht="18.75">
      <c r="A802" s="8"/>
      <c r="B802" s="9"/>
      <c r="C802" s="9"/>
      <c r="D802" s="9"/>
      <c r="E802" s="9"/>
      <c r="F802" s="8"/>
      <c r="G802" s="8"/>
      <c r="H802" s="10"/>
      <c r="I802" s="10"/>
      <c r="J802" s="10"/>
      <c r="K802" s="9"/>
      <c r="L802" s="9"/>
      <c r="M802" s="9"/>
    </row>
    <row x14ac:dyDescent="0.25" r="803" customHeight="1" ht="18.75">
      <c r="A803" s="8"/>
      <c r="B803" s="9"/>
      <c r="C803" s="9"/>
      <c r="D803" s="9"/>
      <c r="E803" s="9"/>
      <c r="F803" s="8"/>
      <c r="G803" s="8"/>
      <c r="H803" s="10"/>
      <c r="I803" s="10"/>
      <c r="J803" s="10"/>
      <c r="K803" s="9"/>
      <c r="L803" s="9"/>
      <c r="M803" s="9"/>
    </row>
    <row x14ac:dyDescent="0.25" r="804" customHeight="1" ht="18.75">
      <c r="A804" s="8"/>
      <c r="B804" s="9"/>
      <c r="C804" s="9"/>
      <c r="D804" s="9"/>
      <c r="E804" s="9"/>
      <c r="F804" s="8"/>
      <c r="G804" s="8"/>
      <c r="H804" s="10"/>
      <c r="I804" s="10"/>
      <c r="J804" s="10"/>
      <c r="K804" s="9"/>
      <c r="L804" s="9"/>
      <c r="M804" s="9"/>
    </row>
    <row x14ac:dyDescent="0.25" r="805" customHeight="1" ht="18.75">
      <c r="A805" s="8"/>
      <c r="B805" s="9"/>
      <c r="C805" s="9"/>
      <c r="D805" s="9"/>
      <c r="E805" s="9"/>
      <c r="F805" s="8"/>
      <c r="G805" s="8"/>
      <c r="H805" s="10"/>
      <c r="I805" s="10"/>
      <c r="J805" s="10"/>
      <c r="K805" s="9"/>
      <c r="L805" s="9"/>
      <c r="M805" s="9"/>
    </row>
    <row x14ac:dyDescent="0.25" r="806" customHeight="1" ht="18.75">
      <c r="A806" s="8"/>
      <c r="B806" s="9"/>
      <c r="C806" s="9"/>
      <c r="D806" s="9"/>
      <c r="E806" s="9"/>
      <c r="F806" s="8"/>
      <c r="G806" s="8"/>
      <c r="H806" s="10"/>
      <c r="I806" s="10"/>
      <c r="J806" s="10"/>
      <c r="K806" s="9"/>
      <c r="L806" s="9"/>
      <c r="M806" s="9"/>
    </row>
    <row x14ac:dyDescent="0.25" r="807" customHeight="1" ht="18.75">
      <c r="A807" s="8"/>
      <c r="B807" s="9"/>
      <c r="C807" s="9"/>
      <c r="D807" s="9"/>
      <c r="E807" s="9"/>
      <c r="F807" s="8"/>
      <c r="G807" s="8"/>
      <c r="H807" s="10"/>
      <c r="I807" s="10"/>
      <c r="J807" s="10"/>
      <c r="K807" s="9"/>
      <c r="L807" s="9"/>
      <c r="M807" s="9"/>
    </row>
    <row x14ac:dyDescent="0.25" r="808" customHeight="1" ht="18.75">
      <c r="A808" s="8"/>
      <c r="B808" s="9"/>
      <c r="C808" s="9"/>
      <c r="D808" s="9"/>
      <c r="E808" s="9"/>
      <c r="F808" s="8"/>
      <c r="G808" s="8"/>
      <c r="H808" s="10"/>
      <c r="I808" s="10"/>
      <c r="J808" s="10"/>
      <c r="K808" s="9"/>
      <c r="L808" s="9"/>
      <c r="M808" s="9"/>
    </row>
    <row x14ac:dyDescent="0.25" r="809" customHeight="1" ht="18.75">
      <c r="A809" s="8"/>
      <c r="B809" s="9"/>
      <c r="C809" s="9"/>
      <c r="D809" s="9"/>
      <c r="E809" s="9"/>
      <c r="F809" s="8"/>
      <c r="G809" s="8"/>
      <c r="H809" s="10"/>
      <c r="I809" s="10"/>
      <c r="J809" s="10"/>
      <c r="K809" s="9"/>
      <c r="L809" s="9"/>
      <c r="M809" s="9"/>
    </row>
    <row x14ac:dyDescent="0.25" r="810" customHeight="1" ht="18.75">
      <c r="A810" s="8"/>
      <c r="B810" s="9"/>
      <c r="C810" s="9"/>
      <c r="D810" s="9"/>
      <c r="E810" s="9"/>
      <c r="F810" s="8"/>
      <c r="G810" s="8"/>
      <c r="H810" s="10"/>
      <c r="I810" s="10"/>
      <c r="J810" s="10"/>
      <c r="K810" s="9"/>
      <c r="L810" s="9"/>
      <c r="M810" s="9"/>
    </row>
    <row x14ac:dyDescent="0.25" r="811" customHeight="1" ht="18.75">
      <c r="A811" s="8"/>
      <c r="B811" s="9"/>
      <c r="C811" s="9"/>
      <c r="D811" s="9"/>
      <c r="E811" s="9"/>
      <c r="F811" s="8"/>
      <c r="G811" s="8"/>
      <c r="H811" s="10"/>
      <c r="I811" s="10"/>
      <c r="J811" s="10"/>
      <c r="K811" s="9"/>
      <c r="L811" s="9"/>
      <c r="M811" s="9"/>
    </row>
    <row x14ac:dyDescent="0.25" r="812" customHeight="1" ht="18.75">
      <c r="A812" s="8"/>
      <c r="B812" s="9"/>
      <c r="C812" s="9"/>
      <c r="D812" s="9"/>
      <c r="E812" s="9"/>
      <c r="F812" s="8"/>
      <c r="G812" s="8"/>
      <c r="H812" s="10"/>
      <c r="I812" s="10"/>
      <c r="J812" s="10"/>
      <c r="K812" s="9"/>
      <c r="L812" s="9"/>
      <c r="M812" s="9"/>
    </row>
    <row x14ac:dyDescent="0.25" r="813" customHeight="1" ht="18.75">
      <c r="A813" s="8"/>
      <c r="B813" s="9"/>
      <c r="C813" s="9"/>
      <c r="D813" s="9"/>
      <c r="E813" s="9"/>
      <c r="F813" s="8"/>
      <c r="G813" s="8"/>
      <c r="H813" s="10"/>
      <c r="I813" s="10"/>
      <c r="J813" s="10"/>
      <c r="K813" s="9"/>
      <c r="L813" s="9"/>
      <c r="M813" s="9"/>
    </row>
    <row x14ac:dyDescent="0.25" r="814" customHeight="1" ht="18.75">
      <c r="A814" s="8"/>
      <c r="B814" s="9"/>
      <c r="C814" s="9"/>
      <c r="D814" s="9"/>
      <c r="E814" s="9"/>
      <c r="F814" s="8"/>
      <c r="G814" s="8"/>
      <c r="H814" s="10"/>
      <c r="I814" s="10"/>
      <c r="J814" s="10"/>
      <c r="K814" s="9"/>
      <c r="L814" s="9"/>
      <c r="M814" s="9"/>
    </row>
    <row x14ac:dyDescent="0.25" r="815" customHeight="1" ht="18.75">
      <c r="A815" s="8"/>
      <c r="B815" s="9"/>
      <c r="C815" s="9"/>
      <c r="D815" s="9"/>
      <c r="E815" s="9"/>
      <c r="F815" s="8"/>
      <c r="G815" s="8"/>
      <c r="H815" s="10"/>
      <c r="I815" s="10"/>
      <c r="J815" s="10"/>
      <c r="K815" s="9"/>
      <c r="L815" s="9"/>
      <c r="M815" s="9"/>
    </row>
    <row x14ac:dyDescent="0.25" r="816" customHeight="1" ht="18.75">
      <c r="A816" s="8"/>
      <c r="B816" s="9"/>
      <c r="C816" s="9"/>
      <c r="D816" s="9"/>
      <c r="E816" s="9"/>
      <c r="F816" s="8"/>
      <c r="G816" s="8"/>
      <c r="H816" s="10"/>
      <c r="I816" s="10"/>
      <c r="J816" s="10"/>
      <c r="K816" s="9"/>
      <c r="L816" s="9"/>
      <c r="M816" s="9"/>
    </row>
    <row x14ac:dyDescent="0.25" r="817" customHeight="1" ht="18.75">
      <c r="A817" s="8"/>
      <c r="B817" s="9"/>
      <c r="C817" s="9"/>
      <c r="D817" s="9"/>
      <c r="E817" s="9"/>
      <c r="F817" s="8"/>
      <c r="G817" s="8"/>
      <c r="H817" s="10"/>
      <c r="I817" s="10"/>
      <c r="J817" s="10"/>
      <c r="K817" s="9"/>
      <c r="L817" s="9"/>
      <c r="M817" s="9"/>
    </row>
    <row x14ac:dyDescent="0.25" r="818" customHeight="1" ht="18.75">
      <c r="A818" s="8"/>
      <c r="B818" s="9"/>
      <c r="C818" s="9"/>
      <c r="D818" s="9"/>
      <c r="E818" s="9"/>
      <c r="F818" s="8"/>
      <c r="G818" s="8"/>
      <c r="H818" s="10"/>
      <c r="I818" s="10"/>
      <c r="J818" s="10"/>
      <c r="K818" s="9"/>
      <c r="L818" s="9"/>
      <c r="M818" s="9"/>
    </row>
    <row x14ac:dyDescent="0.25" r="819" customHeight="1" ht="18.75">
      <c r="A819" s="8"/>
      <c r="B819" s="9"/>
      <c r="C819" s="9"/>
      <c r="D819" s="9"/>
      <c r="E819" s="9"/>
      <c r="F819" s="8"/>
      <c r="G819" s="8"/>
      <c r="H819" s="10"/>
      <c r="I819" s="10"/>
      <c r="J819" s="10"/>
      <c r="K819" s="9"/>
      <c r="L819" s="9"/>
      <c r="M819" s="9"/>
    </row>
    <row x14ac:dyDescent="0.25" r="820" customHeight="1" ht="18.75">
      <c r="A820" s="8"/>
      <c r="B820" s="9"/>
      <c r="C820" s="9"/>
      <c r="D820" s="9"/>
      <c r="E820" s="9"/>
      <c r="F820" s="8"/>
      <c r="G820" s="8"/>
      <c r="H820" s="10"/>
      <c r="I820" s="10"/>
      <c r="J820" s="10"/>
      <c r="K820" s="9"/>
      <c r="L820" s="9"/>
      <c r="M820" s="9"/>
    </row>
    <row x14ac:dyDescent="0.25" r="821" customHeight="1" ht="18.75">
      <c r="A821" s="8"/>
      <c r="B821" s="9"/>
      <c r="C821" s="9"/>
      <c r="D821" s="9"/>
      <c r="E821" s="9"/>
      <c r="F821" s="8"/>
      <c r="G821" s="8"/>
      <c r="H821" s="10"/>
      <c r="I821" s="10"/>
      <c r="J821" s="10"/>
      <c r="K821" s="9"/>
      <c r="L821" s="9"/>
      <c r="M821" s="9"/>
    </row>
    <row x14ac:dyDescent="0.25" r="822" customHeight="1" ht="18.75">
      <c r="A822" s="8"/>
      <c r="B822" s="9"/>
      <c r="C822" s="9"/>
      <c r="D822" s="9"/>
      <c r="E822" s="9"/>
      <c r="F822" s="8"/>
      <c r="G822" s="8"/>
      <c r="H822" s="10"/>
      <c r="I822" s="10"/>
      <c r="J822" s="10"/>
      <c r="K822" s="9"/>
      <c r="L822" s="9"/>
      <c r="M822" s="9"/>
    </row>
    <row x14ac:dyDescent="0.25" r="823" customHeight="1" ht="18.75">
      <c r="A823" s="8"/>
      <c r="B823" s="9"/>
      <c r="C823" s="9"/>
      <c r="D823" s="9"/>
      <c r="E823" s="9"/>
      <c r="F823" s="8"/>
      <c r="G823" s="8"/>
      <c r="H823" s="10"/>
      <c r="I823" s="10"/>
      <c r="J823" s="10"/>
      <c r="K823" s="9"/>
      <c r="L823" s="9"/>
      <c r="M823" s="9"/>
    </row>
    <row x14ac:dyDescent="0.25" r="824" customHeight="1" ht="18.75">
      <c r="A824" s="8"/>
      <c r="B824" s="9"/>
      <c r="C824" s="9"/>
      <c r="D824" s="9"/>
      <c r="E824" s="9"/>
      <c r="F824" s="8"/>
      <c r="G824" s="8"/>
      <c r="H824" s="10"/>
      <c r="I824" s="10"/>
      <c r="J824" s="10"/>
      <c r="K824" s="9"/>
      <c r="L824" s="9"/>
      <c r="M824" s="9"/>
    </row>
    <row x14ac:dyDescent="0.25" r="825" customHeight="1" ht="18.75">
      <c r="A825" s="8"/>
      <c r="B825" s="9"/>
      <c r="C825" s="9"/>
      <c r="D825" s="9"/>
      <c r="E825" s="9"/>
      <c r="F825" s="8"/>
      <c r="G825" s="8"/>
      <c r="H825" s="10"/>
      <c r="I825" s="10"/>
      <c r="J825" s="10"/>
      <c r="K825" s="9"/>
      <c r="L825" s="9"/>
      <c r="M825" s="9"/>
    </row>
    <row x14ac:dyDescent="0.25" r="826" customHeight="1" ht="18.75">
      <c r="A826" s="8"/>
      <c r="B826" s="9"/>
      <c r="C826" s="9"/>
      <c r="D826" s="9"/>
      <c r="E826" s="9"/>
      <c r="F826" s="8"/>
      <c r="G826" s="8"/>
      <c r="H826" s="10"/>
      <c r="I826" s="10"/>
      <c r="J826" s="10"/>
      <c r="K826" s="9"/>
      <c r="L826" s="9"/>
      <c r="M826" s="9"/>
    </row>
    <row x14ac:dyDescent="0.25" r="827" customHeight="1" ht="18.75">
      <c r="A827" s="8"/>
      <c r="B827" s="9"/>
      <c r="C827" s="9"/>
      <c r="D827" s="9"/>
      <c r="E827" s="9"/>
      <c r="F827" s="8"/>
      <c r="G827" s="8"/>
      <c r="H827" s="10"/>
      <c r="I827" s="10"/>
      <c r="J827" s="10"/>
      <c r="K827" s="9"/>
      <c r="L827" s="9"/>
      <c r="M827" s="9"/>
    </row>
    <row x14ac:dyDescent="0.25" r="828" customHeight="1" ht="18.75">
      <c r="A828" s="8"/>
      <c r="B828" s="9"/>
      <c r="C828" s="9"/>
      <c r="D828" s="9"/>
      <c r="E828" s="9"/>
      <c r="F828" s="8"/>
      <c r="G828" s="8"/>
      <c r="H828" s="10"/>
      <c r="I828" s="10"/>
      <c r="J828" s="10"/>
      <c r="K828" s="9"/>
      <c r="L828" s="9"/>
      <c r="M828" s="9"/>
    </row>
    <row x14ac:dyDescent="0.25" r="829" customHeight="1" ht="18.75">
      <c r="A829" s="8"/>
      <c r="B829" s="9"/>
      <c r="C829" s="9"/>
      <c r="D829" s="9"/>
      <c r="E829" s="9"/>
      <c r="F829" s="8"/>
      <c r="G829" s="8"/>
      <c r="H829" s="10"/>
      <c r="I829" s="10"/>
      <c r="J829" s="10"/>
      <c r="K829" s="9"/>
      <c r="L829" s="9"/>
      <c r="M829" s="9"/>
    </row>
    <row x14ac:dyDescent="0.25" r="830" customHeight="1" ht="18.75">
      <c r="A830" s="8"/>
      <c r="B830" s="9"/>
      <c r="C830" s="9"/>
      <c r="D830" s="9"/>
      <c r="E830" s="9"/>
      <c r="F830" s="8"/>
      <c r="G830" s="8"/>
      <c r="H830" s="10"/>
      <c r="I830" s="10"/>
      <c r="J830" s="10"/>
      <c r="K830" s="9"/>
      <c r="L830" s="9"/>
      <c r="M830" s="9"/>
    </row>
    <row x14ac:dyDescent="0.25" r="831" customHeight="1" ht="18.75">
      <c r="A831" s="8"/>
      <c r="B831" s="9"/>
      <c r="C831" s="9"/>
      <c r="D831" s="9"/>
      <c r="E831" s="9"/>
      <c r="F831" s="8"/>
      <c r="G831" s="8"/>
      <c r="H831" s="10"/>
      <c r="I831" s="10"/>
      <c r="J831" s="10"/>
      <c r="K831" s="9"/>
      <c r="L831" s="9"/>
      <c r="M831" s="9"/>
    </row>
    <row x14ac:dyDescent="0.25" r="832" customHeight="1" ht="18.75">
      <c r="A832" s="8"/>
      <c r="B832" s="9"/>
      <c r="C832" s="9"/>
      <c r="D832" s="9"/>
      <c r="E832" s="9"/>
      <c r="F832" s="8"/>
      <c r="G832" s="8"/>
      <c r="H832" s="10"/>
      <c r="I832" s="10"/>
      <c r="J832" s="10"/>
      <c r="K832" s="9"/>
      <c r="L832" s="9"/>
      <c r="M832" s="9"/>
    </row>
    <row x14ac:dyDescent="0.25" r="833" customHeight="1" ht="18.75">
      <c r="A833" s="8"/>
      <c r="B833" s="9"/>
      <c r="C833" s="9"/>
      <c r="D833" s="9"/>
      <c r="E833" s="9"/>
      <c r="F833" s="8"/>
      <c r="G833" s="8"/>
      <c r="H833" s="10"/>
      <c r="I833" s="10"/>
      <c r="J833" s="10"/>
      <c r="K833" s="9"/>
      <c r="L833" s="9"/>
      <c r="M833" s="9"/>
    </row>
    <row x14ac:dyDescent="0.25" r="834" customHeight="1" ht="18.75">
      <c r="A834" s="8"/>
      <c r="B834" s="9"/>
      <c r="C834" s="9"/>
      <c r="D834" s="9"/>
      <c r="E834" s="9"/>
      <c r="F834" s="8"/>
      <c r="G834" s="8"/>
      <c r="H834" s="10"/>
      <c r="I834" s="10"/>
      <c r="J834" s="10"/>
      <c r="K834" s="9"/>
      <c r="L834" s="9"/>
      <c r="M834" s="9"/>
    </row>
    <row x14ac:dyDescent="0.25" r="835" customHeight="1" ht="18.75">
      <c r="A835" s="8"/>
      <c r="B835" s="9"/>
      <c r="C835" s="9"/>
      <c r="D835" s="9"/>
      <c r="E835" s="9"/>
      <c r="F835" s="8"/>
      <c r="G835" s="8"/>
      <c r="H835" s="10"/>
      <c r="I835" s="10"/>
      <c r="J835" s="10"/>
      <c r="K835" s="9"/>
      <c r="L835" s="9"/>
      <c r="M835" s="9"/>
    </row>
    <row x14ac:dyDescent="0.25" r="836" customHeight="1" ht="18.75">
      <c r="A836" s="8"/>
      <c r="B836" s="9"/>
      <c r="C836" s="9"/>
      <c r="D836" s="9"/>
      <c r="E836" s="9"/>
      <c r="F836" s="8"/>
      <c r="G836" s="8"/>
      <c r="H836" s="10"/>
      <c r="I836" s="10"/>
      <c r="J836" s="10"/>
      <c r="K836" s="9"/>
      <c r="L836" s="9"/>
      <c r="M836" s="9"/>
    </row>
    <row x14ac:dyDescent="0.25" r="837" customHeight="1" ht="18.75">
      <c r="A837" s="8"/>
      <c r="B837" s="9"/>
      <c r="C837" s="9"/>
      <c r="D837" s="9"/>
      <c r="E837" s="9"/>
      <c r="F837" s="8"/>
      <c r="G837" s="8"/>
      <c r="H837" s="10"/>
      <c r="I837" s="10"/>
      <c r="J837" s="10"/>
      <c r="K837" s="9"/>
      <c r="L837" s="9"/>
      <c r="M837" s="9"/>
    </row>
    <row x14ac:dyDescent="0.25" r="838" customHeight="1" ht="18.75">
      <c r="A838" s="8"/>
      <c r="B838" s="9"/>
      <c r="C838" s="9"/>
      <c r="D838" s="9"/>
      <c r="E838" s="9"/>
      <c r="F838" s="8"/>
      <c r="G838" s="8"/>
      <c r="H838" s="10"/>
      <c r="I838" s="10"/>
      <c r="J838" s="10"/>
      <c r="K838" s="9"/>
      <c r="L838" s="9"/>
      <c r="M838" s="9"/>
    </row>
    <row x14ac:dyDescent="0.25" r="839" customHeight="1" ht="18.75">
      <c r="A839" s="8"/>
      <c r="B839" s="9"/>
      <c r="C839" s="9"/>
      <c r="D839" s="9"/>
      <c r="E839" s="9"/>
      <c r="F839" s="8"/>
      <c r="G839" s="8"/>
      <c r="H839" s="10"/>
      <c r="I839" s="10"/>
      <c r="J839" s="10"/>
      <c r="K839" s="9"/>
      <c r="L839" s="9"/>
      <c r="M839" s="9"/>
    </row>
    <row x14ac:dyDescent="0.25" r="840" customHeight="1" ht="18.75">
      <c r="A840" s="8"/>
      <c r="B840" s="9"/>
      <c r="C840" s="9"/>
      <c r="D840" s="9"/>
      <c r="E840" s="9"/>
      <c r="F840" s="8"/>
      <c r="G840" s="8"/>
      <c r="H840" s="10"/>
      <c r="I840" s="10"/>
      <c r="J840" s="10"/>
      <c r="K840" s="9"/>
      <c r="L840" s="9"/>
      <c r="M840" s="9"/>
    </row>
    <row x14ac:dyDescent="0.25" r="841" customHeight="1" ht="18.75">
      <c r="A841" s="8"/>
      <c r="B841" s="9"/>
      <c r="C841" s="9"/>
      <c r="D841" s="9"/>
      <c r="E841" s="9"/>
      <c r="F841" s="8"/>
      <c r="G841" s="8"/>
      <c r="H841" s="10"/>
      <c r="I841" s="10"/>
      <c r="J841" s="10"/>
      <c r="K841" s="9"/>
      <c r="L841" s="9"/>
      <c r="M841" s="9"/>
    </row>
    <row x14ac:dyDescent="0.25" r="842" customHeight="1" ht="18.75">
      <c r="A842" s="8"/>
      <c r="B842" s="9"/>
      <c r="C842" s="9"/>
      <c r="D842" s="9"/>
      <c r="E842" s="9"/>
      <c r="F842" s="8"/>
      <c r="G842" s="8"/>
      <c r="H842" s="10"/>
      <c r="I842" s="10"/>
      <c r="J842" s="10"/>
      <c r="K842" s="9"/>
      <c r="L842" s="9"/>
      <c r="M842" s="9"/>
    </row>
    <row x14ac:dyDescent="0.25" r="843" customHeight="1" ht="18.75">
      <c r="A843" s="8"/>
      <c r="B843" s="9"/>
      <c r="C843" s="9"/>
      <c r="D843" s="9"/>
      <c r="E843" s="9"/>
      <c r="F843" s="8"/>
      <c r="G843" s="8"/>
      <c r="H843" s="10"/>
      <c r="I843" s="10"/>
      <c r="J843" s="10"/>
      <c r="K843" s="9"/>
      <c r="L843" s="9"/>
      <c r="M843" s="9"/>
    </row>
    <row x14ac:dyDescent="0.25" r="844" customHeight="1" ht="18.75">
      <c r="A844" s="8"/>
      <c r="B844" s="9"/>
      <c r="C844" s="9"/>
      <c r="D844" s="9"/>
      <c r="E844" s="9"/>
      <c r="F844" s="8"/>
      <c r="G844" s="8"/>
      <c r="H844" s="10"/>
      <c r="I844" s="10"/>
      <c r="J844" s="10"/>
      <c r="K844" s="9"/>
      <c r="L844" s="9"/>
      <c r="M844" s="9"/>
    </row>
    <row x14ac:dyDescent="0.25" r="845" customHeight="1" ht="18.75">
      <c r="A845" s="8"/>
      <c r="B845" s="9"/>
      <c r="C845" s="9"/>
      <c r="D845" s="9"/>
      <c r="E845" s="9"/>
      <c r="F845" s="8"/>
      <c r="G845" s="8"/>
      <c r="H845" s="10"/>
      <c r="I845" s="10"/>
      <c r="J845" s="10"/>
      <c r="K845" s="9"/>
      <c r="L845" s="9"/>
      <c r="M845" s="9"/>
    </row>
    <row x14ac:dyDescent="0.25" r="846" customHeight="1" ht="18.75">
      <c r="A846" s="8"/>
      <c r="B846" s="9"/>
      <c r="C846" s="9"/>
      <c r="D846" s="9"/>
      <c r="E846" s="9"/>
      <c r="F846" s="8"/>
      <c r="G846" s="8"/>
      <c r="H846" s="10"/>
      <c r="I846" s="10"/>
      <c r="J846" s="10"/>
      <c r="K846" s="9"/>
      <c r="L846" s="9"/>
      <c r="M846" s="9"/>
    </row>
    <row x14ac:dyDescent="0.25" r="847" customHeight="1" ht="18.75">
      <c r="A847" s="8"/>
      <c r="B847" s="9"/>
      <c r="C847" s="9"/>
      <c r="D847" s="9"/>
      <c r="E847" s="9"/>
      <c r="F847" s="8"/>
      <c r="G847" s="8"/>
      <c r="H847" s="10"/>
      <c r="I847" s="10"/>
      <c r="J847" s="10"/>
      <c r="K847" s="9"/>
      <c r="L847" s="9"/>
      <c r="M847" s="9"/>
    </row>
    <row x14ac:dyDescent="0.25" r="848" customHeight="1" ht="18.75">
      <c r="A848" s="8"/>
      <c r="B848" s="9"/>
      <c r="C848" s="9"/>
      <c r="D848" s="9"/>
      <c r="E848" s="9"/>
      <c r="F848" s="8"/>
      <c r="G848" s="8"/>
      <c r="H848" s="10"/>
      <c r="I848" s="10"/>
      <c r="J848" s="10"/>
      <c r="K848" s="9"/>
      <c r="L848" s="9"/>
      <c r="M848" s="9"/>
    </row>
    <row x14ac:dyDescent="0.25" r="849" customHeight="1" ht="18.75">
      <c r="A849" s="8"/>
      <c r="B849" s="9"/>
      <c r="C849" s="9"/>
      <c r="D849" s="9"/>
      <c r="E849" s="9"/>
      <c r="F849" s="8"/>
      <c r="G849" s="8"/>
      <c r="H849" s="10"/>
      <c r="I849" s="10"/>
      <c r="J849" s="10"/>
      <c r="K849" s="9"/>
      <c r="L849" s="9"/>
      <c r="M849" s="9"/>
    </row>
    <row x14ac:dyDescent="0.25" r="850" customHeight="1" ht="18.75">
      <c r="A850" s="8"/>
      <c r="B850" s="9"/>
      <c r="C850" s="9"/>
      <c r="D850" s="9"/>
      <c r="E850" s="9"/>
      <c r="F850" s="8"/>
      <c r="G850" s="8"/>
      <c r="H850" s="10"/>
      <c r="I850" s="10"/>
      <c r="J850" s="10"/>
      <c r="K850" s="9"/>
      <c r="L850" s="9"/>
      <c r="M850" s="9"/>
    </row>
    <row x14ac:dyDescent="0.25" r="851" customHeight="1" ht="18.75">
      <c r="A851" s="8"/>
      <c r="B851" s="9"/>
      <c r="C851" s="9"/>
      <c r="D851" s="9"/>
      <c r="E851" s="9"/>
      <c r="F851" s="8"/>
      <c r="G851" s="8"/>
      <c r="H851" s="10"/>
      <c r="I851" s="10"/>
      <c r="J851" s="10"/>
      <c r="K851" s="9"/>
      <c r="L851" s="9"/>
      <c r="M851" s="9"/>
    </row>
    <row x14ac:dyDescent="0.25" r="852" customHeight="1" ht="18.75">
      <c r="A852" s="8"/>
      <c r="B852" s="9"/>
      <c r="C852" s="9"/>
      <c r="D852" s="9"/>
      <c r="E852" s="9"/>
      <c r="F852" s="8"/>
      <c r="G852" s="8"/>
      <c r="H852" s="10"/>
      <c r="I852" s="10"/>
      <c r="J852" s="10"/>
      <c r="K852" s="9"/>
      <c r="L852" s="9"/>
      <c r="M852" s="9"/>
    </row>
    <row x14ac:dyDescent="0.25" r="853" customHeight="1" ht="18.75">
      <c r="A853" s="8"/>
      <c r="B853" s="9"/>
      <c r="C853" s="9"/>
      <c r="D853" s="9"/>
      <c r="E853" s="9"/>
      <c r="F853" s="8"/>
      <c r="G853" s="8"/>
      <c r="H853" s="10"/>
      <c r="I853" s="10"/>
      <c r="J853" s="10"/>
      <c r="K853" s="9"/>
      <c r="L853" s="9"/>
      <c r="M853" s="9"/>
    </row>
    <row x14ac:dyDescent="0.25" r="854" customHeight="1" ht="18.75">
      <c r="A854" s="8"/>
      <c r="B854" s="9"/>
      <c r="C854" s="9"/>
      <c r="D854" s="9"/>
      <c r="E854" s="9"/>
      <c r="F854" s="8"/>
      <c r="G854" s="8"/>
      <c r="H854" s="10"/>
      <c r="I854" s="10"/>
      <c r="J854" s="10"/>
      <c r="K854" s="9"/>
      <c r="L854" s="9"/>
      <c r="M854" s="9"/>
    </row>
    <row x14ac:dyDescent="0.25" r="855" customHeight="1" ht="18.75">
      <c r="A855" s="8"/>
      <c r="B855" s="9"/>
      <c r="C855" s="9"/>
      <c r="D855" s="9"/>
      <c r="E855" s="9"/>
      <c r="F855" s="8"/>
      <c r="G855" s="8"/>
      <c r="H855" s="10"/>
      <c r="I855" s="10"/>
      <c r="J855" s="10"/>
      <c r="K855" s="9"/>
      <c r="L855" s="9"/>
      <c r="M855" s="9"/>
    </row>
    <row x14ac:dyDescent="0.25" r="856" customHeight="1" ht="18.75">
      <c r="A856" s="8"/>
      <c r="B856" s="9"/>
      <c r="C856" s="9"/>
      <c r="D856" s="9"/>
      <c r="E856" s="9"/>
      <c r="F856" s="8"/>
      <c r="G856" s="8"/>
      <c r="H856" s="10"/>
      <c r="I856" s="10"/>
      <c r="J856" s="10"/>
      <c r="K856" s="9"/>
      <c r="L856" s="9"/>
      <c r="M856" s="9"/>
    </row>
    <row x14ac:dyDescent="0.25" r="857" customHeight="1" ht="18.75">
      <c r="A857" s="8"/>
      <c r="B857" s="9"/>
      <c r="C857" s="9"/>
      <c r="D857" s="9"/>
      <c r="E857" s="9"/>
      <c r="F857" s="8"/>
      <c r="G857" s="8"/>
      <c r="H857" s="10"/>
      <c r="I857" s="10"/>
      <c r="J857" s="10"/>
      <c r="K857" s="9"/>
      <c r="L857" s="9"/>
      <c r="M857" s="9"/>
    </row>
    <row x14ac:dyDescent="0.25" r="858" customHeight="1" ht="18.75">
      <c r="A858" s="8"/>
      <c r="B858" s="9"/>
      <c r="C858" s="9"/>
      <c r="D858" s="9"/>
      <c r="E858" s="9"/>
      <c r="F858" s="8"/>
      <c r="G858" s="8"/>
      <c r="H858" s="10"/>
      <c r="I858" s="10"/>
      <c r="J858" s="10"/>
      <c r="K858" s="9"/>
      <c r="L858" s="9"/>
      <c r="M858" s="9"/>
    </row>
    <row x14ac:dyDescent="0.25" r="859" customHeight="1" ht="18.75">
      <c r="A859" s="8"/>
      <c r="B859" s="9"/>
      <c r="C859" s="9"/>
      <c r="D859" s="9"/>
      <c r="E859" s="9"/>
      <c r="F859" s="8"/>
      <c r="G859" s="8"/>
      <c r="H859" s="10"/>
      <c r="I859" s="10"/>
      <c r="J859" s="10"/>
      <c r="K859" s="9"/>
      <c r="L859" s="9"/>
      <c r="M859" s="9"/>
    </row>
    <row x14ac:dyDescent="0.25" r="860" customHeight="1" ht="18.75">
      <c r="A860" s="8"/>
      <c r="B860" s="9"/>
      <c r="C860" s="9"/>
      <c r="D860" s="9"/>
      <c r="E860" s="9"/>
      <c r="F860" s="8"/>
      <c r="G860" s="8"/>
      <c r="H860" s="10"/>
      <c r="I860" s="10"/>
      <c r="J860" s="10"/>
      <c r="K860" s="9"/>
      <c r="L860" s="9"/>
      <c r="M860" s="9"/>
    </row>
    <row x14ac:dyDescent="0.25" r="861" customHeight="1" ht="18.75">
      <c r="A861" s="8"/>
      <c r="B861" s="9"/>
      <c r="C861" s="9"/>
      <c r="D861" s="9"/>
      <c r="E861" s="9"/>
      <c r="F861" s="8"/>
      <c r="G861" s="8"/>
      <c r="H861" s="10"/>
      <c r="I861" s="10"/>
      <c r="J861" s="10"/>
      <c r="K861" s="9"/>
      <c r="L861" s="9"/>
      <c r="M861" s="9"/>
    </row>
    <row x14ac:dyDescent="0.25" r="862" customHeight="1" ht="18.75">
      <c r="A862" s="8"/>
      <c r="B862" s="9"/>
      <c r="C862" s="9"/>
      <c r="D862" s="9"/>
      <c r="E862" s="9"/>
      <c r="F862" s="8"/>
      <c r="G862" s="8"/>
      <c r="H862" s="10"/>
      <c r="I862" s="10"/>
      <c r="J862" s="10"/>
      <c r="K862" s="9"/>
      <c r="L862" s="9"/>
      <c r="M862" s="9"/>
    </row>
    <row x14ac:dyDescent="0.25" r="863" customHeight="1" ht="18.75">
      <c r="A863" s="8"/>
      <c r="B863" s="9"/>
      <c r="C863" s="9"/>
      <c r="D863" s="9"/>
      <c r="E863" s="9"/>
      <c r="F863" s="8"/>
      <c r="G863" s="8"/>
      <c r="H863" s="10"/>
      <c r="I863" s="10"/>
      <c r="J863" s="10"/>
      <c r="K863" s="9"/>
      <c r="L863" s="9"/>
      <c r="M863" s="9"/>
    </row>
    <row x14ac:dyDescent="0.25" r="864" customHeight="1" ht="18.75">
      <c r="A864" s="8"/>
      <c r="B864" s="9"/>
      <c r="C864" s="9"/>
      <c r="D864" s="9"/>
      <c r="E864" s="9"/>
      <c r="F864" s="8"/>
      <c r="G864" s="8"/>
      <c r="H864" s="10"/>
      <c r="I864" s="10"/>
      <c r="J864" s="10"/>
      <c r="K864" s="9"/>
      <c r="L864" s="9"/>
      <c r="M864" s="9"/>
    </row>
    <row x14ac:dyDescent="0.25" r="865" customHeight="1" ht="18.75">
      <c r="A865" s="8"/>
      <c r="B865" s="9"/>
      <c r="C865" s="9"/>
      <c r="D865" s="9"/>
      <c r="E865" s="9"/>
      <c r="F865" s="8"/>
      <c r="G865" s="8"/>
      <c r="H865" s="10"/>
      <c r="I865" s="10"/>
      <c r="J865" s="10"/>
      <c r="K865" s="9"/>
      <c r="L865" s="9"/>
      <c r="M865" s="9"/>
    </row>
    <row x14ac:dyDescent="0.25" r="866" customHeight="1" ht="18.75">
      <c r="A866" s="8"/>
      <c r="B866" s="9"/>
      <c r="C866" s="9"/>
      <c r="D866" s="9"/>
      <c r="E866" s="9"/>
      <c r="F866" s="8"/>
      <c r="G866" s="8"/>
      <c r="H866" s="10"/>
      <c r="I866" s="10"/>
      <c r="J866" s="10"/>
      <c r="K866" s="9"/>
      <c r="L866" s="9"/>
      <c r="M866" s="9"/>
    </row>
    <row x14ac:dyDescent="0.25" r="867" customHeight="1" ht="18.75">
      <c r="A867" s="8"/>
      <c r="B867" s="9"/>
      <c r="C867" s="9"/>
      <c r="D867" s="9"/>
      <c r="E867" s="9"/>
      <c r="F867" s="8"/>
      <c r="G867" s="8"/>
      <c r="H867" s="10"/>
      <c r="I867" s="10"/>
      <c r="J867" s="10"/>
      <c r="K867" s="9"/>
      <c r="L867" s="9"/>
      <c r="M867" s="9"/>
    </row>
    <row x14ac:dyDescent="0.25" r="868" customHeight="1" ht="18.75">
      <c r="A868" s="8"/>
      <c r="B868" s="9"/>
      <c r="C868" s="9"/>
      <c r="D868" s="9"/>
      <c r="E868" s="9"/>
      <c r="F868" s="8"/>
      <c r="G868" s="8"/>
      <c r="H868" s="10"/>
      <c r="I868" s="10"/>
      <c r="J868" s="10"/>
      <c r="K868" s="9"/>
      <c r="L868" s="9"/>
      <c r="M868" s="9"/>
    </row>
    <row x14ac:dyDescent="0.25" r="869" customHeight="1" ht="18.75">
      <c r="A869" s="8"/>
      <c r="B869" s="9"/>
      <c r="C869" s="9"/>
      <c r="D869" s="9"/>
      <c r="E869" s="9"/>
      <c r="F869" s="8"/>
      <c r="G869" s="8"/>
      <c r="H869" s="10"/>
      <c r="I869" s="10"/>
      <c r="J869" s="10"/>
      <c r="K869" s="9"/>
      <c r="L869" s="9"/>
      <c r="M869" s="9"/>
    </row>
    <row x14ac:dyDescent="0.25" r="870" customHeight="1" ht="18.75">
      <c r="A870" s="8"/>
      <c r="B870" s="9"/>
      <c r="C870" s="9"/>
      <c r="D870" s="9"/>
      <c r="E870" s="9"/>
      <c r="F870" s="8"/>
      <c r="G870" s="8"/>
      <c r="H870" s="10"/>
      <c r="I870" s="10"/>
      <c r="J870" s="10"/>
      <c r="K870" s="9"/>
      <c r="L870" s="9"/>
      <c r="M870" s="9"/>
    </row>
    <row x14ac:dyDescent="0.25" r="871" customHeight="1" ht="18.75">
      <c r="A871" s="8"/>
      <c r="B871" s="9"/>
      <c r="C871" s="9"/>
      <c r="D871" s="9"/>
      <c r="E871" s="9"/>
      <c r="F871" s="8"/>
      <c r="G871" s="8"/>
      <c r="H871" s="10"/>
      <c r="I871" s="10"/>
      <c r="J871" s="10"/>
      <c r="K871" s="9"/>
      <c r="L871" s="9"/>
      <c r="M871" s="9"/>
    </row>
    <row x14ac:dyDescent="0.25" r="872" customHeight="1" ht="18.75">
      <c r="A872" s="8"/>
      <c r="B872" s="9"/>
      <c r="C872" s="9"/>
      <c r="D872" s="9"/>
      <c r="E872" s="9"/>
      <c r="F872" s="8"/>
      <c r="G872" s="8"/>
      <c r="H872" s="10"/>
      <c r="I872" s="10"/>
      <c r="J872" s="10"/>
      <c r="K872" s="9"/>
      <c r="L872" s="9"/>
      <c r="M872" s="9"/>
    </row>
    <row x14ac:dyDescent="0.25" r="873" customHeight="1" ht="18.75">
      <c r="A873" s="8"/>
      <c r="B873" s="9"/>
      <c r="C873" s="9"/>
      <c r="D873" s="9"/>
      <c r="E873" s="9"/>
      <c r="F873" s="8"/>
      <c r="G873" s="8"/>
      <c r="H873" s="10"/>
      <c r="I873" s="10"/>
      <c r="J873" s="10"/>
      <c r="K873" s="9"/>
      <c r="L873" s="9"/>
      <c r="M873" s="9"/>
    </row>
    <row x14ac:dyDescent="0.25" r="874" customHeight="1" ht="18.75">
      <c r="A874" s="8"/>
      <c r="B874" s="9"/>
      <c r="C874" s="9"/>
      <c r="D874" s="9"/>
      <c r="E874" s="9"/>
      <c r="F874" s="8"/>
      <c r="G874" s="8"/>
      <c r="H874" s="10"/>
      <c r="I874" s="10"/>
      <c r="J874" s="10"/>
      <c r="K874" s="9"/>
      <c r="L874" s="9"/>
      <c r="M874" s="9"/>
    </row>
    <row x14ac:dyDescent="0.25" r="875" customHeight="1" ht="18.75">
      <c r="A875" s="8"/>
      <c r="B875" s="9"/>
      <c r="C875" s="9"/>
      <c r="D875" s="9"/>
      <c r="E875" s="9"/>
      <c r="F875" s="8"/>
      <c r="G875" s="8"/>
      <c r="H875" s="10"/>
      <c r="I875" s="10"/>
      <c r="J875" s="10"/>
      <c r="K875" s="9"/>
      <c r="L875" s="9"/>
      <c r="M875" s="9"/>
    </row>
    <row x14ac:dyDescent="0.25" r="876" customHeight="1" ht="18.75">
      <c r="A876" s="8"/>
      <c r="B876" s="9"/>
      <c r="C876" s="9"/>
      <c r="D876" s="9"/>
      <c r="E876" s="9"/>
      <c r="F876" s="8"/>
      <c r="G876" s="8"/>
      <c r="H876" s="10"/>
      <c r="I876" s="10"/>
      <c r="J876" s="10"/>
      <c r="K876" s="9"/>
      <c r="L876" s="9"/>
      <c r="M876" s="9"/>
    </row>
    <row x14ac:dyDescent="0.25" r="877" customHeight="1" ht="18.75">
      <c r="A877" s="8"/>
      <c r="B877" s="9"/>
      <c r="C877" s="9"/>
      <c r="D877" s="9"/>
      <c r="E877" s="9"/>
      <c r="F877" s="8"/>
      <c r="G877" s="8"/>
      <c r="H877" s="10"/>
      <c r="I877" s="10"/>
      <c r="J877" s="10"/>
      <c r="K877" s="9"/>
      <c r="L877" s="9"/>
      <c r="M877" s="9"/>
    </row>
    <row x14ac:dyDescent="0.25" r="878" customHeight="1" ht="18.75">
      <c r="A878" s="8"/>
      <c r="B878" s="9"/>
      <c r="C878" s="9"/>
      <c r="D878" s="9"/>
      <c r="E878" s="9"/>
      <c r="F878" s="8"/>
      <c r="G878" s="8"/>
      <c r="H878" s="10"/>
      <c r="I878" s="10"/>
      <c r="J878" s="10"/>
      <c r="K878" s="9"/>
      <c r="L878" s="9"/>
      <c r="M878" s="9"/>
    </row>
    <row x14ac:dyDescent="0.25" r="879" customHeight="1" ht="18.75">
      <c r="A879" s="8"/>
      <c r="B879" s="9"/>
      <c r="C879" s="9"/>
      <c r="D879" s="9"/>
      <c r="E879" s="9"/>
      <c r="F879" s="8"/>
      <c r="G879" s="8"/>
      <c r="H879" s="10"/>
      <c r="I879" s="10"/>
      <c r="J879" s="10"/>
      <c r="K879" s="9"/>
      <c r="L879" s="9"/>
      <c r="M879" s="9"/>
    </row>
    <row x14ac:dyDescent="0.25" r="880" customHeight="1" ht="18.75">
      <c r="A880" s="8"/>
      <c r="B880" s="9"/>
      <c r="C880" s="9"/>
      <c r="D880" s="9"/>
      <c r="E880" s="9"/>
      <c r="F880" s="8"/>
      <c r="G880" s="8"/>
      <c r="H880" s="10"/>
      <c r="I880" s="10"/>
      <c r="J880" s="10"/>
      <c r="K880" s="9"/>
      <c r="L880" s="9"/>
      <c r="M880" s="9"/>
    </row>
    <row x14ac:dyDescent="0.25" r="881" customHeight="1" ht="18.75">
      <c r="A881" s="8"/>
      <c r="B881" s="9"/>
      <c r="C881" s="9"/>
      <c r="D881" s="9"/>
      <c r="E881" s="9"/>
      <c r="F881" s="8"/>
      <c r="G881" s="8"/>
      <c r="H881" s="10"/>
      <c r="I881" s="10"/>
      <c r="J881" s="10"/>
      <c r="K881" s="9"/>
      <c r="L881" s="9"/>
      <c r="M881" s="9"/>
    </row>
    <row x14ac:dyDescent="0.25" r="882" customHeight="1" ht="18.75">
      <c r="A882" s="8"/>
      <c r="B882" s="9"/>
      <c r="C882" s="9"/>
      <c r="D882" s="9"/>
      <c r="E882" s="9"/>
      <c r="F882" s="8"/>
      <c r="G882" s="8"/>
      <c r="H882" s="10"/>
      <c r="I882" s="10"/>
      <c r="J882" s="10"/>
      <c r="K882" s="9"/>
      <c r="L882" s="9"/>
      <c r="M882" s="9"/>
    </row>
    <row x14ac:dyDescent="0.25" r="883" customHeight="1" ht="18.75">
      <c r="A883" s="8"/>
      <c r="B883" s="9"/>
      <c r="C883" s="9"/>
      <c r="D883" s="9"/>
      <c r="E883" s="9"/>
      <c r="F883" s="8"/>
      <c r="G883" s="8"/>
      <c r="H883" s="10"/>
      <c r="I883" s="10"/>
      <c r="J883" s="10"/>
      <c r="K883" s="9"/>
      <c r="L883" s="9"/>
      <c r="M883" s="9"/>
    </row>
    <row x14ac:dyDescent="0.25" r="884" customHeight="1" ht="18.75">
      <c r="A884" s="8"/>
      <c r="B884" s="9"/>
      <c r="C884" s="9"/>
      <c r="D884" s="9"/>
      <c r="E884" s="9"/>
      <c r="F884" s="8"/>
      <c r="G884" s="8"/>
      <c r="H884" s="10"/>
      <c r="I884" s="10"/>
      <c r="J884" s="10"/>
      <c r="K884" s="9"/>
      <c r="L884" s="9"/>
      <c r="M884" s="9"/>
    </row>
    <row x14ac:dyDescent="0.25" r="885" customHeight="1" ht="18.75">
      <c r="A885" s="8"/>
      <c r="B885" s="9"/>
      <c r="C885" s="9"/>
      <c r="D885" s="9"/>
      <c r="E885" s="9"/>
      <c r="F885" s="8"/>
      <c r="G885" s="8"/>
      <c r="H885" s="10"/>
      <c r="I885" s="10"/>
      <c r="J885" s="10"/>
      <c r="K885" s="9"/>
      <c r="L885" s="9"/>
      <c r="M885" s="9"/>
    </row>
    <row x14ac:dyDescent="0.25" r="886" customHeight="1" ht="18.75">
      <c r="A886" s="8"/>
      <c r="B886" s="9"/>
      <c r="C886" s="9"/>
      <c r="D886" s="9"/>
      <c r="E886" s="9"/>
      <c r="F886" s="8"/>
      <c r="G886" s="8"/>
      <c r="H886" s="10"/>
      <c r="I886" s="10"/>
      <c r="J886" s="10"/>
      <c r="K886" s="9"/>
      <c r="L886" s="9"/>
      <c r="M886" s="9"/>
    </row>
    <row x14ac:dyDescent="0.25" r="887" customHeight="1" ht="18.75">
      <c r="A887" s="8"/>
      <c r="B887" s="9"/>
      <c r="C887" s="9"/>
      <c r="D887" s="9"/>
      <c r="E887" s="9"/>
      <c r="F887" s="8"/>
      <c r="G887" s="8"/>
      <c r="H887" s="10"/>
      <c r="I887" s="10"/>
      <c r="J887" s="10"/>
      <c r="K887" s="9"/>
      <c r="L887" s="9"/>
      <c r="M887" s="9"/>
    </row>
    <row x14ac:dyDescent="0.25" r="888" customHeight="1" ht="18.75">
      <c r="A888" s="8"/>
      <c r="B888" s="9"/>
      <c r="C888" s="9"/>
      <c r="D888" s="9"/>
      <c r="E888" s="9"/>
      <c r="F888" s="8"/>
      <c r="G888" s="8"/>
      <c r="H888" s="10"/>
      <c r="I888" s="10"/>
      <c r="J888" s="10"/>
      <c r="K888" s="9"/>
      <c r="L888" s="9"/>
      <c r="M888" s="9"/>
    </row>
    <row x14ac:dyDescent="0.25" r="889" customHeight="1" ht="18.75">
      <c r="A889" s="8"/>
      <c r="B889" s="9"/>
      <c r="C889" s="9"/>
      <c r="D889" s="9"/>
      <c r="E889" s="9"/>
      <c r="F889" s="8"/>
      <c r="G889" s="8"/>
      <c r="H889" s="10"/>
      <c r="I889" s="10"/>
      <c r="J889" s="10"/>
      <c r="K889" s="9"/>
      <c r="L889" s="9"/>
      <c r="M889" s="9"/>
    </row>
    <row x14ac:dyDescent="0.25" r="890" customHeight="1" ht="18.75">
      <c r="A890" s="8"/>
      <c r="B890" s="9"/>
      <c r="C890" s="9"/>
      <c r="D890" s="9"/>
      <c r="E890" s="9"/>
      <c r="F890" s="8"/>
      <c r="G890" s="8"/>
      <c r="H890" s="10"/>
      <c r="I890" s="10"/>
      <c r="J890" s="10"/>
      <c r="K890" s="9"/>
      <c r="L890" s="9"/>
      <c r="M890" s="9"/>
    </row>
    <row x14ac:dyDescent="0.25" r="891" customHeight="1" ht="18.75">
      <c r="A891" s="8"/>
      <c r="B891" s="9"/>
      <c r="C891" s="9"/>
      <c r="D891" s="9"/>
      <c r="E891" s="9"/>
      <c r="F891" s="8"/>
      <c r="G891" s="8"/>
      <c r="H891" s="10"/>
      <c r="I891" s="10"/>
      <c r="J891" s="10"/>
      <c r="K891" s="9"/>
      <c r="L891" s="9"/>
      <c r="M891" s="9"/>
    </row>
    <row x14ac:dyDescent="0.25" r="892" customHeight="1" ht="18.75">
      <c r="A892" s="8"/>
      <c r="B892" s="9"/>
      <c r="C892" s="9"/>
      <c r="D892" s="9"/>
      <c r="E892" s="9"/>
      <c r="F892" s="8"/>
      <c r="G892" s="8"/>
      <c r="H892" s="10"/>
      <c r="I892" s="10"/>
      <c r="J892" s="10"/>
      <c r="K892" s="9"/>
      <c r="L892" s="9"/>
      <c r="M892" s="9"/>
    </row>
    <row x14ac:dyDescent="0.25" r="893" customHeight="1" ht="18.75">
      <c r="A893" s="8"/>
      <c r="B893" s="9"/>
      <c r="C893" s="9"/>
      <c r="D893" s="9"/>
      <c r="E893" s="9"/>
      <c r="F893" s="8"/>
      <c r="G893" s="8"/>
      <c r="H893" s="10"/>
      <c r="I893" s="10"/>
      <c r="J893" s="10"/>
      <c r="K893" s="9"/>
      <c r="L893" s="9"/>
      <c r="M893" s="9"/>
    </row>
    <row x14ac:dyDescent="0.25" r="894" customHeight="1" ht="18.75">
      <c r="A894" s="8"/>
      <c r="B894" s="9"/>
      <c r="C894" s="9"/>
      <c r="D894" s="9"/>
      <c r="E894" s="9"/>
      <c r="F894" s="8"/>
      <c r="G894" s="8"/>
      <c r="H894" s="10"/>
      <c r="I894" s="10"/>
      <c r="J894" s="10"/>
      <c r="K894" s="9"/>
      <c r="L894" s="9"/>
      <c r="M894" s="9"/>
    </row>
    <row x14ac:dyDescent="0.25" r="895" customHeight="1" ht="18.75">
      <c r="A895" s="8"/>
      <c r="B895" s="9"/>
      <c r="C895" s="9"/>
      <c r="D895" s="9"/>
      <c r="E895" s="9"/>
      <c r="F895" s="8"/>
      <c r="G895" s="8"/>
      <c r="H895" s="10"/>
      <c r="I895" s="10"/>
      <c r="J895" s="10"/>
      <c r="K895" s="9"/>
      <c r="L895" s="9"/>
      <c r="M895" s="9"/>
    </row>
    <row x14ac:dyDescent="0.25" r="896" customHeight="1" ht="18.75">
      <c r="A896" s="8"/>
      <c r="B896" s="9"/>
      <c r="C896" s="9"/>
      <c r="D896" s="9"/>
      <c r="E896" s="9"/>
      <c r="F896" s="8"/>
      <c r="G896" s="8"/>
      <c r="H896" s="10"/>
      <c r="I896" s="10"/>
      <c r="J896" s="10"/>
      <c r="K896" s="9"/>
      <c r="L896" s="9"/>
      <c r="M896" s="9"/>
    </row>
    <row x14ac:dyDescent="0.25" r="897" customHeight="1" ht="18.75">
      <c r="A897" s="8"/>
      <c r="B897" s="9"/>
      <c r="C897" s="9"/>
      <c r="D897" s="9"/>
      <c r="E897" s="9"/>
      <c r="F897" s="8"/>
      <c r="G897" s="8"/>
      <c r="H897" s="10"/>
      <c r="I897" s="10"/>
      <c r="J897" s="10"/>
      <c r="K897" s="9"/>
      <c r="L897" s="9"/>
      <c r="M897" s="9"/>
    </row>
    <row x14ac:dyDescent="0.25" r="898" customHeight="1" ht="18.75">
      <c r="A898" s="8"/>
      <c r="B898" s="9"/>
      <c r="C898" s="9"/>
      <c r="D898" s="9"/>
      <c r="E898" s="9"/>
      <c r="F898" s="8"/>
      <c r="G898" s="8"/>
      <c r="H898" s="10"/>
      <c r="I898" s="10"/>
      <c r="J898" s="10"/>
      <c r="K898" s="9"/>
      <c r="L898" s="9"/>
      <c r="M898" s="9"/>
    </row>
    <row x14ac:dyDescent="0.25" r="899" customHeight="1" ht="18.75">
      <c r="A899" s="8"/>
      <c r="B899" s="9"/>
      <c r="C899" s="9"/>
      <c r="D899" s="9"/>
      <c r="E899" s="9"/>
      <c r="F899" s="8"/>
      <c r="G899" s="8"/>
      <c r="H899" s="10"/>
      <c r="I899" s="10"/>
      <c r="J899" s="10"/>
      <c r="K899" s="9"/>
      <c r="L899" s="9"/>
      <c r="M899" s="9"/>
    </row>
    <row x14ac:dyDescent="0.25" r="900" customHeight="1" ht="18.75">
      <c r="A900" s="8"/>
      <c r="B900" s="9"/>
      <c r="C900" s="9"/>
      <c r="D900" s="9"/>
      <c r="E900" s="9"/>
      <c r="F900" s="8"/>
      <c r="G900" s="8"/>
      <c r="H900" s="10"/>
      <c r="I900" s="10"/>
      <c r="J900" s="10"/>
      <c r="K900" s="9"/>
      <c r="L900" s="9"/>
      <c r="M900" s="9"/>
    </row>
    <row x14ac:dyDescent="0.25" r="901" customHeight="1" ht="18.75">
      <c r="A901" s="8"/>
      <c r="B901" s="9"/>
      <c r="C901" s="9"/>
      <c r="D901" s="9"/>
      <c r="E901" s="9"/>
      <c r="F901" s="8"/>
      <c r="G901" s="8"/>
      <c r="H901" s="10"/>
      <c r="I901" s="10"/>
      <c r="J901" s="10"/>
      <c r="K901" s="9"/>
      <c r="L901" s="9"/>
      <c r="M901" s="9"/>
    </row>
    <row x14ac:dyDescent="0.25" r="902" customHeight="1" ht="18.75">
      <c r="A902" s="8"/>
      <c r="B902" s="9"/>
      <c r="C902" s="9"/>
      <c r="D902" s="9"/>
      <c r="E902" s="9"/>
      <c r="F902" s="8"/>
      <c r="G902" s="8"/>
      <c r="H902" s="10"/>
      <c r="I902" s="10"/>
      <c r="J902" s="10"/>
      <c r="K902" s="9"/>
      <c r="L902" s="9"/>
      <c r="M902" s="9"/>
    </row>
    <row x14ac:dyDescent="0.25" r="903" customHeight="1" ht="18.75">
      <c r="A903" s="8"/>
      <c r="B903" s="9"/>
      <c r="C903" s="9"/>
      <c r="D903" s="9"/>
      <c r="E903" s="9"/>
      <c r="F903" s="8"/>
      <c r="G903" s="8"/>
      <c r="H903" s="10"/>
      <c r="I903" s="10"/>
      <c r="J903" s="10"/>
      <c r="K903" s="9"/>
      <c r="L903" s="9"/>
      <c r="M903" s="9"/>
    </row>
    <row x14ac:dyDescent="0.25" r="904" customHeight="1" ht="18.75">
      <c r="A904" s="8"/>
      <c r="B904" s="9"/>
      <c r="C904" s="9"/>
      <c r="D904" s="9"/>
      <c r="E904" s="9"/>
      <c r="F904" s="8"/>
      <c r="G904" s="8"/>
      <c r="H904" s="10"/>
      <c r="I904" s="10"/>
      <c r="J904" s="10"/>
      <c r="K904" s="9"/>
      <c r="L904" s="9"/>
      <c r="M904" s="9"/>
    </row>
    <row x14ac:dyDescent="0.25" r="905" customHeight="1" ht="18.75">
      <c r="A905" s="8"/>
      <c r="B905" s="9"/>
      <c r="C905" s="9"/>
      <c r="D905" s="9"/>
      <c r="E905" s="9"/>
      <c r="F905" s="8"/>
      <c r="G905" s="8"/>
      <c r="H905" s="10"/>
      <c r="I905" s="10"/>
      <c r="J905" s="10"/>
      <c r="K905" s="9"/>
      <c r="L905" s="9"/>
      <c r="M905" s="9"/>
    </row>
    <row x14ac:dyDescent="0.25" r="906" customHeight="1" ht="18.75">
      <c r="A906" s="8"/>
      <c r="B906" s="9"/>
      <c r="C906" s="9"/>
      <c r="D906" s="9"/>
      <c r="E906" s="9"/>
      <c r="F906" s="8"/>
      <c r="G906" s="8"/>
      <c r="H906" s="10"/>
      <c r="I906" s="10"/>
      <c r="J906" s="10"/>
      <c r="K906" s="9"/>
      <c r="L906" s="9"/>
      <c r="M906" s="9"/>
    </row>
    <row x14ac:dyDescent="0.25" r="907" customHeight="1" ht="18.75">
      <c r="A907" s="8"/>
      <c r="B907" s="9"/>
      <c r="C907" s="9"/>
      <c r="D907" s="9"/>
      <c r="E907" s="9"/>
      <c r="F907" s="8"/>
      <c r="G907" s="8"/>
      <c r="H907" s="10"/>
      <c r="I907" s="10"/>
      <c r="J907" s="10"/>
      <c r="K907" s="9"/>
      <c r="L907" s="9"/>
      <c r="M907" s="9"/>
    </row>
    <row x14ac:dyDescent="0.25" r="908" customHeight="1" ht="18.75">
      <c r="A908" s="8"/>
      <c r="B908" s="9"/>
      <c r="C908" s="9"/>
      <c r="D908" s="9"/>
      <c r="E908" s="9"/>
      <c r="F908" s="8"/>
      <c r="G908" s="8"/>
      <c r="H908" s="10"/>
      <c r="I908" s="10"/>
      <c r="J908" s="10"/>
      <c r="K908" s="9"/>
      <c r="L908" s="9"/>
      <c r="M908" s="9"/>
    </row>
    <row x14ac:dyDescent="0.25" r="909" customHeight="1" ht="18.75">
      <c r="A909" s="8"/>
      <c r="B909" s="9"/>
      <c r="C909" s="9"/>
      <c r="D909" s="9"/>
      <c r="E909" s="9"/>
      <c r="F909" s="8"/>
      <c r="G909" s="8"/>
      <c r="H909" s="10"/>
      <c r="I909" s="10"/>
      <c r="J909" s="10"/>
      <c r="K909" s="9"/>
      <c r="L909" s="9"/>
      <c r="M909" s="9"/>
    </row>
    <row x14ac:dyDescent="0.25" r="910" customHeight="1" ht="18.75">
      <c r="A910" s="8"/>
      <c r="B910" s="9"/>
      <c r="C910" s="9"/>
      <c r="D910" s="9"/>
      <c r="E910" s="9"/>
      <c r="F910" s="8"/>
      <c r="G910" s="8"/>
      <c r="H910" s="10"/>
      <c r="I910" s="10"/>
      <c r="J910" s="10"/>
      <c r="K910" s="9"/>
      <c r="L910" s="9"/>
      <c r="M910" s="9"/>
    </row>
    <row x14ac:dyDescent="0.25" r="911" customHeight="1" ht="18.75">
      <c r="A911" s="8"/>
      <c r="B911" s="9"/>
      <c r="C911" s="9"/>
      <c r="D911" s="9"/>
      <c r="E911" s="9"/>
      <c r="F911" s="8"/>
      <c r="G911" s="8"/>
      <c r="H911" s="10"/>
      <c r="I911" s="10"/>
      <c r="J911" s="10"/>
      <c r="K911" s="9"/>
      <c r="L911" s="9"/>
      <c r="M911" s="9"/>
    </row>
    <row x14ac:dyDescent="0.25" r="912" customHeight="1" ht="18.75">
      <c r="A912" s="8"/>
      <c r="B912" s="9"/>
      <c r="C912" s="9"/>
      <c r="D912" s="9"/>
      <c r="E912" s="9"/>
      <c r="F912" s="8"/>
      <c r="G912" s="8"/>
      <c r="H912" s="10"/>
      <c r="I912" s="10"/>
      <c r="J912" s="10"/>
      <c r="K912" s="9"/>
      <c r="L912" s="9"/>
      <c r="M912" s="9"/>
    </row>
    <row x14ac:dyDescent="0.25" r="913" customHeight="1" ht="18.75">
      <c r="A913" s="8"/>
      <c r="B913" s="9"/>
      <c r="C913" s="9"/>
      <c r="D913" s="9"/>
      <c r="E913" s="9"/>
      <c r="F913" s="8"/>
      <c r="G913" s="8"/>
      <c r="H913" s="10"/>
      <c r="I913" s="10"/>
      <c r="J913" s="10"/>
      <c r="K913" s="9"/>
      <c r="L913" s="9"/>
      <c r="M913" s="9"/>
    </row>
    <row x14ac:dyDescent="0.25" r="914" customHeight="1" ht="18.75">
      <c r="A914" s="8"/>
      <c r="B914" s="9"/>
      <c r="C914" s="9"/>
      <c r="D914" s="9"/>
      <c r="E914" s="9"/>
      <c r="F914" s="8"/>
      <c r="G914" s="8"/>
      <c r="H914" s="10"/>
      <c r="I914" s="10"/>
      <c r="J914" s="10"/>
      <c r="K914" s="9"/>
      <c r="L914" s="9"/>
      <c r="M914" s="9"/>
    </row>
    <row x14ac:dyDescent="0.25" r="915" customHeight="1" ht="18.75">
      <c r="A915" s="8"/>
      <c r="B915" s="9"/>
      <c r="C915" s="9"/>
      <c r="D915" s="9"/>
      <c r="E915" s="9"/>
      <c r="F915" s="8"/>
      <c r="G915" s="8"/>
      <c r="H915" s="10"/>
      <c r="I915" s="10"/>
      <c r="J915" s="10"/>
      <c r="K915" s="9"/>
      <c r="L915" s="9"/>
      <c r="M915" s="9"/>
    </row>
    <row x14ac:dyDescent="0.25" r="916" customHeight="1" ht="18.75">
      <c r="A916" s="8"/>
      <c r="B916" s="9"/>
      <c r="C916" s="9"/>
      <c r="D916" s="9"/>
      <c r="E916" s="9"/>
      <c r="F916" s="8"/>
      <c r="G916" s="8"/>
      <c r="H916" s="10"/>
      <c r="I916" s="10"/>
      <c r="J916" s="10"/>
      <c r="K916" s="9"/>
      <c r="L916" s="9"/>
      <c r="M916" s="9"/>
    </row>
    <row x14ac:dyDescent="0.25" r="917" customHeight="1" ht="18.75">
      <c r="A917" s="8"/>
      <c r="B917" s="9"/>
      <c r="C917" s="9"/>
      <c r="D917" s="9"/>
      <c r="E917" s="9"/>
      <c r="F917" s="8"/>
      <c r="G917" s="8"/>
      <c r="H917" s="10"/>
      <c r="I917" s="10"/>
      <c r="J917" s="10"/>
      <c r="K917" s="9"/>
      <c r="L917" s="9"/>
      <c r="M917" s="9"/>
    </row>
    <row x14ac:dyDescent="0.25" r="918" customHeight="1" ht="18.75">
      <c r="A918" s="8"/>
      <c r="B918" s="9"/>
      <c r="C918" s="9"/>
      <c r="D918" s="9"/>
      <c r="E918" s="9"/>
      <c r="F918" s="8"/>
      <c r="G918" s="8"/>
      <c r="H918" s="10"/>
      <c r="I918" s="10"/>
      <c r="J918" s="10"/>
      <c r="K918" s="9"/>
      <c r="L918" s="9"/>
      <c r="M918" s="9"/>
    </row>
    <row x14ac:dyDescent="0.25" r="919" customHeight="1" ht="18.75">
      <c r="A919" s="8"/>
      <c r="B919" s="9"/>
      <c r="C919" s="9"/>
      <c r="D919" s="9"/>
      <c r="E919" s="9"/>
      <c r="F919" s="8"/>
      <c r="G919" s="8"/>
      <c r="H919" s="10"/>
      <c r="I919" s="10"/>
      <c r="J919" s="10"/>
      <c r="K919" s="9"/>
      <c r="L919" s="9"/>
      <c r="M919" s="9"/>
    </row>
    <row x14ac:dyDescent="0.25" r="920" customHeight="1" ht="18.75">
      <c r="A920" s="8"/>
      <c r="B920" s="9"/>
      <c r="C920" s="9"/>
      <c r="D920" s="9"/>
      <c r="E920" s="9"/>
      <c r="F920" s="8"/>
      <c r="G920" s="8"/>
      <c r="H920" s="10"/>
      <c r="I920" s="10"/>
      <c r="J920" s="10"/>
      <c r="K920" s="9"/>
      <c r="L920" s="9"/>
      <c r="M920" s="9"/>
    </row>
    <row x14ac:dyDescent="0.25" r="921" customHeight="1" ht="18.75">
      <c r="A921" s="8"/>
      <c r="B921" s="9"/>
      <c r="C921" s="9"/>
      <c r="D921" s="9"/>
      <c r="E921" s="9"/>
      <c r="F921" s="8"/>
      <c r="G921" s="8"/>
      <c r="H921" s="10"/>
      <c r="I921" s="10"/>
      <c r="J921" s="10"/>
      <c r="K921" s="9"/>
      <c r="L921" s="9"/>
      <c r="M921" s="9"/>
    </row>
    <row x14ac:dyDescent="0.25" r="922" customHeight="1" ht="18.75">
      <c r="A922" s="8"/>
      <c r="B922" s="9"/>
      <c r="C922" s="9"/>
      <c r="D922" s="9"/>
      <c r="E922" s="9"/>
      <c r="F922" s="8"/>
      <c r="G922" s="8"/>
      <c r="H922" s="10"/>
      <c r="I922" s="10"/>
      <c r="J922" s="10"/>
      <c r="K922" s="9"/>
      <c r="L922" s="9"/>
      <c r="M922" s="9"/>
    </row>
    <row x14ac:dyDescent="0.25" r="923" customHeight="1" ht="18.75">
      <c r="A923" s="8"/>
      <c r="B923" s="9"/>
      <c r="C923" s="9"/>
      <c r="D923" s="9"/>
      <c r="E923" s="9"/>
      <c r="F923" s="8"/>
      <c r="G923" s="8"/>
      <c r="H923" s="10"/>
      <c r="I923" s="10"/>
      <c r="J923" s="10"/>
      <c r="K923" s="9"/>
      <c r="L923" s="9"/>
      <c r="M923" s="9"/>
    </row>
    <row x14ac:dyDescent="0.25" r="924" customHeight="1" ht="18.75">
      <c r="A924" s="8"/>
      <c r="B924" s="9"/>
      <c r="C924" s="9"/>
      <c r="D924" s="9"/>
      <c r="E924" s="9"/>
      <c r="F924" s="8"/>
      <c r="G924" s="8"/>
      <c r="H924" s="10"/>
      <c r="I924" s="10"/>
      <c r="J924" s="10"/>
      <c r="K924" s="9"/>
      <c r="L924" s="9"/>
      <c r="M924" s="9"/>
    </row>
    <row x14ac:dyDescent="0.25" r="925" customHeight="1" ht="18.75">
      <c r="A925" s="8"/>
      <c r="B925" s="9"/>
      <c r="C925" s="9"/>
      <c r="D925" s="9"/>
      <c r="E925" s="9"/>
      <c r="F925" s="8"/>
      <c r="G925" s="8"/>
      <c r="H925" s="10"/>
      <c r="I925" s="10"/>
      <c r="J925" s="10"/>
      <c r="K925" s="9"/>
      <c r="L925" s="9"/>
      <c r="M925" s="9"/>
    </row>
    <row x14ac:dyDescent="0.25" r="926" customHeight="1" ht="18.75">
      <c r="A926" s="8"/>
      <c r="B926" s="9"/>
      <c r="C926" s="9"/>
      <c r="D926" s="9"/>
      <c r="E926" s="9"/>
      <c r="F926" s="8"/>
      <c r="G926" s="8"/>
      <c r="H926" s="10"/>
      <c r="I926" s="10"/>
      <c r="J926" s="10"/>
      <c r="K926" s="9"/>
      <c r="L926" s="9"/>
      <c r="M926" s="9"/>
    </row>
    <row x14ac:dyDescent="0.25" r="927" customHeight="1" ht="18.75">
      <c r="A927" s="8"/>
      <c r="B927" s="9"/>
      <c r="C927" s="9"/>
      <c r="D927" s="9"/>
      <c r="E927" s="9"/>
      <c r="F927" s="8"/>
      <c r="G927" s="8"/>
      <c r="H927" s="10"/>
      <c r="I927" s="10"/>
      <c r="J927" s="10"/>
      <c r="K927" s="9"/>
      <c r="L927" s="9"/>
      <c r="M927" s="9"/>
    </row>
    <row x14ac:dyDescent="0.25" r="928" customHeight="1" ht="18.75">
      <c r="A928" s="8"/>
      <c r="B928" s="9"/>
      <c r="C928" s="9"/>
      <c r="D928" s="9"/>
      <c r="E928" s="9"/>
      <c r="F928" s="8"/>
      <c r="G928" s="8"/>
      <c r="H928" s="10"/>
      <c r="I928" s="10"/>
      <c r="J928" s="10"/>
      <c r="K928" s="9"/>
      <c r="L928" s="9"/>
      <c r="M928" s="9"/>
    </row>
    <row x14ac:dyDescent="0.25" r="929" customHeight="1" ht="18.75">
      <c r="A929" s="8"/>
      <c r="B929" s="9"/>
      <c r="C929" s="9"/>
      <c r="D929" s="9"/>
      <c r="E929" s="9"/>
      <c r="F929" s="8"/>
      <c r="G929" s="8"/>
      <c r="H929" s="10"/>
      <c r="I929" s="10"/>
      <c r="J929" s="10"/>
      <c r="K929" s="9"/>
      <c r="L929" s="9"/>
      <c r="M929" s="9"/>
    </row>
    <row x14ac:dyDescent="0.25" r="930" customHeight="1" ht="18.75">
      <c r="A930" s="8"/>
      <c r="B930" s="9"/>
      <c r="C930" s="9"/>
      <c r="D930" s="9"/>
      <c r="E930" s="9"/>
      <c r="F930" s="8"/>
      <c r="G930" s="8"/>
      <c r="H930" s="10"/>
      <c r="I930" s="10"/>
      <c r="J930" s="10"/>
      <c r="K930" s="9"/>
      <c r="L930" s="9"/>
      <c r="M930" s="9"/>
    </row>
    <row x14ac:dyDescent="0.25" r="931" customHeight="1" ht="18.75">
      <c r="A931" s="8"/>
      <c r="B931" s="9"/>
      <c r="C931" s="9"/>
      <c r="D931" s="9"/>
      <c r="E931" s="9"/>
      <c r="F931" s="8"/>
      <c r="G931" s="8"/>
      <c r="H931" s="10"/>
      <c r="I931" s="10"/>
      <c r="J931" s="10"/>
      <c r="K931" s="9"/>
      <c r="L931" s="9"/>
      <c r="M931" s="9"/>
    </row>
    <row x14ac:dyDescent="0.25" r="932" customHeight="1" ht="18.75">
      <c r="A932" s="8"/>
      <c r="B932" s="9"/>
      <c r="C932" s="9"/>
      <c r="D932" s="9"/>
      <c r="E932" s="9"/>
      <c r="F932" s="8"/>
      <c r="G932" s="8"/>
      <c r="H932" s="10"/>
      <c r="I932" s="10"/>
      <c r="J932" s="10"/>
      <c r="K932" s="9"/>
      <c r="L932" s="9"/>
      <c r="M932" s="9"/>
    </row>
    <row x14ac:dyDescent="0.25" r="933" customHeight="1" ht="18.75">
      <c r="A933" s="8"/>
      <c r="B933" s="9"/>
      <c r="C933" s="9"/>
      <c r="D933" s="9"/>
      <c r="E933" s="9"/>
      <c r="F933" s="8"/>
      <c r="G933" s="8"/>
      <c r="H933" s="10"/>
      <c r="I933" s="10"/>
      <c r="J933" s="10"/>
      <c r="K933" s="9"/>
      <c r="L933" s="9"/>
      <c r="M933" s="9"/>
    </row>
    <row x14ac:dyDescent="0.25" r="934" customHeight="1" ht="18.75">
      <c r="A934" s="8"/>
      <c r="B934" s="9"/>
      <c r="C934" s="9"/>
      <c r="D934" s="9"/>
      <c r="E934" s="9"/>
      <c r="F934" s="8"/>
      <c r="G934" s="8"/>
      <c r="H934" s="10"/>
      <c r="I934" s="10"/>
      <c r="J934" s="10"/>
      <c r="K934" s="9"/>
      <c r="L934" s="9"/>
      <c r="M934" s="9"/>
    </row>
    <row x14ac:dyDescent="0.25" r="935" customHeight="1" ht="18.75">
      <c r="A935" s="8"/>
      <c r="B935" s="9"/>
      <c r="C935" s="9"/>
      <c r="D935" s="9"/>
      <c r="E935" s="9"/>
      <c r="F935" s="8"/>
      <c r="G935" s="8"/>
      <c r="H935" s="10"/>
      <c r="I935" s="10"/>
      <c r="J935" s="10"/>
      <c r="K935" s="9"/>
      <c r="L935" s="9"/>
      <c r="M935" s="9"/>
    </row>
    <row x14ac:dyDescent="0.25" r="936" customHeight="1" ht="18.75">
      <c r="A936" s="8"/>
      <c r="B936" s="9"/>
      <c r="C936" s="9"/>
      <c r="D936" s="9"/>
      <c r="E936" s="9"/>
      <c r="F936" s="8"/>
      <c r="G936" s="8"/>
      <c r="H936" s="10"/>
      <c r="I936" s="10"/>
      <c r="J936" s="10"/>
      <c r="K936" s="9"/>
      <c r="L936" s="9"/>
      <c r="M936" s="9"/>
    </row>
    <row x14ac:dyDescent="0.25" r="937" customHeight="1" ht="18.75">
      <c r="A937" s="8"/>
      <c r="B937" s="9"/>
      <c r="C937" s="9"/>
      <c r="D937" s="9"/>
      <c r="E937" s="9"/>
      <c r="F937" s="8"/>
      <c r="G937" s="8"/>
      <c r="H937" s="10"/>
      <c r="I937" s="10"/>
      <c r="J937" s="10"/>
      <c r="K937" s="9"/>
      <c r="L937" s="9"/>
      <c r="M937" s="9"/>
    </row>
    <row x14ac:dyDescent="0.25" r="938" customHeight="1" ht="18.75">
      <c r="A938" s="8"/>
      <c r="B938" s="9"/>
      <c r="C938" s="9"/>
      <c r="D938" s="9"/>
      <c r="E938" s="9"/>
      <c r="F938" s="8"/>
      <c r="G938" s="8"/>
      <c r="H938" s="10"/>
      <c r="I938" s="10"/>
      <c r="J938" s="10"/>
      <c r="K938" s="9"/>
      <c r="L938" s="9"/>
      <c r="M938" s="9"/>
    </row>
    <row x14ac:dyDescent="0.25" r="939" customHeight="1" ht="18.75">
      <c r="A939" s="8"/>
      <c r="B939" s="9"/>
      <c r="C939" s="9"/>
      <c r="D939" s="9"/>
      <c r="E939" s="9"/>
      <c r="F939" s="8"/>
      <c r="G939" s="8"/>
      <c r="H939" s="10"/>
      <c r="I939" s="10"/>
      <c r="J939" s="10"/>
      <c r="K939" s="9"/>
      <c r="L939" s="9"/>
      <c r="M939" s="9"/>
    </row>
    <row x14ac:dyDescent="0.25" r="940" customHeight="1" ht="18.75">
      <c r="A940" s="8"/>
      <c r="B940" s="9"/>
      <c r="C940" s="9"/>
      <c r="D940" s="9"/>
      <c r="E940" s="9"/>
      <c r="F940" s="8"/>
      <c r="G940" s="8"/>
      <c r="H940" s="10"/>
      <c r="I940" s="10"/>
      <c r="J940" s="10"/>
      <c r="K940" s="9"/>
      <c r="L940" s="9"/>
      <c r="M940" s="9"/>
    </row>
    <row x14ac:dyDescent="0.25" r="941" customHeight="1" ht="18.75">
      <c r="A941" s="8"/>
      <c r="B941" s="9"/>
      <c r="C941" s="9"/>
      <c r="D941" s="9"/>
      <c r="E941" s="9"/>
      <c r="F941" s="8"/>
      <c r="G941" s="8"/>
      <c r="H941" s="10"/>
      <c r="I941" s="10"/>
      <c r="J941" s="10"/>
      <c r="K941" s="9"/>
      <c r="L941" s="9"/>
      <c r="M941" s="9"/>
    </row>
    <row x14ac:dyDescent="0.25" r="942" customHeight="1" ht="18.75">
      <c r="A942" s="8"/>
      <c r="B942" s="9"/>
      <c r="C942" s="9"/>
      <c r="D942" s="9"/>
      <c r="E942" s="9"/>
      <c r="F942" s="8"/>
      <c r="G942" s="8"/>
      <c r="H942" s="10"/>
      <c r="I942" s="10"/>
      <c r="J942" s="10"/>
      <c r="K942" s="9"/>
      <c r="L942" s="9"/>
      <c r="M942" s="9"/>
    </row>
    <row x14ac:dyDescent="0.25" r="943" customHeight="1" ht="18.75">
      <c r="A943" s="8"/>
      <c r="B943" s="9"/>
      <c r="C943" s="9"/>
      <c r="D943" s="9"/>
      <c r="E943" s="9"/>
      <c r="F943" s="8"/>
      <c r="G943" s="8"/>
      <c r="H943" s="10"/>
      <c r="I943" s="10"/>
      <c r="J943" s="10"/>
      <c r="K943" s="9"/>
      <c r="L943" s="9"/>
      <c r="M943" s="9"/>
    </row>
    <row x14ac:dyDescent="0.25" r="944" customHeight="1" ht="18.75">
      <c r="A944" s="8"/>
      <c r="B944" s="9"/>
      <c r="C944" s="9"/>
      <c r="D944" s="9"/>
      <c r="E944" s="9"/>
      <c r="F944" s="8"/>
      <c r="G944" s="8"/>
      <c r="H944" s="10"/>
      <c r="I944" s="10"/>
      <c r="J944" s="10"/>
      <c r="K944" s="9"/>
      <c r="L944" s="9"/>
      <c r="M944" s="9"/>
    </row>
    <row x14ac:dyDescent="0.25" r="945" customHeight="1" ht="18.75">
      <c r="A945" s="8"/>
      <c r="B945" s="9"/>
      <c r="C945" s="9"/>
      <c r="D945" s="9"/>
      <c r="E945" s="9"/>
      <c r="F945" s="8"/>
      <c r="G945" s="8"/>
      <c r="H945" s="10"/>
      <c r="I945" s="10"/>
      <c r="J945" s="10"/>
      <c r="K945" s="9"/>
      <c r="L945" s="9"/>
      <c r="M945" s="9"/>
    </row>
    <row x14ac:dyDescent="0.25" r="946" customHeight="1" ht="18.75">
      <c r="A946" s="8"/>
      <c r="B946" s="9"/>
      <c r="C946" s="9"/>
      <c r="D946" s="9"/>
      <c r="E946" s="9"/>
      <c r="F946" s="8"/>
      <c r="G946" s="8"/>
      <c r="H946" s="10"/>
      <c r="I946" s="10"/>
      <c r="J946" s="10"/>
      <c r="K946" s="9"/>
      <c r="L946" s="9"/>
      <c r="M946" s="9"/>
    </row>
    <row x14ac:dyDescent="0.25" r="947" customHeight="1" ht="18.75">
      <c r="A947" s="8"/>
      <c r="B947" s="9"/>
      <c r="C947" s="9"/>
      <c r="D947" s="9"/>
      <c r="E947" s="9"/>
      <c r="F947" s="8"/>
      <c r="G947" s="8"/>
      <c r="H947" s="10"/>
      <c r="I947" s="10"/>
      <c r="J947" s="10"/>
      <c r="K947" s="9"/>
      <c r="L947" s="9"/>
      <c r="M947" s="9"/>
    </row>
    <row x14ac:dyDescent="0.25" r="948" customHeight="1" ht="18.75">
      <c r="A948" s="8"/>
      <c r="B948" s="9"/>
      <c r="C948" s="9"/>
      <c r="D948" s="9"/>
      <c r="E948" s="9"/>
      <c r="F948" s="8"/>
      <c r="G948" s="8"/>
      <c r="H948" s="10"/>
      <c r="I948" s="10"/>
      <c r="J948" s="10"/>
      <c r="K948" s="9"/>
      <c r="L948" s="9"/>
      <c r="M948" s="9"/>
    </row>
    <row x14ac:dyDescent="0.25" r="949" customHeight="1" ht="18.75">
      <c r="A949" s="8"/>
      <c r="B949" s="9"/>
      <c r="C949" s="9"/>
      <c r="D949" s="9"/>
      <c r="E949" s="9"/>
      <c r="F949" s="8"/>
      <c r="G949" s="8"/>
      <c r="H949" s="10"/>
      <c r="I949" s="10"/>
      <c r="J949" s="10"/>
      <c r="K949" s="9"/>
      <c r="L949" s="9"/>
      <c r="M949" s="9"/>
    </row>
    <row x14ac:dyDescent="0.25" r="950" customHeight="1" ht="18.75">
      <c r="A950" s="8"/>
      <c r="B950" s="9"/>
      <c r="C950" s="9"/>
      <c r="D950" s="9"/>
      <c r="E950" s="9"/>
      <c r="F950" s="8"/>
      <c r="G950" s="8"/>
      <c r="H950" s="10"/>
      <c r="I950" s="10"/>
      <c r="J950" s="10"/>
      <c r="K950" s="9"/>
      <c r="L950" s="9"/>
      <c r="M950" s="9"/>
    </row>
    <row x14ac:dyDescent="0.25" r="951" customHeight="1" ht="18.75">
      <c r="A951" s="8"/>
      <c r="B951" s="9"/>
      <c r="C951" s="9"/>
      <c r="D951" s="9"/>
      <c r="E951" s="9"/>
      <c r="F951" s="8"/>
      <c r="G951" s="8"/>
      <c r="H951" s="10"/>
      <c r="I951" s="10"/>
      <c r="J951" s="10"/>
      <c r="K951" s="9"/>
      <c r="L951" s="9"/>
      <c r="M951" s="9"/>
    </row>
    <row x14ac:dyDescent="0.25" r="952" customHeight="1" ht="18.75">
      <c r="A952" s="8"/>
      <c r="B952" s="9"/>
      <c r="C952" s="9"/>
      <c r="D952" s="9"/>
      <c r="E952" s="9"/>
      <c r="F952" s="8"/>
      <c r="G952" s="8"/>
      <c r="H952" s="10"/>
      <c r="I952" s="10"/>
      <c r="J952" s="10"/>
      <c r="K952" s="9"/>
      <c r="L952" s="9"/>
      <c r="M952" s="9"/>
    </row>
    <row x14ac:dyDescent="0.25" r="953" customHeight="1" ht="18.75">
      <c r="A953" s="8"/>
      <c r="B953" s="9"/>
      <c r="C953" s="9"/>
      <c r="D953" s="9"/>
      <c r="E953" s="9"/>
      <c r="F953" s="8"/>
      <c r="G953" s="8"/>
      <c r="H953" s="10"/>
      <c r="I953" s="10"/>
      <c r="J953" s="10"/>
      <c r="K953" s="9"/>
      <c r="L953" s="9"/>
      <c r="M953" s="9"/>
    </row>
    <row x14ac:dyDescent="0.25" r="954" customHeight="1" ht="18.75">
      <c r="A954" s="8"/>
      <c r="B954" s="9"/>
      <c r="C954" s="9"/>
      <c r="D954" s="9"/>
      <c r="E954" s="9"/>
      <c r="F954" s="8"/>
      <c r="G954" s="8"/>
      <c r="H954" s="10"/>
      <c r="I954" s="10"/>
      <c r="J954" s="10"/>
      <c r="K954" s="9"/>
      <c r="L954" s="9"/>
      <c r="M954" s="9"/>
    </row>
    <row x14ac:dyDescent="0.25" r="955" customHeight="1" ht="18.75">
      <c r="A955" s="8"/>
      <c r="B955" s="9"/>
      <c r="C955" s="9"/>
      <c r="D955" s="9"/>
      <c r="E955" s="9"/>
      <c r="F955" s="8"/>
      <c r="G955" s="8"/>
      <c r="H955" s="10"/>
      <c r="I955" s="10"/>
      <c r="J955" s="10"/>
      <c r="K955" s="9"/>
      <c r="L955" s="9"/>
      <c r="M955" s="9"/>
    </row>
    <row x14ac:dyDescent="0.25" r="956" customHeight="1" ht="18.75">
      <c r="A956" s="8"/>
      <c r="B956" s="9"/>
      <c r="C956" s="9"/>
      <c r="D956" s="9"/>
      <c r="E956" s="9"/>
      <c r="F956" s="8"/>
      <c r="G956" s="8"/>
      <c r="H956" s="10"/>
      <c r="I956" s="10"/>
      <c r="J956" s="10"/>
      <c r="K956" s="9"/>
      <c r="L956" s="9"/>
      <c r="M956" s="9"/>
    </row>
    <row x14ac:dyDescent="0.25" r="957" customHeight="1" ht="18.75">
      <c r="A957" s="8"/>
      <c r="B957" s="9"/>
      <c r="C957" s="9"/>
      <c r="D957" s="9"/>
      <c r="E957" s="9"/>
      <c r="F957" s="8"/>
      <c r="G957" s="8"/>
      <c r="H957" s="10"/>
      <c r="I957" s="10"/>
      <c r="J957" s="10"/>
      <c r="K957" s="9"/>
      <c r="L957" s="9"/>
      <c r="M957" s="9"/>
    </row>
    <row x14ac:dyDescent="0.25" r="958" customHeight="1" ht="18.75">
      <c r="A958" s="8"/>
      <c r="B958" s="9"/>
      <c r="C958" s="9"/>
      <c r="D958" s="9"/>
      <c r="E958" s="9"/>
      <c r="F958" s="8"/>
      <c r="G958" s="8"/>
      <c r="H958" s="10"/>
      <c r="I958" s="10"/>
      <c r="J958" s="10"/>
      <c r="K958" s="9"/>
      <c r="L958" s="9"/>
      <c r="M958" s="9"/>
    </row>
    <row x14ac:dyDescent="0.25" r="959" customHeight="1" ht="18.75">
      <c r="A959" s="8"/>
      <c r="B959" s="9"/>
      <c r="C959" s="9"/>
      <c r="D959" s="9"/>
      <c r="E959" s="9"/>
      <c r="F959" s="8"/>
      <c r="G959" s="8"/>
      <c r="H959" s="10"/>
      <c r="I959" s="10"/>
      <c r="J959" s="10"/>
      <c r="K959" s="9"/>
      <c r="L959" s="9"/>
      <c r="M959" s="9"/>
    </row>
    <row x14ac:dyDescent="0.25" r="960" customHeight="1" ht="18.75">
      <c r="A960" s="8"/>
      <c r="B960" s="9"/>
      <c r="C960" s="9"/>
      <c r="D960" s="9"/>
      <c r="E960" s="9"/>
      <c r="F960" s="8"/>
      <c r="G960" s="8"/>
      <c r="H960" s="10"/>
      <c r="I960" s="10"/>
      <c r="J960" s="10"/>
      <c r="K960" s="9"/>
      <c r="L960" s="9"/>
      <c r="M960" s="9"/>
    </row>
    <row x14ac:dyDescent="0.25" r="961" customHeight="1" ht="18.75">
      <c r="A961" s="8"/>
      <c r="B961" s="9"/>
      <c r="C961" s="9"/>
      <c r="D961" s="9"/>
      <c r="E961" s="9"/>
      <c r="F961" s="8"/>
      <c r="G961" s="8"/>
      <c r="H961" s="10"/>
      <c r="I961" s="10"/>
      <c r="J961" s="10"/>
      <c r="K961" s="9"/>
      <c r="L961" s="9"/>
      <c r="M961" s="9"/>
    </row>
    <row x14ac:dyDescent="0.25" r="962" customHeight="1" ht="18.75">
      <c r="A962" s="8"/>
      <c r="B962" s="9"/>
      <c r="C962" s="9"/>
      <c r="D962" s="9"/>
      <c r="E962" s="9"/>
      <c r="F962" s="8"/>
      <c r="G962" s="8"/>
      <c r="H962" s="10"/>
      <c r="I962" s="10"/>
      <c r="J962" s="10"/>
      <c r="K962" s="9"/>
      <c r="L962" s="9"/>
      <c r="M962" s="9"/>
    </row>
    <row x14ac:dyDescent="0.25" r="963" customHeight="1" ht="18.75">
      <c r="A963" s="8"/>
      <c r="B963" s="9"/>
      <c r="C963" s="9"/>
      <c r="D963" s="9"/>
      <c r="E963" s="9"/>
      <c r="F963" s="8"/>
      <c r="G963" s="8"/>
      <c r="H963" s="10"/>
      <c r="I963" s="10"/>
      <c r="J963" s="10"/>
      <c r="K963" s="9"/>
      <c r="L963" s="9"/>
      <c r="M963" s="9"/>
    </row>
    <row x14ac:dyDescent="0.25" r="964" customHeight="1" ht="18.75">
      <c r="A964" s="8"/>
      <c r="B964" s="9"/>
      <c r="C964" s="9"/>
      <c r="D964" s="9"/>
      <c r="E964" s="9"/>
      <c r="F964" s="8"/>
      <c r="G964" s="8"/>
      <c r="H964" s="10"/>
      <c r="I964" s="10"/>
      <c r="J964" s="10"/>
      <c r="K964" s="9"/>
      <c r="L964" s="9"/>
      <c r="M964" s="9"/>
    </row>
    <row x14ac:dyDescent="0.25" r="965" customHeight="1" ht="18.75">
      <c r="A965" s="8"/>
      <c r="B965" s="9"/>
      <c r="C965" s="9"/>
      <c r="D965" s="9"/>
      <c r="E965" s="9"/>
      <c r="F965" s="8"/>
      <c r="G965" s="8"/>
      <c r="H965" s="10"/>
      <c r="I965" s="10"/>
      <c r="J965" s="10"/>
      <c r="K965" s="9"/>
      <c r="L965" s="9"/>
      <c r="M965" s="9"/>
    </row>
    <row x14ac:dyDescent="0.25" r="966" customHeight="1" ht="18.75">
      <c r="A966" s="8"/>
      <c r="B966" s="9"/>
      <c r="C966" s="9"/>
      <c r="D966" s="9"/>
      <c r="E966" s="9"/>
      <c r="F966" s="8"/>
      <c r="G966" s="8"/>
      <c r="H966" s="10"/>
      <c r="I966" s="10"/>
      <c r="J966" s="10"/>
      <c r="K966" s="9"/>
      <c r="L966" s="9"/>
      <c r="M966" s="9"/>
    </row>
    <row x14ac:dyDescent="0.25" r="967" customHeight="1" ht="18.75">
      <c r="A967" s="8"/>
      <c r="B967" s="9"/>
      <c r="C967" s="9"/>
      <c r="D967" s="9"/>
      <c r="E967" s="9"/>
      <c r="F967" s="8"/>
      <c r="G967" s="8"/>
      <c r="H967" s="10"/>
      <c r="I967" s="10"/>
      <c r="J967" s="10"/>
      <c r="K967" s="9"/>
      <c r="L967" s="9"/>
      <c r="M967" s="9"/>
    </row>
    <row x14ac:dyDescent="0.25" r="968" customHeight="1" ht="18.75">
      <c r="A968" s="8"/>
      <c r="B968" s="9"/>
      <c r="C968" s="9"/>
      <c r="D968" s="9"/>
      <c r="E968" s="9"/>
      <c r="F968" s="8"/>
      <c r="G968" s="8"/>
      <c r="H968" s="10"/>
      <c r="I968" s="10"/>
      <c r="J968" s="10"/>
      <c r="K968" s="9"/>
      <c r="L968" s="9"/>
      <c r="M968" s="9"/>
    </row>
    <row x14ac:dyDescent="0.25" r="969" customHeight="1" ht="18.75">
      <c r="A969" s="8"/>
      <c r="B969" s="9"/>
      <c r="C969" s="9"/>
      <c r="D969" s="9"/>
      <c r="E969" s="9"/>
      <c r="F969" s="8"/>
      <c r="G969" s="8"/>
      <c r="H969" s="10"/>
      <c r="I969" s="10"/>
      <c r="J969" s="10"/>
      <c r="K969" s="9"/>
      <c r="L969" s="9"/>
      <c r="M969" s="9"/>
    </row>
    <row x14ac:dyDescent="0.25" r="970" customHeight="1" ht="18.75">
      <c r="A970" s="8"/>
      <c r="B970" s="9"/>
      <c r="C970" s="9"/>
      <c r="D970" s="9"/>
      <c r="E970" s="9"/>
      <c r="F970" s="8"/>
      <c r="G970" s="8"/>
      <c r="H970" s="10"/>
      <c r="I970" s="10"/>
      <c r="J970" s="10"/>
      <c r="K970" s="9"/>
      <c r="L970" s="9"/>
      <c r="M970" s="9"/>
    </row>
    <row x14ac:dyDescent="0.25" r="971" customHeight="1" ht="18.75">
      <c r="A971" s="8"/>
      <c r="B971" s="9"/>
      <c r="C971" s="9"/>
      <c r="D971" s="9"/>
      <c r="E971" s="9"/>
      <c r="F971" s="8"/>
      <c r="G971" s="8"/>
      <c r="H971" s="10"/>
      <c r="I971" s="10"/>
      <c r="J971" s="10"/>
      <c r="K971" s="9"/>
      <c r="L971" s="9"/>
      <c r="M971" s="9"/>
    </row>
    <row x14ac:dyDescent="0.25" r="972" customHeight="1" ht="18.75">
      <c r="A972" s="8"/>
      <c r="B972" s="9"/>
      <c r="C972" s="9"/>
      <c r="D972" s="9"/>
      <c r="E972" s="9"/>
      <c r="F972" s="8"/>
      <c r="G972" s="8"/>
      <c r="H972" s="10"/>
      <c r="I972" s="10"/>
      <c r="J972" s="10"/>
      <c r="K972" s="9"/>
      <c r="L972" s="9"/>
      <c r="M972" s="9"/>
    </row>
    <row x14ac:dyDescent="0.25" r="973" customHeight="1" ht="18.75">
      <c r="A973" s="8"/>
      <c r="B973" s="9"/>
      <c r="C973" s="9"/>
      <c r="D973" s="9"/>
      <c r="E973" s="9"/>
      <c r="F973" s="8"/>
      <c r="G973" s="8"/>
      <c r="H973" s="10"/>
      <c r="I973" s="10"/>
      <c r="J973" s="10"/>
      <c r="K973" s="9"/>
      <c r="L973" s="9"/>
      <c r="M973" s="9"/>
    </row>
    <row x14ac:dyDescent="0.25" r="974" customHeight="1" ht="18.75">
      <c r="A974" s="8"/>
      <c r="B974" s="9"/>
      <c r="C974" s="9"/>
      <c r="D974" s="9"/>
      <c r="E974" s="9"/>
      <c r="F974" s="8"/>
      <c r="G974" s="8"/>
      <c r="H974" s="10"/>
      <c r="I974" s="10"/>
      <c r="J974" s="10"/>
      <c r="K974" s="9"/>
      <c r="L974" s="9"/>
      <c r="M974" s="9"/>
    </row>
    <row x14ac:dyDescent="0.25" r="975" customHeight="1" ht="18.75">
      <c r="A975" s="8"/>
      <c r="B975" s="9"/>
      <c r="C975" s="9"/>
      <c r="D975" s="9"/>
      <c r="E975" s="9"/>
      <c r="F975" s="8"/>
      <c r="G975" s="8"/>
      <c r="H975" s="10"/>
      <c r="I975" s="10"/>
      <c r="J975" s="10"/>
      <c r="K975" s="9"/>
      <c r="L975" s="9"/>
      <c r="M975" s="9"/>
    </row>
    <row x14ac:dyDescent="0.25" r="976" customHeight="1" ht="18.75">
      <c r="A976" s="8"/>
      <c r="B976" s="9"/>
      <c r="C976" s="9"/>
      <c r="D976" s="9"/>
      <c r="E976" s="9"/>
      <c r="F976" s="8"/>
      <c r="G976" s="8"/>
      <c r="H976" s="10"/>
      <c r="I976" s="10"/>
      <c r="J976" s="10"/>
      <c r="K976" s="9"/>
      <c r="L976" s="9"/>
      <c r="M976" s="9"/>
    </row>
    <row x14ac:dyDescent="0.25" r="977" customHeight="1" ht="18.75">
      <c r="A977" s="8"/>
      <c r="B977" s="9"/>
      <c r="C977" s="9"/>
      <c r="D977" s="9"/>
      <c r="E977" s="9"/>
      <c r="F977" s="8"/>
      <c r="G977" s="8"/>
      <c r="H977" s="10"/>
      <c r="I977" s="10"/>
      <c r="J977" s="10"/>
      <c r="K977" s="9"/>
      <c r="L977" s="9"/>
      <c r="M977" s="9"/>
    </row>
    <row x14ac:dyDescent="0.25" r="978" customHeight="1" ht="18.75">
      <c r="A978" s="8"/>
      <c r="B978" s="9"/>
      <c r="C978" s="9"/>
      <c r="D978" s="9"/>
      <c r="E978" s="9"/>
      <c r="F978" s="8"/>
      <c r="G978" s="8"/>
      <c r="H978" s="10"/>
      <c r="I978" s="10"/>
      <c r="J978" s="10"/>
      <c r="K978" s="9"/>
      <c r="L978" s="9"/>
      <c r="M978" s="9"/>
    </row>
    <row x14ac:dyDescent="0.25" r="979" customHeight="1" ht="18.75">
      <c r="A979" s="8"/>
      <c r="B979" s="9"/>
      <c r="C979" s="9"/>
      <c r="D979" s="9"/>
      <c r="E979" s="9"/>
      <c r="F979" s="8"/>
      <c r="G979" s="8"/>
      <c r="H979" s="10"/>
      <c r="I979" s="10"/>
      <c r="J979" s="10"/>
      <c r="K979" s="9"/>
      <c r="L979" s="9"/>
      <c r="M979" s="9"/>
    </row>
    <row x14ac:dyDescent="0.25" r="980" customHeight="1" ht="18.75">
      <c r="A980" s="8"/>
      <c r="B980" s="9"/>
      <c r="C980" s="9"/>
      <c r="D980" s="9"/>
      <c r="E980" s="9"/>
      <c r="F980" s="8"/>
      <c r="G980" s="8"/>
      <c r="H980" s="10"/>
      <c r="I980" s="10"/>
      <c r="J980" s="10"/>
      <c r="K980" s="9"/>
      <c r="L980" s="9"/>
      <c r="M980" s="9"/>
    </row>
    <row x14ac:dyDescent="0.25" r="981" customHeight="1" ht="18.75">
      <c r="A981" s="8"/>
      <c r="B981" s="9"/>
      <c r="C981" s="9"/>
      <c r="D981" s="9"/>
      <c r="E981" s="9"/>
      <c r="F981" s="8"/>
      <c r="G981" s="8"/>
      <c r="H981" s="10"/>
      <c r="I981" s="10"/>
      <c r="J981" s="10"/>
      <c r="K981" s="9"/>
      <c r="L981" s="9"/>
      <c r="M981" s="9"/>
    </row>
    <row x14ac:dyDescent="0.25" r="982" customHeight="1" ht="18.75">
      <c r="A982" s="8"/>
      <c r="B982" s="9"/>
      <c r="C982" s="9"/>
      <c r="D982" s="9"/>
      <c r="E982" s="9"/>
      <c r="F982" s="8"/>
      <c r="G982" s="8"/>
      <c r="H982" s="10"/>
      <c r="I982" s="10"/>
      <c r="J982" s="10"/>
      <c r="K982" s="9"/>
      <c r="L982" s="9"/>
      <c r="M982" s="9"/>
    </row>
    <row x14ac:dyDescent="0.25" r="983" customHeight="1" ht="18.75">
      <c r="A983" s="8"/>
      <c r="B983" s="9"/>
      <c r="C983" s="9"/>
      <c r="D983" s="9"/>
      <c r="E983" s="9"/>
      <c r="F983" s="8"/>
      <c r="G983" s="8"/>
      <c r="H983" s="10"/>
      <c r="I983" s="10"/>
      <c r="J983" s="10"/>
      <c r="K983" s="9"/>
      <c r="L983" s="9"/>
      <c r="M983" s="9"/>
    </row>
    <row x14ac:dyDescent="0.25" r="984" customHeight="1" ht="18.75">
      <c r="A984" s="8"/>
      <c r="B984" s="9"/>
      <c r="C984" s="9"/>
      <c r="D984" s="9"/>
      <c r="E984" s="9"/>
      <c r="F984" s="8"/>
      <c r="G984" s="8"/>
      <c r="H984" s="10"/>
      <c r="I984" s="10"/>
      <c r="J984" s="10"/>
      <c r="K984" s="9"/>
      <c r="L984" s="9"/>
      <c r="M984" s="9"/>
    </row>
    <row x14ac:dyDescent="0.25" r="985" customHeight="1" ht="18.75">
      <c r="A985" s="8"/>
      <c r="B985" s="9"/>
      <c r="C985" s="9"/>
      <c r="D985" s="9"/>
      <c r="E985" s="9"/>
      <c r="F985" s="8"/>
      <c r="G985" s="8"/>
      <c r="H985" s="10"/>
      <c r="I985" s="10"/>
      <c r="J985" s="10"/>
      <c r="K985" s="9"/>
      <c r="L985" s="9"/>
      <c r="M985" s="9"/>
    </row>
    <row x14ac:dyDescent="0.25" r="986" customHeight="1" ht="18.75">
      <c r="A986" s="8"/>
      <c r="B986" s="9"/>
      <c r="C986" s="9"/>
      <c r="D986" s="9"/>
      <c r="E986" s="9"/>
      <c r="F986" s="8"/>
      <c r="G986" s="8"/>
      <c r="H986" s="10"/>
      <c r="I986" s="10"/>
      <c r="J986" s="10"/>
      <c r="K986" s="9"/>
      <c r="L986" s="9"/>
      <c r="M986" s="9"/>
    </row>
    <row x14ac:dyDescent="0.25" r="987" customHeight="1" ht="18.75">
      <c r="A987" s="8"/>
      <c r="B987" s="9"/>
      <c r="C987" s="9"/>
      <c r="D987" s="9"/>
      <c r="E987" s="9"/>
      <c r="F987" s="8"/>
      <c r="G987" s="8"/>
      <c r="H987" s="10"/>
      <c r="I987" s="10"/>
      <c r="J987" s="10"/>
      <c r="K987" s="9"/>
      <c r="L987" s="9"/>
      <c r="M987" s="9"/>
    </row>
    <row x14ac:dyDescent="0.25" r="988" customHeight="1" ht="18.75">
      <c r="A988" s="8"/>
      <c r="B988" s="9"/>
      <c r="C988" s="9"/>
      <c r="D988" s="9"/>
      <c r="E988" s="9"/>
      <c r="F988" s="8"/>
      <c r="G988" s="8"/>
      <c r="H988" s="10"/>
      <c r="I988" s="10"/>
      <c r="J988" s="10"/>
      <c r="K988" s="9"/>
      <c r="L988" s="9"/>
      <c r="M988" s="9"/>
    </row>
    <row x14ac:dyDescent="0.25" r="989" customHeight="1" ht="18.75">
      <c r="A989" s="8"/>
      <c r="B989" s="9"/>
      <c r="C989" s="9"/>
      <c r="D989" s="9"/>
      <c r="E989" s="9"/>
      <c r="F989" s="8"/>
      <c r="G989" s="8"/>
      <c r="H989" s="10"/>
      <c r="I989" s="10"/>
      <c r="J989" s="10"/>
      <c r="K989" s="9"/>
      <c r="L989" s="9"/>
      <c r="M989" s="9"/>
    </row>
    <row x14ac:dyDescent="0.25" r="990" customHeight="1" ht="18.75">
      <c r="A990" s="8"/>
      <c r="B990" s="9"/>
      <c r="C990" s="9"/>
      <c r="D990" s="9"/>
      <c r="E990" s="9"/>
      <c r="F990" s="8"/>
      <c r="G990" s="8"/>
      <c r="H990" s="10"/>
      <c r="I990" s="10"/>
      <c r="J990" s="10"/>
      <c r="K990" s="9"/>
      <c r="L990" s="9"/>
      <c r="M990" s="9"/>
    </row>
    <row x14ac:dyDescent="0.25" r="991" customHeight="1" ht="18.75">
      <c r="A991" s="8"/>
      <c r="B991" s="9"/>
      <c r="C991" s="9"/>
      <c r="D991" s="9"/>
      <c r="E991" s="9"/>
      <c r="F991" s="8"/>
      <c r="G991" s="8"/>
      <c r="H991" s="10"/>
      <c r="I991" s="10"/>
      <c r="J991" s="10"/>
      <c r="K991" s="9"/>
      <c r="L991" s="9"/>
      <c r="M991" s="9"/>
    </row>
    <row x14ac:dyDescent="0.25" r="992" customHeight="1" ht="18.75">
      <c r="A992" s="8"/>
      <c r="B992" s="9"/>
      <c r="C992" s="9"/>
      <c r="D992" s="9"/>
      <c r="E992" s="9"/>
      <c r="F992" s="8"/>
      <c r="G992" s="8"/>
      <c r="H992" s="10"/>
      <c r="I992" s="10"/>
      <c r="J992" s="10"/>
      <c r="K992" s="9"/>
      <c r="L992" s="9"/>
      <c r="M992" s="9"/>
    </row>
    <row x14ac:dyDescent="0.25" r="993" customHeight="1" ht="18.75">
      <c r="A993" s="8"/>
      <c r="B993" s="9"/>
      <c r="C993" s="9"/>
      <c r="D993" s="9"/>
      <c r="E993" s="9"/>
      <c r="F993" s="8"/>
      <c r="G993" s="8"/>
      <c r="H993" s="10"/>
      <c r="I993" s="10"/>
      <c r="J993" s="10"/>
      <c r="K993" s="9"/>
      <c r="L993" s="9"/>
      <c r="M993" s="9"/>
    </row>
    <row x14ac:dyDescent="0.25" r="994" customHeight="1" ht="18.75">
      <c r="A994" s="8"/>
      <c r="B994" s="9"/>
      <c r="C994" s="9"/>
      <c r="D994" s="9"/>
      <c r="E994" s="9"/>
      <c r="F994" s="8"/>
      <c r="G994" s="8"/>
      <c r="H994" s="10"/>
      <c r="I994" s="10"/>
      <c r="J994" s="10"/>
      <c r="K994" s="9"/>
      <c r="L994" s="9"/>
      <c r="M994" s="9"/>
    </row>
    <row x14ac:dyDescent="0.25" r="995" customHeight="1" ht="18.75">
      <c r="A995" s="8"/>
      <c r="B995" s="9"/>
      <c r="C995" s="9"/>
      <c r="D995" s="9"/>
      <c r="E995" s="9"/>
      <c r="F995" s="8"/>
      <c r="G995" s="8"/>
      <c r="H995" s="10"/>
      <c r="I995" s="10"/>
      <c r="J995" s="10"/>
      <c r="K995" s="9"/>
      <c r="L995" s="9"/>
      <c r="M995" s="9"/>
    </row>
    <row x14ac:dyDescent="0.25" r="996" customHeight="1" ht="18.75">
      <c r="A996" s="8"/>
      <c r="B996" s="9"/>
      <c r="C996" s="9"/>
      <c r="D996" s="9"/>
      <c r="E996" s="9"/>
      <c r="F996" s="8"/>
      <c r="G996" s="8"/>
      <c r="H996" s="10"/>
      <c r="I996" s="10"/>
      <c r="J996" s="10"/>
      <c r="K996" s="9"/>
      <c r="L996" s="9"/>
      <c r="M996" s="9"/>
    </row>
    <row x14ac:dyDescent="0.25" r="997" customHeight="1" ht="18.75">
      <c r="A997" s="8"/>
      <c r="B997" s="9"/>
      <c r="C997" s="9"/>
      <c r="D997" s="9"/>
      <c r="E997" s="9"/>
      <c r="F997" s="8"/>
      <c r="G997" s="8"/>
      <c r="H997" s="10"/>
      <c r="I997" s="10"/>
      <c r="J997" s="10"/>
      <c r="K997" s="9"/>
      <c r="L997" s="9"/>
      <c r="M997" s="9"/>
    </row>
    <row x14ac:dyDescent="0.25" r="998" customHeight="1" ht="18.75">
      <c r="A998" s="8"/>
      <c r="B998" s="9"/>
      <c r="C998" s="9"/>
      <c r="D998" s="9"/>
      <c r="E998" s="9"/>
      <c r="F998" s="8"/>
      <c r="G998" s="8"/>
      <c r="H998" s="10"/>
      <c r="I998" s="10"/>
      <c r="J998" s="10"/>
      <c r="K998" s="9"/>
      <c r="L998" s="9"/>
      <c r="M998" s="9"/>
    </row>
    <row x14ac:dyDescent="0.25" r="999" customHeight="1" ht="18.75">
      <c r="A999" s="8"/>
      <c r="B999" s="9"/>
      <c r="C999" s="9"/>
      <c r="D999" s="9"/>
      <c r="E999" s="9"/>
      <c r="F999" s="8"/>
      <c r="G999" s="8"/>
      <c r="H999" s="10"/>
      <c r="I999" s="10"/>
      <c r="J999" s="10"/>
      <c r="K999" s="9"/>
      <c r="L999" s="9"/>
      <c r="M999" s="9"/>
    </row>
    <row x14ac:dyDescent="0.25" r="1000" customHeight="1" ht="18.75">
      <c r="A1000" s="8"/>
      <c r="B1000" s="9"/>
      <c r="C1000" s="9"/>
      <c r="D1000" s="9"/>
      <c r="E1000" s="9"/>
      <c r="F1000" s="8"/>
      <c r="G1000" s="8"/>
      <c r="H1000" s="10"/>
      <c r="I1000" s="10"/>
      <c r="J1000" s="10"/>
      <c r="K1000" s="9"/>
      <c r="L1000" s="9"/>
      <c r="M1000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260617</vt:lpstr>
      <vt:lpstr>260617-b</vt:lpstr>
      <vt:lpstr>중복확인</vt:lpstr>
      <vt:lpstr>PDF미매칭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2026-07-05T01:16:02.176Z</dcterms:created>
  <dcterms:modified xsi:type="dcterms:W3CDTF">2026-07-05T01:16:02.176Z</dcterms:modified>
</cp:coreProperties>
</file>